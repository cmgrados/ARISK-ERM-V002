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8_{FFA682AA-B773-4E47-9E06-4BEBDF01DA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16" i="1" l="1"/>
  <c r="C3101" i="1"/>
  <c r="C3082" i="1"/>
  <c r="C2960" i="1"/>
  <c r="C2927" i="1"/>
  <c r="C2889" i="1"/>
  <c r="C2846" i="1"/>
  <c r="C2702" i="1"/>
  <c r="C2679" i="1"/>
  <c r="C2377" i="1"/>
  <c r="C3586" i="1"/>
  <c r="C3138" i="1" s="1"/>
  <c r="C3812" i="1"/>
  <c r="C3807" i="1" s="1"/>
  <c r="C3860" i="1"/>
  <c r="C3864" i="1"/>
  <c r="C3876" i="1"/>
  <c r="C3874" i="1" s="1"/>
  <c r="C3977" i="1"/>
  <c r="C4135" i="1"/>
  <c r="C4139" i="1"/>
  <c r="C4142" i="1"/>
  <c r="C2305" i="1"/>
  <c r="C2270" i="1"/>
  <c r="C2269" i="1" s="1"/>
  <c r="C2241" i="1"/>
  <c r="C2208" i="1" s="1"/>
  <c r="C2145" i="1"/>
  <c r="C2140" i="1"/>
  <c r="C2127" i="1"/>
  <c r="C2108" i="1"/>
  <c r="C2095" i="1" s="1"/>
  <c r="C1959" i="1"/>
  <c r="C2000" i="1"/>
  <c r="C1952" i="1"/>
  <c r="C1918" i="1" s="1"/>
  <c r="C2357" i="1"/>
  <c r="C2370" i="1"/>
  <c r="C2346" i="1"/>
  <c r="C2335" i="1"/>
  <c r="C1903" i="1"/>
  <c r="C1885" i="1"/>
  <c r="C1876" i="1"/>
  <c r="C1870" i="1" s="1"/>
  <c r="C1858" i="1"/>
  <c r="C1857" i="1" s="1"/>
  <c r="C1852" i="1"/>
  <c r="C1851" i="1" s="1"/>
  <c r="C1838" i="1"/>
  <c r="C1828" i="1"/>
  <c r="C1800" i="1"/>
  <c r="C1790" i="1"/>
  <c r="C1789" i="1" s="1"/>
  <c r="C1772" i="1"/>
  <c r="C1771" i="1"/>
  <c r="C1749" i="1"/>
  <c r="C1746" i="1"/>
  <c r="C1738" i="1"/>
  <c r="C1737" i="1" s="1"/>
  <c r="C1720" i="1"/>
  <c r="C1719" i="1" s="1"/>
  <c r="C1709" i="1"/>
  <c r="C1708" i="1" s="1"/>
  <c r="C1616" i="1"/>
  <c r="C1618" i="1"/>
  <c r="C1629" i="1"/>
  <c r="C1660" i="1"/>
  <c r="C936" i="1"/>
  <c r="C1525" i="1"/>
  <c r="C1518" i="1" s="1"/>
  <c r="C1507" i="1"/>
  <c r="C809" i="1"/>
  <c r="C545" i="1"/>
  <c r="C392" i="1"/>
  <c r="C391" i="1" s="1"/>
  <c r="C201" i="1"/>
  <c r="C172" i="1" s="1"/>
  <c r="C16" i="1"/>
  <c r="C15" i="1" s="1"/>
  <c r="C45" i="1"/>
  <c r="C44" i="1" s="1"/>
  <c r="C13" i="1"/>
  <c r="C7" i="1"/>
  <c r="C5" i="1"/>
  <c r="C1822" i="1" l="1"/>
  <c r="C1615" i="1"/>
  <c r="C1574" i="1" s="1"/>
  <c r="C2334" i="1"/>
  <c r="C66" i="1"/>
  <c r="C1718" i="1"/>
  <c r="C3859" i="1"/>
  <c r="C3137" i="1" s="1"/>
  <c r="C4" i="1"/>
  <c r="C3" i="1" s="1"/>
  <c r="C3976" i="1"/>
  <c r="C544" i="1"/>
  <c r="C2" i="1" s="1"/>
  <c r="C2888" i="1"/>
  <c r="C2376" i="1" s="1"/>
  <c r="C2075" i="1"/>
  <c r="C1917" i="1" s="1"/>
  <c r="C1821" i="1"/>
</calcChain>
</file>

<file path=xl/sharedStrings.xml><?xml version="1.0" encoding="utf-8"?>
<sst xmlns="http://schemas.openxmlformats.org/spreadsheetml/2006/main" count="4738" uniqueCount="2155">
  <si>
    <r>
      <rPr>
        <b/>
        <sz val="10"/>
        <rFont val="Arial Narrow"/>
        <family val="2"/>
      </rPr>
      <t>Cuenta</t>
    </r>
  </si>
  <si>
    <r>
      <rPr>
        <b/>
        <sz val="10"/>
        <rFont val="Arial Narrow"/>
        <family val="2"/>
      </rPr>
      <t>Denominación</t>
    </r>
  </si>
  <si>
    <r>
      <rPr>
        <sz val="10"/>
        <rFont val="Segoe UI"/>
        <family val="2"/>
      </rPr>
      <t>ACTIVO</t>
    </r>
  </si>
  <si>
    <r>
      <rPr>
        <sz val="10"/>
        <rFont val="Segoe UI"/>
        <family val="2"/>
      </rPr>
      <t>DISPONIBLE</t>
    </r>
  </si>
  <si>
    <r>
      <rPr>
        <sz val="10"/>
        <rFont val="Segoe UI"/>
        <family val="2"/>
      </rPr>
      <t>CAJA</t>
    </r>
  </si>
  <si>
    <r>
      <rPr>
        <sz val="10"/>
        <rFont val="Segoe UI"/>
        <family val="2"/>
      </rPr>
      <t>Oficina Principal</t>
    </r>
  </si>
  <si>
    <r>
      <rPr>
        <sz val="10"/>
        <rFont val="Segoe UI"/>
        <family val="2"/>
      </rPr>
      <t>Agencias</t>
    </r>
  </si>
  <si>
    <r>
      <rPr>
        <sz val="10"/>
        <rFont val="Segoe UI"/>
        <family val="2"/>
      </rPr>
      <t>Oficinas especiales</t>
    </r>
  </si>
  <si>
    <r>
      <rPr>
        <sz val="10"/>
        <rFont val="Segoe UI"/>
        <family val="2"/>
      </rPr>
      <t>Efectivo en tránsito</t>
    </r>
  </si>
  <si>
    <r>
      <rPr>
        <sz val="10"/>
        <rFont val="Segoe UI"/>
        <family val="2"/>
      </rPr>
      <t>Bancos</t>
    </r>
  </si>
  <si>
    <r>
      <rPr>
        <sz val="10"/>
        <rFont val="Segoe UI"/>
        <family val="2"/>
      </rPr>
      <t>Financieras</t>
    </r>
  </si>
  <si>
    <r>
      <rPr>
        <sz val="10"/>
        <rFont val="Segoe UI"/>
        <family val="2"/>
      </rPr>
      <t>Cajas Municipales de Ahorro y Crédito</t>
    </r>
  </si>
  <si>
    <r>
      <rPr>
        <sz val="10"/>
        <rFont val="Segoe UI"/>
        <family val="2"/>
      </rPr>
      <t>Cajas Rurales de Ahorro y Crédito</t>
    </r>
  </si>
  <si>
    <r>
      <rPr>
        <sz val="10"/>
        <rFont val="Segoe UI"/>
        <family val="2"/>
      </rPr>
      <t>Cooperativas de Ahorro y Crédito</t>
    </r>
  </si>
  <si>
    <r>
      <rPr>
        <sz val="10"/>
        <rFont val="Segoe UI"/>
        <family val="2"/>
      </rPr>
      <t>COOPAC</t>
    </r>
  </si>
  <si>
    <r>
      <rPr>
        <sz val="10"/>
        <rFont val="Segoe UI"/>
        <family val="2"/>
      </rPr>
      <t>Otras empresas del sistema financiero</t>
    </r>
  </si>
  <si>
    <r>
      <rPr>
        <sz val="10"/>
        <rFont val="Segoe UI"/>
        <family val="2"/>
      </rPr>
      <t>BANCOS Y OTRAS INSTITUCIONES FINANCIERAS DEL EXTERIOR</t>
    </r>
  </si>
  <si>
    <r>
      <rPr>
        <sz val="10"/>
        <rFont val="Segoe UI"/>
        <family val="2"/>
      </rPr>
      <t>De primera categoría</t>
    </r>
  </si>
  <si>
    <r>
      <rPr>
        <sz val="10"/>
        <rFont val="Segoe UI"/>
        <family val="2"/>
      </rPr>
      <t>Supervisados por organismos similares a la SBS</t>
    </r>
  </si>
  <si>
    <r>
      <rPr>
        <sz val="10"/>
        <rFont val="Segoe UI"/>
        <family val="2"/>
      </rPr>
      <t xml:space="preserve">Supervisados por la oficina matriz sujeta a supervisión de organismos
</t>
    </r>
    <r>
      <rPr>
        <sz val="10"/>
        <rFont val="Segoe UI"/>
        <family val="2"/>
      </rPr>
      <t>similares a la SBS</t>
    </r>
  </si>
  <si>
    <r>
      <rPr>
        <sz val="10"/>
        <rFont val="Segoe UI"/>
        <family val="2"/>
      </rPr>
      <t>Otras instituciones financieras</t>
    </r>
  </si>
  <si>
    <r>
      <rPr>
        <sz val="10"/>
        <rFont val="Segoe UI"/>
        <family val="2"/>
      </rPr>
      <t>EFECTOS DE COBRO INMEDIATO</t>
    </r>
  </si>
  <si>
    <r>
      <rPr>
        <sz val="10"/>
        <rFont val="Segoe UI"/>
        <family val="2"/>
      </rPr>
      <t>Cheques</t>
    </r>
  </si>
  <si>
    <r>
      <rPr>
        <sz val="10"/>
        <rFont val="Segoe UI"/>
        <family val="2"/>
      </rPr>
      <t>Órdenes de pago</t>
    </r>
  </si>
  <si>
    <r>
      <rPr>
        <sz val="10"/>
        <rFont val="Segoe UI"/>
        <family val="2"/>
      </rPr>
      <t>Documentos sobre el exterior</t>
    </r>
  </si>
  <si>
    <r>
      <rPr>
        <sz val="10"/>
        <rFont val="Segoe UI"/>
        <family val="2"/>
      </rPr>
      <t>Otros efectos de cobro</t>
    </r>
  </si>
  <si>
    <r>
      <rPr>
        <sz val="10"/>
        <rFont val="Segoe UI"/>
        <family val="2"/>
      </rPr>
      <t>DISPONIBLE RESTRINGIDO</t>
    </r>
  </si>
  <si>
    <r>
      <rPr>
        <sz val="10"/>
        <rFont val="Segoe UI"/>
        <family val="2"/>
      </rPr>
      <t>Fondos fijos</t>
    </r>
  </si>
  <si>
    <r>
      <rPr>
        <sz val="10"/>
        <rFont val="Segoe UI"/>
        <family val="2"/>
      </rPr>
      <t>Fondos en garantía</t>
    </r>
  </si>
  <si>
    <r>
      <rPr>
        <sz val="10"/>
        <rFont val="Segoe UI"/>
        <family val="2"/>
      </rPr>
      <t>Otras disponibilidades restringidas</t>
    </r>
  </si>
  <si>
    <r>
      <rPr>
        <sz val="10"/>
        <rFont val="Segoe UI"/>
        <family val="2"/>
      </rPr>
      <t>RENDIMIENTOS DEVENGADOS DEL DISPONIBLE</t>
    </r>
  </si>
  <si>
    <r>
      <rPr>
        <sz val="10"/>
        <rFont val="Segoe UI"/>
        <family val="2"/>
      </rPr>
      <t>Bancos, otras empresas del sistema financiero del país y Coopac</t>
    </r>
  </si>
  <si>
    <r>
      <rPr>
        <sz val="10"/>
        <rFont val="Segoe UI"/>
        <family val="2"/>
      </rPr>
      <t>Bancos y otras instituciones financieras del exterior</t>
    </r>
  </si>
  <si>
    <r>
      <rPr>
        <sz val="10"/>
        <rFont val="Segoe UI"/>
        <family val="2"/>
      </rPr>
      <t>Disponible restringido</t>
    </r>
  </si>
  <si>
    <r>
      <rPr>
        <sz val="10"/>
        <rFont val="Segoe UI"/>
        <family val="2"/>
      </rPr>
      <t>FONDOS INTERCOOPERATIVOS</t>
    </r>
  </si>
  <si>
    <r>
      <rPr>
        <sz val="10"/>
        <rFont val="Segoe UI"/>
        <family val="2"/>
      </rPr>
      <t>Coopac</t>
    </r>
  </si>
  <si>
    <r>
      <rPr>
        <sz val="10"/>
        <rFont val="Segoe UI"/>
        <family val="2"/>
      </rPr>
      <t>RENDIMIENTOS DEVENGADOS DE FONDOS INTERCOOPERATIVOS</t>
    </r>
  </si>
  <si>
    <r>
      <rPr>
        <sz val="10"/>
        <rFont val="Segoe UI"/>
        <family val="2"/>
      </rPr>
      <t>INVERSIONES NEGOCIABLES Y A VENCIMIENTO</t>
    </r>
  </si>
  <si>
    <r>
      <rPr>
        <sz val="10"/>
        <rFont val="Segoe UI"/>
        <family val="2"/>
      </rPr>
      <t xml:space="preserve">INVERSIONES A VALOR RAZONABLE CON CAMBIOS EN
</t>
    </r>
    <r>
      <rPr>
        <sz val="10"/>
        <rFont val="Segoe UI"/>
        <family val="2"/>
      </rPr>
      <t>RESULTADOS - INSTRUMENTOS REPRESENTATIVOS DE CAPITAL</t>
    </r>
  </si>
  <si>
    <r>
      <rPr>
        <sz val="10"/>
        <rFont val="Segoe UI"/>
        <family val="2"/>
      </rPr>
      <t>Valores y títulos emitidos por empresas del sistema financiero</t>
    </r>
  </si>
  <si>
    <r>
      <rPr>
        <sz val="10"/>
        <rFont val="Segoe UI"/>
        <family val="2"/>
      </rPr>
      <t>Acciones comunes</t>
    </r>
  </si>
  <si>
    <r>
      <rPr>
        <sz val="10"/>
        <rFont val="Segoe UI"/>
        <family val="2"/>
      </rPr>
      <t>Otros valores y títulos</t>
    </r>
  </si>
  <si>
    <r>
      <rPr>
        <sz val="10"/>
        <rFont val="Segoe UI"/>
        <family val="2"/>
      </rPr>
      <t>Valores y títulos emitidos por empresas del sistema de seguros</t>
    </r>
  </si>
  <si>
    <r>
      <rPr>
        <sz val="10"/>
        <rFont val="Segoe UI"/>
        <family val="2"/>
      </rPr>
      <t>Valores y títulos emitidos por otras entidades</t>
    </r>
  </si>
  <si>
    <r>
      <rPr>
        <sz val="10"/>
        <rFont val="Segoe UI"/>
        <family val="2"/>
      </rPr>
      <t>Acciones de inversión</t>
    </r>
  </si>
  <si>
    <r>
      <rPr>
        <sz val="10"/>
        <rFont val="Segoe UI"/>
        <family val="2"/>
      </rPr>
      <t>Cuotas de Participación en Fondos Mutuos de Inversión en Valores</t>
    </r>
  </si>
  <si>
    <r>
      <rPr>
        <sz val="10"/>
        <rFont val="Segoe UI"/>
        <family val="2"/>
      </rPr>
      <t>Cuotas de Participación en Fondos de Inversión</t>
    </r>
  </si>
  <si>
    <r>
      <rPr>
        <sz val="10"/>
        <rFont val="Segoe UI"/>
        <family val="2"/>
      </rPr>
      <t>Instrumentos de titulización</t>
    </r>
  </si>
  <si>
    <r>
      <rPr>
        <sz val="10"/>
        <rFont val="Segoe UI"/>
        <family val="2"/>
      </rPr>
      <t xml:space="preserve">Valores objeto de operaciones de venta con compromiso de
</t>
    </r>
    <r>
      <rPr>
        <sz val="10"/>
        <rFont val="Segoe UI"/>
        <family val="2"/>
      </rPr>
      <t>recompra</t>
    </r>
  </si>
  <si>
    <r>
      <rPr>
        <sz val="10"/>
        <rFont val="Segoe UI"/>
        <family val="2"/>
      </rPr>
      <t>Valores y títulos emitidos por Coopac</t>
    </r>
  </si>
  <si>
    <r>
      <rPr>
        <sz val="10"/>
        <rFont val="Segoe UI"/>
        <family val="2"/>
      </rPr>
      <t xml:space="preserve">Valores objeto de operaciones de venta y compra simultáneas de
</t>
    </r>
    <r>
      <rPr>
        <sz val="10"/>
        <rFont val="Segoe UI"/>
        <family val="2"/>
      </rPr>
      <t>valores</t>
    </r>
  </si>
  <si>
    <r>
      <rPr>
        <sz val="10"/>
        <rFont val="Segoe UI"/>
        <family val="2"/>
      </rPr>
      <t xml:space="preserve">Valores objeto de o entregados en operaciones de transferencia
</t>
    </r>
    <r>
      <rPr>
        <sz val="10"/>
        <rFont val="Segoe UI"/>
        <family val="2"/>
      </rPr>
      <t>temporal de valores</t>
    </r>
  </si>
  <si>
    <r>
      <rPr>
        <sz val="10"/>
        <rFont val="Segoe UI"/>
        <family val="2"/>
      </rPr>
      <t>Aportes</t>
    </r>
  </si>
  <si>
    <r>
      <rPr>
        <sz val="10"/>
        <rFont val="Segoe UI"/>
        <family val="2"/>
      </rPr>
      <t>Valores y títulos emitidos por entidades de similar objeto social</t>
    </r>
  </si>
  <si>
    <r>
      <rPr>
        <sz val="10"/>
        <rFont val="Segoe UI"/>
        <family val="2"/>
      </rPr>
      <t xml:space="preserve">INVERSIONES A VALOR RAZONABLE CON CAMBIOS EN
</t>
    </r>
    <r>
      <rPr>
        <sz val="10"/>
        <rFont val="Segoe UI"/>
        <family val="2"/>
      </rPr>
      <t>RESULTADOS - INSTRUMENTOS REPRESENTATIVOS DE DEUDA</t>
    </r>
  </si>
  <si>
    <r>
      <rPr>
        <sz val="10"/>
        <rFont val="Segoe UI"/>
        <family val="2"/>
      </rPr>
      <t>Valores y títulos emitidos por Gobiernos</t>
    </r>
  </si>
  <si>
    <r>
      <rPr>
        <sz val="10"/>
        <rFont val="Segoe UI"/>
        <family val="2"/>
      </rPr>
      <t>Representativos de deuda país</t>
    </r>
  </si>
  <si>
    <r>
      <rPr>
        <sz val="10"/>
        <rFont val="Segoe UI"/>
        <family val="2"/>
      </rPr>
      <t>Perú</t>
    </r>
  </si>
  <si>
    <r>
      <rPr>
        <sz val="10"/>
        <rFont val="Segoe UI"/>
        <family val="2"/>
      </rPr>
      <t>Países con grado de inversión</t>
    </r>
  </si>
  <si>
    <r>
      <rPr>
        <sz val="10"/>
        <rFont val="Segoe UI"/>
        <family val="2"/>
      </rPr>
      <t>Otros</t>
    </r>
  </si>
  <si>
    <r>
      <rPr>
        <sz val="10"/>
        <rFont val="Segoe UI"/>
        <family val="2"/>
      </rPr>
      <t>Representativos de obligaciones varias</t>
    </r>
  </si>
  <si>
    <r>
      <rPr>
        <sz val="10"/>
        <rFont val="Segoe UI"/>
        <family val="2"/>
      </rPr>
      <t>Valores y títulos emitidos por Bancos Centrales</t>
    </r>
  </si>
  <si>
    <r>
      <rPr>
        <sz val="10"/>
        <rFont val="Segoe UI"/>
        <family val="2"/>
      </rPr>
      <t>Valores y títulos emitidos por Organismos Financieros</t>
    </r>
  </si>
  <si>
    <r>
      <rPr>
        <sz val="10"/>
        <rFont val="Segoe UI"/>
        <family val="2"/>
      </rPr>
      <t>Organismos Financieros Internacionales</t>
    </r>
  </si>
  <si>
    <r>
      <rPr>
        <sz val="10"/>
        <rFont val="Segoe UI"/>
        <family val="2"/>
      </rPr>
      <t>Otros Organismos Financieros</t>
    </r>
  </si>
  <si>
    <r>
      <rPr>
        <sz val="10"/>
        <rFont val="Segoe UI"/>
        <family val="2"/>
      </rPr>
      <t>Certificados de depósitos negociables</t>
    </r>
  </si>
  <si>
    <r>
      <rPr>
        <sz val="10"/>
        <rFont val="Segoe UI"/>
        <family val="2"/>
      </rPr>
      <t>Letras hipotecarias</t>
    </r>
  </si>
  <si>
    <r>
      <rPr>
        <sz val="10"/>
        <rFont val="Segoe UI"/>
        <family val="2"/>
      </rPr>
      <t>Bonos hipotecarios</t>
    </r>
  </si>
  <si>
    <r>
      <rPr>
        <sz val="10"/>
        <rFont val="Segoe UI"/>
        <family val="2"/>
      </rPr>
      <t>Bonos de arrendamiento financiero</t>
    </r>
  </si>
  <si>
    <r>
      <rPr>
        <sz val="10"/>
        <rFont val="Segoe UI"/>
        <family val="2"/>
      </rPr>
      <t>Bonos ordinarios</t>
    </r>
  </si>
  <si>
    <r>
      <rPr>
        <sz val="10"/>
        <rFont val="Segoe UI"/>
        <family val="2"/>
      </rPr>
      <t>Bonos estructurados</t>
    </r>
  </si>
  <si>
    <r>
      <rPr>
        <sz val="10"/>
        <rFont val="Segoe UI"/>
        <family val="2"/>
      </rPr>
      <t xml:space="preserve">Bonos subordinados y en instrumentos representativos de deuda
</t>
    </r>
    <r>
      <rPr>
        <sz val="10"/>
        <rFont val="Segoe UI"/>
        <family val="2"/>
      </rPr>
      <t>subordinada</t>
    </r>
  </si>
  <si>
    <r>
      <rPr>
        <sz val="10"/>
        <rFont val="Segoe UI"/>
        <family val="2"/>
      </rPr>
      <t>Bonos convertibles en acciones</t>
    </r>
  </si>
  <si>
    <r>
      <rPr>
        <sz val="10"/>
        <rFont val="Segoe UI"/>
        <family val="2"/>
      </rPr>
      <t>Certificados de depósito por mercaderías</t>
    </r>
  </si>
  <si>
    <r>
      <rPr>
        <sz val="10"/>
        <rFont val="Segoe UI"/>
        <family val="2"/>
      </rPr>
      <t>Instrumentos de corto plazo</t>
    </r>
  </si>
  <si>
    <r>
      <rPr>
        <sz val="10"/>
        <rFont val="Segoe UI"/>
        <family val="2"/>
      </rPr>
      <t>Pagarés</t>
    </r>
  </si>
  <si>
    <r>
      <rPr>
        <sz val="10"/>
        <rFont val="Segoe UI"/>
        <family val="2"/>
      </rPr>
      <t>Letras afianzadas</t>
    </r>
  </si>
  <si>
    <r>
      <rPr>
        <sz val="10"/>
        <rFont val="Segoe UI"/>
        <family val="2"/>
      </rPr>
      <t xml:space="preserve">INVERSIONES DISPONIBLES PARA LA VENTA - INSTRUMENTOS
</t>
    </r>
    <r>
      <rPr>
        <sz val="10"/>
        <rFont val="Segoe UI"/>
        <family val="2"/>
      </rPr>
      <t>REPRESENTATIVOS DE CAPITAL</t>
    </r>
  </si>
  <si>
    <r>
      <rPr>
        <sz val="10"/>
        <rFont val="Segoe UI"/>
        <family val="2"/>
      </rPr>
      <t>Valores y títulos de disponibilidad restringida</t>
    </r>
  </si>
  <si>
    <r>
      <rPr>
        <sz val="10"/>
        <rFont val="Segoe UI"/>
        <family val="2"/>
      </rPr>
      <t xml:space="preserve">INVERSIONES DISPONIBLES PARA LA VENTA - INSTRUMENTOS
</t>
    </r>
    <r>
      <rPr>
        <sz val="10"/>
        <rFont val="Segoe UI"/>
        <family val="2"/>
      </rPr>
      <t>REPRESENTATIVOS DEUDA</t>
    </r>
  </si>
  <si>
    <r>
      <rPr>
        <sz val="10"/>
        <rFont val="Segoe UI"/>
        <family val="2"/>
      </rPr>
      <t>País con grado de inversión</t>
    </r>
  </si>
  <si>
    <r>
      <rPr>
        <sz val="10"/>
        <rFont val="Segoe UI"/>
        <family val="2"/>
      </rPr>
      <t>Certificados de depósito negociables</t>
    </r>
  </si>
  <si>
    <r>
      <rPr>
        <sz val="10"/>
        <rFont val="Segoe UI"/>
        <family val="2"/>
      </rPr>
      <t>INVERSIONES A VENCIMIENTO</t>
    </r>
  </si>
  <si>
    <r>
      <rPr>
        <sz val="10"/>
        <rFont val="Segoe UI"/>
        <family val="2"/>
      </rPr>
      <t>Certificados negociables</t>
    </r>
  </si>
  <si>
    <r>
      <rPr>
        <sz val="10"/>
        <rFont val="Segoe UI"/>
        <family val="2"/>
      </rPr>
      <t>INVERSIONES EN COMMODITIES</t>
    </r>
  </si>
  <si>
    <r>
      <rPr>
        <sz val="10"/>
        <rFont val="Segoe UI"/>
        <family val="2"/>
      </rPr>
      <t xml:space="preserve">RENDIMIENTOS DEVENGADOS DE INVERSIONES NEGOCIABLES Y A
</t>
    </r>
    <r>
      <rPr>
        <sz val="10"/>
        <rFont val="Segoe UI"/>
        <family val="2"/>
      </rPr>
      <t>VENCIMIENTO</t>
    </r>
  </si>
  <si>
    <r>
      <rPr>
        <sz val="10"/>
        <rFont val="Segoe UI"/>
        <family val="2"/>
      </rPr>
      <t xml:space="preserve">Inversiones a Valor Razonable con cambios en Resultados -
</t>
    </r>
    <r>
      <rPr>
        <sz val="10"/>
        <rFont val="Segoe UI"/>
        <family val="2"/>
      </rPr>
      <t>Instrumentos Representativos de Capital</t>
    </r>
  </si>
  <si>
    <r>
      <rPr>
        <sz val="10"/>
        <rFont val="Segoe UI"/>
        <family val="2"/>
      </rPr>
      <t xml:space="preserve">Inversiones Disponibles para la Venta - Instrumentos Representativos
</t>
    </r>
    <r>
      <rPr>
        <sz val="10"/>
        <rFont val="Segoe UI"/>
        <family val="2"/>
      </rPr>
      <t>de Capital</t>
    </r>
  </si>
  <si>
    <r>
      <rPr>
        <sz val="10"/>
        <rFont val="Segoe UI"/>
        <family val="2"/>
      </rPr>
      <t xml:space="preserve">(PROVISIONES POR DETERIORO PARA INVERSIONES NEGOCIABLES
</t>
    </r>
    <r>
      <rPr>
        <sz val="10"/>
        <rFont val="Segoe UI"/>
        <family val="2"/>
      </rPr>
      <t>Y A VENCIMIENTO)</t>
    </r>
  </si>
  <si>
    <r>
      <rPr>
        <sz val="10"/>
        <rFont val="Segoe UI"/>
        <family val="2"/>
      </rPr>
      <t xml:space="preserve">Inversiones negociables Disponibles para la Venta en Valores
</t>
    </r>
    <r>
      <rPr>
        <sz val="10"/>
        <rFont val="Segoe UI"/>
        <family val="2"/>
      </rPr>
      <t>Representativos de Deuda</t>
    </r>
  </si>
  <si>
    <r>
      <rPr>
        <sz val="10"/>
        <rFont val="Segoe UI"/>
        <family val="2"/>
      </rPr>
      <t>Bonos subordinados</t>
    </r>
  </si>
  <si>
    <r>
      <rPr>
        <sz val="10"/>
        <rFont val="Segoe UI"/>
        <family val="2"/>
      </rPr>
      <t>Inversiones a Vencimiento</t>
    </r>
  </si>
  <si>
    <r>
      <rPr>
        <sz val="10"/>
        <rFont val="Segoe UI"/>
        <family val="2"/>
      </rPr>
      <t>CRÉDITOS</t>
    </r>
  </si>
  <si>
    <r>
      <rPr>
        <sz val="10"/>
        <rFont val="Segoe UI"/>
        <family val="2"/>
      </rPr>
      <t>CRÉDITOS VIGENTES</t>
    </r>
  </si>
  <si>
    <r>
      <rPr>
        <sz val="10"/>
        <rFont val="Segoe UI"/>
        <family val="2"/>
      </rPr>
      <t>Créditos a microempresas</t>
    </r>
  </si>
  <si>
    <r>
      <rPr>
        <sz val="10"/>
        <rFont val="Arial Narrow"/>
        <family val="2"/>
      </rPr>
      <t>Avances en cuenta corriente</t>
    </r>
  </si>
  <si>
    <r>
      <rPr>
        <sz val="10"/>
        <rFont val="Arial Narrow"/>
        <family val="2"/>
      </rPr>
      <t>Sobregiros en cuenta corriente</t>
    </r>
  </si>
  <si>
    <r>
      <rPr>
        <sz val="10"/>
        <rFont val="Segoe UI"/>
        <family val="2"/>
      </rPr>
      <t>Tarjetas de crédito</t>
    </r>
  </si>
  <si>
    <r>
      <rPr>
        <sz val="10"/>
        <rFont val="Segoe UI"/>
        <family val="2"/>
      </rPr>
      <t>Disponibilidad en efectivo</t>
    </r>
  </si>
  <si>
    <r>
      <rPr>
        <sz val="10"/>
        <rFont val="Segoe UI"/>
        <family val="2"/>
      </rPr>
      <t>Pago de bienes, servicios y obligaciones</t>
    </r>
  </si>
  <si>
    <r>
      <rPr>
        <sz val="10"/>
        <rFont val="Segoe UI"/>
        <family val="2"/>
      </rPr>
      <t>Compra de deuda</t>
    </r>
  </si>
  <si>
    <r>
      <rPr>
        <sz val="10"/>
        <rFont val="Segoe UI"/>
        <family val="2"/>
      </rPr>
      <t>Factoring</t>
    </r>
  </si>
  <si>
    <r>
      <rPr>
        <sz val="10"/>
        <rFont val="Segoe UI"/>
        <family val="2"/>
      </rPr>
      <t>Factoring - Pagarés</t>
    </r>
  </si>
  <si>
    <r>
      <rPr>
        <sz val="10"/>
        <rFont val="Segoe UI"/>
        <family val="2"/>
      </rPr>
      <t>Factoring - Letras</t>
    </r>
  </si>
  <si>
    <r>
      <rPr>
        <sz val="10"/>
        <rFont val="Segoe UI"/>
        <family val="2"/>
      </rPr>
      <t>Factoring - Facturas</t>
    </r>
  </si>
  <si>
    <r>
      <rPr>
        <sz val="10"/>
        <rFont val="Segoe UI"/>
        <family val="2"/>
      </rPr>
      <t>Factoring - Otros documentos</t>
    </r>
  </si>
  <si>
    <r>
      <rPr>
        <sz val="10"/>
        <rFont val="Segoe UI"/>
        <family val="2"/>
      </rPr>
      <t>Descuentos</t>
    </r>
  </si>
  <si>
    <r>
      <rPr>
        <sz val="10"/>
        <rFont val="Segoe UI"/>
        <family val="2"/>
      </rPr>
      <t>Descuentos - Pagarés</t>
    </r>
  </si>
  <si>
    <r>
      <rPr>
        <sz val="10"/>
        <rFont val="Segoe UI"/>
        <family val="2"/>
      </rPr>
      <t>Descuentos - Letras</t>
    </r>
  </si>
  <si>
    <r>
      <rPr>
        <sz val="10"/>
        <rFont val="Segoe UI"/>
        <family val="2"/>
      </rPr>
      <t>Descuentos - Facturas</t>
    </r>
  </si>
  <si>
    <r>
      <rPr>
        <sz val="10"/>
        <rFont val="Segoe UI"/>
        <family val="2"/>
      </rPr>
      <t>Descuentos - Otros</t>
    </r>
  </si>
  <si>
    <r>
      <rPr>
        <sz val="10"/>
        <rFont val="Segoe UI"/>
        <family val="2"/>
      </rPr>
      <t>Préstamos no revolventes</t>
    </r>
  </si>
  <si>
    <r>
      <rPr>
        <sz val="10"/>
        <rFont val="Segoe UI"/>
        <family val="2"/>
      </rPr>
      <t>Préstamos revolventes</t>
    </r>
  </si>
  <si>
    <r>
      <rPr>
        <sz val="10"/>
        <rFont val="Segoe UI"/>
        <family val="2"/>
      </rPr>
      <t>Arrendamiento financiero</t>
    </r>
  </si>
  <si>
    <r>
      <rPr>
        <sz val="10"/>
        <rFont val="Segoe UI"/>
        <family val="2"/>
      </rPr>
      <t>Lease-back</t>
    </r>
  </si>
  <si>
    <r>
      <rPr>
        <sz val="10"/>
        <rFont val="Segoe UI"/>
        <family val="2"/>
      </rPr>
      <t>Créditos por liquidar</t>
    </r>
  </si>
  <si>
    <r>
      <rPr>
        <sz val="10"/>
        <rFont val="Segoe UI"/>
        <family val="2"/>
      </rPr>
      <t>Créditos Inmobiliarios</t>
    </r>
  </si>
  <si>
    <r>
      <rPr>
        <sz val="10"/>
        <rFont val="Segoe UI"/>
        <family val="2"/>
      </rPr>
      <t>Otros créditos</t>
    </r>
  </si>
  <si>
    <r>
      <rPr>
        <sz val="10"/>
        <rFont val="Segoe UI"/>
        <family val="2"/>
      </rPr>
      <t>Revolventes</t>
    </r>
  </si>
  <si>
    <r>
      <rPr>
        <sz val="10"/>
        <rFont val="Segoe UI"/>
        <family val="2"/>
      </rPr>
      <t>No revolventes</t>
    </r>
  </si>
  <si>
    <r>
      <rPr>
        <sz val="10"/>
        <rFont val="Segoe UI"/>
        <family val="2"/>
      </rPr>
      <t>Créditos de consumo</t>
    </r>
  </si>
  <si>
    <r>
      <rPr>
        <sz val="10"/>
        <rFont val="Segoe UI"/>
        <family val="2"/>
      </rPr>
      <t>Préstamos para automóviles</t>
    </r>
  </si>
  <si>
    <r>
      <rPr>
        <sz val="10"/>
        <rFont val="Segoe UI"/>
        <family val="2"/>
      </rPr>
      <t>Préstamos para libre disponibilidad</t>
    </r>
  </si>
  <si>
    <r>
      <rPr>
        <sz val="10"/>
        <rFont val="Segoe UI"/>
        <family val="2"/>
      </rPr>
      <t>Préstamos otorgados bajo convenios elegibles</t>
    </r>
  </si>
  <si>
    <r>
      <rPr>
        <sz val="10"/>
        <rFont val="Segoe UI"/>
        <family val="2"/>
      </rPr>
      <t>Préstamos otorgados bajo convenios no elegibles</t>
    </r>
  </si>
  <si>
    <r>
      <rPr>
        <sz val="10"/>
        <rFont val="Segoe UI"/>
        <family val="2"/>
      </rPr>
      <t xml:space="preserve">Préstamos que cuenten con convenios de descuento de planilla y
</t>
    </r>
    <r>
      <rPr>
        <sz val="10"/>
        <rFont val="Segoe UI"/>
        <family val="2"/>
      </rPr>
      <t>que sean elegibles</t>
    </r>
  </si>
  <si>
    <r>
      <rPr>
        <sz val="10"/>
        <rFont val="Segoe UI"/>
        <family val="2"/>
      </rPr>
      <t xml:space="preserve">Préstamos que cuenten con convenios de descuento de planilla y
</t>
    </r>
    <r>
      <rPr>
        <sz val="10"/>
        <rFont val="Segoe UI"/>
        <family val="2"/>
      </rPr>
      <t>que no sean elegibles</t>
    </r>
  </si>
  <si>
    <r>
      <rPr>
        <sz val="10"/>
        <rFont val="Segoe UI"/>
        <family val="2"/>
      </rPr>
      <t>Préstamos asociados a líneas revolventes</t>
    </r>
  </si>
  <si>
    <r>
      <rPr>
        <sz val="10"/>
        <rFont val="Segoe UI"/>
        <family val="2"/>
      </rPr>
      <t>Préstamos revolventes otorgados bajo convenios</t>
    </r>
  </si>
  <si>
    <r>
      <rPr>
        <sz val="10"/>
        <rFont val="Segoe UI"/>
        <family val="2"/>
      </rPr>
      <t>Pignoraticios</t>
    </r>
  </si>
  <si>
    <r>
      <rPr>
        <sz val="10"/>
        <rFont val="Segoe UI"/>
        <family val="2"/>
      </rPr>
      <t>Créditos hipotecarios para vivienda</t>
    </r>
  </si>
  <si>
    <r>
      <rPr>
        <sz val="10"/>
        <rFont val="Segoe UI"/>
        <family val="2"/>
      </rPr>
      <t>Préstamos</t>
    </r>
  </si>
  <si>
    <r>
      <rPr>
        <sz val="10"/>
        <rFont val="Segoe UI"/>
        <family val="2"/>
      </rPr>
      <t>Préstamos con hipoteca inscrita</t>
    </r>
  </si>
  <si>
    <r>
      <rPr>
        <sz val="10"/>
        <rFont val="Segoe UI"/>
        <family val="2"/>
      </rPr>
      <t>Préstamos sin hipoteca inscrita</t>
    </r>
  </si>
  <si>
    <r>
      <rPr>
        <sz val="10"/>
        <rFont val="Segoe UI"/>
        <family val="2"/>
      </rPr>
      <t>Préstamos del Fondo Mi Vivienda</t>
    </r>
  </si>
  <si>
    <r>
      <rPr>
        <sz val="10"/>
        <rFont val="Segoe UI"/>
        <family val="2"/>
      </rPr>
      <t xml:space="preserve">Préstamos MIVIVIENDA otorgados con recursos de instituciones
</t>
    </r>
    <r>
      <rPr>
        <sz val="10"/>
        <rFont val="Segoe UI"/>
        <family val="2"/>
      </rPr>
      <t>financieras</t>
    </r>
  </si>
  <si>
    <r>
      <rPr>
        <sz val="10"/>
        <rFont val="Segoe UI"/>
        <family val="2"/>
      </rPr>
      <t xml:space="preserve">Otros créditos hipotecarios otorgados con recursos del Fondo
</t>
    </r>
    <r>
      <rPr>
        <sz val="10"/>
        <rFont val="Segoe UI"/>
        <family val="2"/>
      </rPr>
      <t>MIVIVIENDA</t>
    </r>
  </si>
  <si>
    <r>
      <rPr>
        <sz val="10"/>
        <rFont val="Segoe UI"/>
        <family val="2"/>
      </rPr>
      <t>Capitalización inmobiliaria</t>
    </r>
  </si>
  <si>
    <r>
      <rPr>
        <sz val="10"/>
        <rFont val="Arial Narrow"/>
        <family val="2"/>
      </rPr>
      <t>Créditos a entidades del sector público</t>
    </r>
  </si>
  <si>
    <r>
      <rPr>
        <sz val="10"/>
        <rFont val="Arial Narrow"/>
        <family val="2"/>
      </rPr>
      <t>Tarjetas de crédito</t>
    </r>
  </si>
  <si>
    <r>
      <rPr>
        <sz val="10"/>
        <rFont val="Arial Narrow"/>
        <family val="2"/>
      </rPr>
      <t>Factoring</t>
    </r>
  </si>
  <si>
    <r>
      <rPr>
        <sz val="10"/>
        <rFont val="Arial Narrow"/>
        <family val="2"/>
      </rPr>
      <t>Factoring - Pagarés</t>
    </r>
  </si>
  <si>
    <r>
      <rPr>
        <sz val="10"/>
        <rFont val="Arial Narrow"/>
        <family val="2"/>
      </rPr>
      <t>Factoring - Letras</t>
    </r>
  </si>
  <si>
    <r>
      <rPr>
        <sz val="10"/>
        <rFont val="Arial Narrow"/>
        <family val="2"/>
      </rPr>
      <t>Factoring - Facturas</t>
    </r>
  </si>
  <si>
    <r>
      <rPr>
        <sz val="10"/>
        <rFont val="Arial Narrow"/>
        <family val="2"/>
      </rPr>
      <t>Factoring - Otros documentos</t>
    </r>
  </si>
  <si>
    <r>
      <rPr>
        <sz val="10"/>
        <rFont val="Arial Narrow"/>
        <family val="2"/>
      </rPr>
      <t>Descuentos</t>
    </r>
  </si>
  <si>
    <r>
      <rPr>
        <sz val="10"/>
        <rFont val="Arial Narrow"/>
        <family val="2"/>
      </rPr>
      <t>Descuentos - Pagarés</t>
    </r>
  </si>
  <si>
    <r>
      <rPr>
        <sz val="10"/>
        <rFont val="Arial Narrow"/>
        <family val="2"/>
      </rPr>
      <t>Descuentos - Letras</t>
    </r>
  </si>
  <si>
    <r>
      <rPr>
        <sz val="10"/>
        <rFont val="Arial Narrow"/>
        <family val="2"/>
      </rPr>
      <t>Descuentos - Facturas</t>
    </r>
  </si>
  <si>
    <r>
      <rPr>
        <sz val="10"/>
        <rFont val="Arial Narrow"/>
        <family val="2"/>
      </rPr>
      <t>Descuentos - Otros</t>
    </r>
  </si>
  <si>
    <r>
      <rPr>
        <sz val="10"/>
        <rFont val="Arial Narrow"/>
        <family val="2"/>
      </rPr>
      <t>Préstamos no revolventes</t>
    </r>
  </si>
  <si>
    <r>
      <rPr>
        <sz val="10"/>
        <rFont val="Arial Narrow"/>
        <family val="2"/>
      </rPr>
      <t>Préstamos revolventes</t>
    </r>
  </si>
  <si>
    <r>
      <rPr>
        <sz val="10"/>
        <rFont val="Arial Narrow"/>
        <family val="2"/>
      </rPr>
      <t>Arrendamiento financiero</t>
    </r>
  </si>
  <si>
    <r>
      <rPr>
        <sz val="10"/>
        <rFont val="Arial Narrow"/>
        <family val="2"/>
      </rPr>
      <t>Lease-back</t>
    </r>
  </si>
  <si>
    <r>
      <rPr>
        <sz val="10"/>
        <rFont val="Arial Narrow"/>
        <family val="2"/>
      </rPr>
      <t>Créditos por liquidar</t>
    </r>
  </si>
  <si>
    <r>
      <rPr>
        <sz val="10"/>
        <rFont val="Arial Narrow"/>
        <family val="2"/>
      </rPr>
      <t>Créditos Inmobiliarios</t>
    </r>
  </si>
  <si>
    <r>
      <rPr>
        <sz val="10"/>
        <rFont val="Arial Narrow"/>
        <family val="2"/>
      </rPr>
      <t>Otros créditos</t>
    </r>
  </si>
  <si>
    <r>
      <rPr>
        <sz val="10"/>
        <rFont val="Arial Narrow"/>
        <family val="2"/>
      </rPr>
      <t>Revolventes</t>
    </r>
  </si>
  <si>
    <r>
      <rPr>
        <sz val="10"/>
        <rFont val="Arial Narrow"/>
        <family val="2"/>
      </rPr>
      <t>No revolventes</t>
    </r>
  </si>
  <si>
    <r>
      <rPr>
        <sz val="10"/>
        <rFont val="Segoe UI"/>
        <family val="2"/>
      </rPr>
      <t>Créditos a Coopac</t>
    </r>
  </si>
  <si>
    <r>
      <rPr>
        <sz val="10"/>
        <rFont val="Segoe UI"/>
        <family val="2"/>
      </rPr>
      <t>Subordinados</t>
    </r>
  </si>
  <si>
    <r>
      <rPr>
        <sz val="10"/>
        <rFont val="Segoe UI"/>
        <family val="2"/>
      </rPr>
      <t>No Subordinados</t>
    </r>
  </si>
  <si>
    <r>
      <rPr>
        <sz val="10"/>
        <rFont val="Segoe UI"/>
        <family val="2"/>
      </rPr>
      <t>Créditos corporativos</t>
    </r>
  </si>
  <si>
    <r>
      <rPr>
        <sz val="10"/>
        <rFont val="Segoe UI"/>
        <family val="2"/>
      </rPr>
      <t>Descuentos-Letras</t>
    </r>
  </si>
  <si>
    <r>
      <rPr>
        <sz val="10"/>
        <rFont val="Segoe UI"/>
        <family val="2"/>
      </rPr>
      <t>Descuentos-Facturas</t>
    </r>
  </si>
  <si>
    <r>
      <rPr>
        <sz val="10"/>
        <rFont val="Segoe UI"/>
        <family val="2"/>
      </rPr>
      <t>Descuentos-Otros</t>
    </r>
  </si>
  <si>
    <r>
      <rPr>
        <sz val="10"/>
        <rFont val="Segoe UI"/>
        <family val="2"/>
      </rPr>
      <t>Créditos inmobiliarios</t>
    </r>
  </si>
  <si>
    <r>
      <rPr>
        <sz val="10"/>
        <rFont val="Arial Narrow"/>
        <family val="2"/>
      </rPr>
      <t>Financiación de proyectos</t>
    </r>
  </si>
  <si>
    <r>
      <rPr>
        <sz val="10"/>
        <rFont val="Arial Narrow"/>
        <family val="2"/>
      </rPr>
      <t>Financiación de bienes</t>
    </r>
  </si>
  <si>
    <r>
      <rPr>
        <sz val="10"/>
        <rFont val="Arial Narrow"/>
        <family val="2"/>
      </rPr>
      <t>Financiación de commodities</t>
    </r>
  </si>
  <si>
    <r>
      <rPr>
        <sz val="10"/>
        <rFont val="Arial Narrow"/>
        <family val="2"/>
      </rPr>
      <t>Bienes inmuebles generadores de rentas</t>
    </r>
  </si>
  <si>
    <r>
      <rPr>
        <sz val="10"/>
        <rFont val="Arial Narrow"/>
        <family val="2"/>
      </rPr>
      <t>Bienes inmuebles comerciales de elevada volatilidad</t>
    </r>
  </si>
  <si>
    <r>
      <rPr>
        <sz val="10"/>
        <rFont val="Segoe UI"/>
        <family val="2"/>
      </rPr>
      <t>Créditos a grandes empresas</t>
    </r>
  </si>
  <si>
    <r>
      <rPr>
        <sz val="10"/>
        <rFont val="Segoe UI"/>
        <family val="2"/>
      </rPr>
      <t>Descuentos-Pagarés</t>
    </r>
  </si>
  <si>
    <r>
      <rPr>
        <sz val="10"/>
        <rFont val="Segoe UI"/>
        <family val="2"/>
      </rPr>
      <t>Créditos a medianas empresas</t>
    </r>
  </si>
  <si>
    <r>
      <rPr>
        <sz val="10"/>
        <rFont val="Segoe UI"/>
        <family val="2"/>
      </rPr>
      <t>Créditos a pequeñas empresas</t>
    </r>
  </si>
  <si>
    <r>
      <rPr>
        <sz val="10"/>
        <rFont val="Segoe UI"/>
        <family val="2"/>
      </rPr>
      <t>CRÉDITOS REESTRUCTURADOS</t>
    </r>
  </si>
  <si>
    <r>
      <rPr>
        <sz val="10"/>
        <rFont val="Arial Narrow"/>
        <family val="2"/>
      </rPr>
      <t>Créditos inmobiliarios</t>
    </r>
  </si>
  <si>
    <r>
      <rPr>
        <sz val="10"/>
        <rFont val="Segoe UI"/>
        <family val="2"/>
      </rPr>
      <t>CRÉDITOS REFINANCIADOS</t>
    </r>
  </si>
  <si>
    <r>
      <rPr>
        <sz val="10"/>
        <rFont val="Segoe UI"/>
        <family val="2"/>
      </rPr>
      <t>Préstamos del Fondo MIVIVIENDA</t>
    </r>
  </si>
  <si>
    <r>
      <rPr>
        <sz val="10"/>
        <rFont val="Segoe UI"/>
        <family val="2"/>
      </rPr>
      <t>CRÉDITOS VENCIDOS</t>
    </r>
  </si>
  <si>
    <r>
      <rPr>
        <sz val="10"/>
        <rFont val="Segoe UI"/>
        <family val="2"/>
      </rPr>
      <t>Descuentos - Otros documentos</t>
    </r>
  </si>
  <si>
    <r>
      <rPr>
        <sz val="10"/>
        <rFont val="Segoe UI"/>
        <family val="2"/>
      </rPr>
      <t>Créditos refinanciados</t>
    </r>
  </si>
  <si>
    <r>
      <rPr>
        <sz val="10"/>
        <rFont val="Segoe UI"/>
        <family val="2"/>
      </rPr>
      <t>Créditos reestructurados</t>
    </r>
  </si>
  <si>
    <r>
      <rPr>
        <sz val="10"/>
        <rFont val="Segoe UI"/>
        <family val="2"/>
      </rPr>
      <t xml:space="preserve">Préstamos que cuenten con convenio de descuento de planilla y que
</t>
    </r>
    <r>
      <rPr>
        <sz val="10"/>
        <rFont val="Segoe UI"/>
        <family val="2"/>
      </rPr>
      <t>no sean elegibles</t>
    </r>
  </si>
  <si>
    <r>
      <rPr>
        <sz val="10"/>
        <rFont val="Arial Narrow"/>
        <family val="2"/>
      </rPr>
      <t>Créditos refinanciados</t>
    </r>
  </si>
  <si>
    <r>
      <rPr>
        <sz val="10"/>
        <rFont val="Arial Narrow"/>
        <family val="2"/>
      </rPr>
      <t>Créditos reestructurados</t>
    </r>
  </si>
  <si>
    <r>
      <rPr>
        <sz val="10"/>
        <rFont val="Arial Narrow"/>
        <family val="2"/>
      </rPr>
      <t>Financiación de inmuebles generadores de rentas</t>
    </r>
  </si>
  <si>
    <r>
      <rPr>
        <sz val="10"/>
        <rFont val="Segoe UI"/>
        <family val="2"/>
      </rPr>
      <t>Otros Créditos</t>
    </r>
  </si>
  <si>
    <r>
      <rPr>
        <sz val="10"/>
        <rFont val="Segoe UI"/>
        <family val="2"/>
      </rPr>
      <t>CRÉDITOS EN COBRANZA JUDICIAL</t>
    </r>
  </si>
  <si>
    <r>
      <rPr>
        <sz val="10"/>
        <rFont val="Segoe UI"/>
        <family val="2"/>
      </rPr>
      <t>Préstamos no revolventes para automóviles</t>
    </r>
  </si>
  <si>
    <r>
      <rPr>
        <sz val="10"/>
        <rFont val="Segoe UI"/>
        <family val="2"/>
      </rPr>
      <t>Préstamos no revolventes para libre disponibilidad</t>
    </r>
  </si>
  <si>
    <r>
      <rPr>
        <sz val="10"/>
        <rFont val="Segoe UI"/>
        <family val="2"/>
      </rPr>
      <t>Préstamos no revolventes otorgados bajo convenios elegibles</t>
    </r>
  </si>
  <si>
    <r>
      <rPr>
        <sz val="10"/>
        <rFont val="Segoe UI"/>
        <family val="2"/>
      </rPr>
      <t>Préstamos no revolventes otorgados bajo convenios no elegibles</t>
    </r>
  </si>
  <si>
    <r>
      <rPr>
        <sz val="10"/>
        <rFont val="Segoe UI"/>
        <family val="2"/>
      </rPr>
      <t xml:space="preserve">Préstamos que cuenten con convenios de descuento por planilla y
</t>
    </r>
    <r>
      <rPr>
        <sz val="10"/>
        <rFont val="Segoe UI"/>
        <family val="2"/>
      </rPr>
      <t>que no sean elegibles</t>
    </r>
  </si>
  <si>
    <r>
      <rPr>
        <sz val="10"/>
        <rFont val="Segoe UI"/>
        <family val="2"/>
      </rPr>
      <t>RENDIMIENTOS DEVENGADOS DE CRÉDITOS VIGENTES</t>
    </r>
  </si>
  <si>
    <r>
      <rPr>
        <sz val="10"/>
        <rFont val="Segoe UI"/>
        <family val="2"/>
      </rPr>
      <t>Rendimientos devengados por créditos a microempresas</t>
    </r>
  </si>
  <si>
    <r>
      <rPr>
        <sz val="10"/>
        <rFont val="Segoe UI"/>
        <family val="2"/>
      </rPr>
      <t>Rendimientos devengados por créditos de consumo</t>
    </r>
  </si>
  <si>
    <r>
      <rPr>
        <sz val="10"/>
        <rFont val="Segoe UI"/>
        <family val="2"/>
      </rPr>
      <t>Rendimientos devengados por créditos hipotecarios para vivienda</t>
    </r>
  </si>
  <si>
    <r>
      <rPr>
        <sz val="10"/>
        <rFont val="Arial Narrow"/>
        <family val="2"/>
      </rPr>
      <t>Rendimientos devengados por créditos a entidades del sector público</t>
    </r>
  </si>
  <si>
    <r>
      <rPr>
        <sz val="10"/>
        <rFont val="Segoe UI"/>
        <family val="2"/>
      </rPr>
      <t>Rendimientos devengados por créditos a Coopac</t>
    </r>
  </si>
  <si>
    <r>
      <rPr>
        <sz val="10"/>
        <rFont val="Segoe UI"/>
        <family val="2"/>
      </rPr>
      <t>Rendimientos devengados por créditos corporativos</t>
    </r>
  </si>
  <si>
    <r>
      <rPr>
        <sz val="10"/>
        <rFont val="Segoe UI"/>
        <family val="2"/>
      </rPr>
      <t>Rendimientos devengados por créditos a grandes empresas</t>
    </r>
  </si>
  <si>
    <r>
      <rPr>
        <sz val="10"/>
        <rFont val="Segoe UI"/>
        <family val="2"/>
      </rPr>
      <t>Rendimientos devengados por créditos a medianas empresas</t>
    </r>
  </si>
  <si>
    <r>
      <rPr>
        <sz val="10"/>
        <rFont val="Segoe UI"/>
        <family val="2"/>
      </rPr>
      <t>Rendimientos devengados por créditos a pequeñas empresas</t>
    </r>
  </si>
  <si>
    <r>
      <rPr>
        <sz val="10"/>
        <rFont val="Segoe UI"/>
        <family val="2"/>
      </rPr>
      <t>(PROVISIONES PARA CRÉDITOS)</t>
    </r>
  </si>
  <si>
    <r>
      <rPr>
        <sz val="10"/>
        <rFont val="Segoe UI"/>
        <family val="2"/>
      </rPr>
      <t>(Provisiones para créditos a microempresas)</t>
    </r>
  </si>
  <si>
    <r>
      <rPr>
        <sz val="10"/>
        <rFont val="Segoe UI"/>
        <family val="2"/>
      </rPr>
      <t>Provisión específica</t>
    </r>
  </si>
  <si>
    <r>
      <rPr>
        <sz val="10"/>
        <rFont val="Segoe UI"/>
        <family val="2"/>
      </rPr>
      <t>Provisión genérica obligatoria</t>
    </r>
  </si>
  <si>
    <r>
      <rPr>
        <sz val="10"/>
        <rFont val="Segoe UI"/>
        <family val="2"/>
      </rPr>
      <t>Componente fijo</t>
    </r>
  </si>
  <si>
    <r>
      <rPr>
        <sz val="10"/>
        <rFont val="Segoe UI"/>
        <family val="2"/>
      </rPr>
      <t>Componente procíclico</t>
    </r>
  </si>
  <si>
    <r>
      <rPr>
        <sz val="10"/>
        <rFont val="Segoe UI"/>
        <family val="2"/>
      </rPr>
      <t xml:space="preserve">Provisión para valuación - Operaciones refinanciadas y
</t>
    </r>
    <r>
      <rPr>
        <sz val="10"/>
        <rFont val="Segoe UI"/>
        <family val="2"/>
      </rPr>
      <t>reestructuradas</t>
    </r>
  </si>
  <si>
    <r>
      <rPr>
        <sz val="10"/>
        <rFont val="Segoe UI"/>
        <family val="2"/>
      </rPr>
      <t>(Provisiones para créditos de consumo)</t>
    </r>
  </si>
  <si>
    <r>
      <rPr>
        <sz val="10"/>
        <rFont val="Segoe UI"/>
        <family val="2"/>
      </rPr>
      <t>(Provisiones para créditos hipotecarios para vivienda)</t>
    </r>
  </si>
  <si>
    <r>
      <rPr>
        <sz val="10"/>
        <rFont val="Arial Narrow"/>
        <family val="2"/>
      </rPr>
      <t>(Provisiones para créditos a entidades del sector público)</t>
    </r>
  </si>
  <si>
    <r>
      <rPr>
        <sz val="10"/>
        <rFont val="Arial Narrow"/>
        <family val="2"/>
      </rPr>
      <t>Provisión específica</t>
    </r>
  </si>
  <si>
    <r>
      <rPr>
        <sz val="10"/>
        <rFont val="Arial Narrow"/>
        <family val="2"/>
      </rPr>
      <t>Provisión genérica obligatoria</t>
    </r>
  </si>
  <si>
    <r>
      <rPr>
        <sz val="10"/>
        <rFont val="Arial Narrow"/>
        <family val="2"/>
      </rPr>
      <t>Componente fijo</t>
    </r>
  </si>
  <si>
    <r>
      <rPr>
        <sz val="10"/>
        <rFont val="Arial Narrow"/>
        <family val="2"/>
      </rPr>
      <t>Componente procíclico</t>
    </r>
  </si>
  <si>
    <r>
      <rPr>
        <sz val="10"/>
        <rFont val="Arial Narrow"/>
        <family val="2"/>
      </rPr>
      <t>Provisión para valuación-Operaciones refinanciadas y reestructuradas</t>
    </r>
  </si>
  <si>
    <r>
      <rPr>
        <sz val="10"/>
        <rFont val="Segoe UI"/>
        <family val="2"/>
      </rPr>
      <t>(Provisiones para créditos a Coopac)</t>
    </r>
  </si>
  <si>
    <r>
      <rPr>
        <sz val="10"/>
        <rFont val="Segoe UI"/>
        <family val="2"/>
      </rPr>
      <t>(Provisiones para créditos corporativos)</t>
    </r>
  </si>
  <si>
    <r>
      <rPr>
        <sz val="10"/>
        <rFont val="Segoe UI"/>
        <family val="2"/>
      </rPr>
      <t>(Provisiones para créditos a grandes empresas)</t>
    </r>
  </si>
  <si>
    <r>
      <rPr>
        <sz val="10"/>
        <rFont val="Segoe UI"/>
        <family val="2"/>
      </rPr>
      <t>(Provisiones para créditos a medianas empresas)</t>
    </r>
  </si>
  <si>
    <r>
      <rPr>
        <sz val="10"/>
        <rFont val="Segoe UI"/>
        <family val="2"/>
      </rPr>
      <t>(Provisiones para créditos a pequeñas empresas)</t>
    </r>
  </si>
  <si>
    <r>
      <rPr>
        <sz val="10"/>
        <rFont val="Segoe UI"/>
        <family val="2"/>
      </rPr>
      <t>CUENTAS POR COBRAR</t>
    </r>
  </si>
  <si>
    <r>
      <rPr>
        <sz val="10"/>
        <rFont val="Arial Narrow"/>
        <family val="2"/>
      </rPr>
      <t>PRODUCTOS FINANCIEROS DERIVADOS PARA NEGOCIACIÓN</t>
    </r>
  </si>
  <si>
    <r>
      <rPr>
        <sz val="10"/>
        <rFont val="Arial Narrow"/>
        <family val="2"/>
      </rPr>
      <t>Derivados de moneda extranjera</t>
    </r>
  </si>
  <si>
    <r>
      <rPr>
        <sz val="10"/>
        <rFont val="Arial Narrow"/>
        <family val="2"/>
      </rPr>
      <t>Derivados de tasa de interés</t>
    </r>
  </si>
  <si>
    <r>
      <rPr>
        <sz val="10"/>
        <rFont val="Arial Narrow"/>
        <family val="2"/>
      </rPr>
      <t>Derivados de instrumentos representativos de capital, deuda y commodities</t>
    </r>
  </si>
  <si>
    <r>
      <rPr>
        <sz val="10"/>
        <rFont val="Arial Narrow"/>
        <family val="2"/>
      </rPr>
      <t>Derivados de crédito</t>
    </r>
  </si>
  <si>
    <r>
      <rPr>
        <sz val="10"/>
        <rFont val="Arial Narrow"/>
        <family val="2"/>
      </rPr>
      <t>Otros productos financieros derivados</t>
    </r>
  </si>
  <si>
    <r>
      <rPr>
        <sz val="10"/>
        <rFont val="Segoe UI"/>
        <family val="2"/>
      </rPr>
      <t>PRODUCTOS FINANCIEROS DERIVADOS CON FINES DE COBERTURA</t>
    </r>
  </si>
  <si>
    <r>
      <rPr>
        <sz val="10"/>
        <rFont val="Segoe UI"/>
        <family val="2"/>
      </rPr>
      <t>Coberturas de Valor Razonable</t>
    </r>
  </si>
  <si>
    <r>
      <rPr>
        <sz val="10"/>
        <rFont val="Segoe UI"/>
        <family val="2"/>
      </rPr>
      <t>Derivados de moneda extranjera</t>
    </r>
  </si>
  <si>
    <r>
      <rPr>
        <sz val="10"/>
        <rFont val="Segoe UI"/>
        <family val="2"/>
      </rPr>
      <t>Coberturas de Flujos de Efectivo</t>
    </r>
  </si>
  <si>
    <r>
      <rPr>
        <sz val="10"/>
        <rFont val="Segoe UI"/>
        <family val="2"/>
      </rPr>
      <t xml:space="preserve">CUENTAS POR COBRAR POR VENTA DE BIENES Y SERVICIOS Y
</t>
    </r>
    <r>
      <rPr>
        <sz val="10"/>
        <rFont val="Segoe UI"/>
        <family val="2"/>
      </rPr>
      <t>FIDEICOMISO</t>
    </r>
  </si>
  <si>
    <r>
      <rPr>
        <sz val="10"/>
        <rFont val="Segoe UI"/>
        <family val="2"/>
      </rPr>
      <t>Cuentas por cobrar por venta de bienes</t>
    </r>
  </si>
  <si>
    <r>
      <rPr>
        <sz val="10"/>
        <rFont val="Segoe UI"/>
        <family val="2"/>
      </rPr>
      <t>Cuentas por cobrar por venta de servicios</t>
    </r>
  </si>
  <si>
    <r>
      <rPr>
        <sz val="10"/>
        <rFont val="Segoe UI"/>
        <family val="2"/>
      </rPr>
      <t>Cuentas por cobrar por alquiler de bienes</t>
    </r>
  </si>
  <si>
    <r>
      <rPr>
        <sz val="10"/>
        <rFont val="Arial Narrow"/>
        <family val="2"/>
      </rPr>
      <t>Cuentas por cobrar por Fideicomiso</t>
    </r>
  </si>
  <si>
    <r>
      <rPr>
        <sz val="10"/>
        <rFont val="Segoe UI"/>
        <family val="2"/>
      </rPr>
      <t>Recursos transferidos al patrimonio autónomo de seguro de crédito</t>
    </r>
  </si>
  <si>
    <r>
      <rPr>
        <sz val="10"/>
        <rFont val="Arial Narrow"/>
        <family val="2"/>
      </rPr>
      <t>Otras</t>
    </r>
  </si>
  <si>
    <r>
      <rPr>
        <sz val="10"/>
        <rFont val="Segoe UI"/>
        <family val="2"/>
      </rPr>
      <t xml:space="preserve">CUENTAS POR COBRAR POR PAGOS EFECTUADOS POR CUENTA DE
</t>
    </r>
    <r>
      <rPr>
        <sz val="10"/>
        <rFont val="Segoe UI"/>
        <family val="2"/>
      </rPr>
      <t>TERCEROS</t>
    </r>
  </si>
  <si>
    <r>
      <rPr>
        <sz val="10"/>
        <rFont val="Segoe UI"/>
        <family val="2"/>
      </rPr>
      <t>Seguros pagados por cuenta de terceros</t>
    </r>
  </si>
  <si>
    <r>
      <rPr>
        <sz val="10"/>
        <rFont val="Segoe UI"/>
        <family val="2"/>
      </rPr>
      <t>Seguros de incendio, terremoto y líneas aliadas</t>
    </r>
  </si>
  <si>
    <r>
      <rPr>
        <sz val="10"/>
        <rFont val="Segoe UI"/>
        <family val="2"/>
      </rPr>
      <t>Seguros de vida</t>
    </r>
  </si>
  <si>
    <r>
      <rPr>
        <sz val="10"/>
        <rFont val="Segoe UI"/>
        <family val="2"/>
      </rPr>
      <t>Impuestos pagados por cuenta de terceros</t>
    </r>
  </si>
  <si>
    <r>
      <rPr>
        <sz val="10"/>
        <rFont val="Segoe UI"/>
        <family val="2"/>
      </rPr>
      <t>Otras cuentas pagadas por cuenta de terceros</t>
    </r>
  </si>
  <si>
    <r>
      <rPr>
        <sz val="10"/>
        <rFont val="Segoe UI"/>
        <family val="2"/>
      </rPr>
      <t>COMISIONES POR COBRAR</t>
    </r>
  </si>
  <si>
    <r>
      <rPr>
        <sz val="10"/>
        <rFont val="Segoe UI"/>
        <family val="2"/>
      </rPr>
      <t>Comisiones por cobrar por garantías otorgadas</t>
    </r>
  </si>
  <si>
    <r>
      <rPr>
        <sz val="10"/>
        <rFont val="Segoe UI"/>
        <family val="2"/>
      </rPr>
      <t>Comisiones por cobrar por líneas de crédito</t>
    </r>
  </si>
  <si>
    <r>
      <rPr>
        <sz val="10"/>
        <rFont val="Segoe UI"/>
        <family val="2"/>
      </rPr>
      <t>Comisiones por cobrar por servicios de custodia</t>
    </r>
  </si>
  <si>
    <r>
      <rPr>
        <sz val="10"/>
        <rFont val="Segoe UI"/>
        <family val="2"/>
      </rPr>
      <t>Comisiones por cobrar por servicios de cobranza</t>
    </r>
  </si>
  <si>
    <r>
      <rPr>
        <sz val="10"/>
        <rFont val="Segoe UI"/>
        <family val="2"/>
      </rPr>
      <t>Comisiones por cobrar por servicios de alquiler de cajas de seguridad</t>
    </r>
  </si>
  <si>
    <r>
      <rPr>
        <sz val="10"/>
        <rFont val="Arial Narrow"/>
        <family val="2"/>
      </rPr>
      <t>Comisiones por cobrar por operaciones de fideicomiso</t>
    </r>
  </si>
  <si>
    <r>
      <rPr>
        <sz val="10"/>
        <rFont val="Segoe UI"/>
        <family val="2"/>
      </rPr>
      <t>Otras comisiones por cobrar</t>
    </r>
  </si>
  <si>
    <r>
      <rPr>
        <sz val="10"/>
        <rFont val="Segoe UI"/>
        <family val="2"/>
      </rPr>
      <t>CUENTAS POR COBRAR DIVERSAS</t>
    </r>
  </si>
  <si>
    <r>
      <rPr>
        <sz val="10"/>
        <rFont val="Segoe UI"/>
        <family val="2"/>
      </rPr>
      <t>Reclamos a terceros</t>
    </r>
  </si>
  <si>
    <r>
      <rPr>
        <sz val="10"/>
        <rFont val="Segoe UI"/>
        <family val="2"/>
      </rPr>
      <t>Adelantos al personal</t>
    </r>
  </si>
  <si>
    <r>
      <rPr>
        <sz val="10"/>
        <rFont val="Segoe UI"/>
        <family val="2"/>
      </rPr>
      <t>Indemnizaciones reclamadas por siniestros</t>
    </r>
  </si>
  <si>
    <r>
      <rPr>
        <sz val="10"/>
        <rFont val="Segoe UI"/>
        <family val="2"/>
      </rPr>
      <t>Derecho de cobro de conceptos complementarios contemplados en la cuota de arrendamiento financiero o capitalización inmobiliaria</t>
    </r>
  </si>
  <si>
    <r>
      <rPr>
        <sz val="10"/>
        <rFont val="Segoe UI"/>
        <family val="2"/>
      </rPr>
      <t>Cuentas por cobrar por operaciones de reporte</t>
    </r>
  </si>
  <si>
    <r>
      <rPr>
        <sz val="10"/>
        <rFont val="Segoe UI"/>
        <family val="2"/>
      </rPr>
      <t>Operaciones de venta con compromiso de recompra</t>
    </r>
  </si>
  <si>
    <r>
      <rPr>
        <sz val="10"/>
        <rFont val="Segoe UI"/>
        <family val="2"/>
      </rPr>
      <t>Operaciones de venta y compra simultáneas de valores</t>
    </r>
  </si>
  <si>
    <r>
      <rPr>
        <sz val="10"/>
        <rFont val="Segoe UI"/>
        <family val="2"/>
      </rPr>
      <t>Operaciones de transferencia temporal de valores</t>
    </r>
  </si>
  <si>
    <r>
      <rPr>
        <sz val="10"/>
        <rFont val="Segoe UI"/>
        <family val="2"/>
      </rPr>
      <t>Otras</t>
    </r>
  </si>
  <si>
    <r>
      <rPr>
        <sz val="10"/>
        <rFont val="Segoe UI"/>
        <family val="2"/>
      </rPr>
      <t>RENDIMIENTOS DEVENGADOS DE CUENTAS POR COBRAR</t>
    </r>
  </si>
  <si>
    <r>
      <rPr>
        <sz val="10"/>
        <rFont val="Segoe UI"/>
        <family val="2"/>
      </rPr>
      <t xml:space="preserve">Rendimientos devengados de cuentas por cobrar por venta de
</t>
    </r>
    <r>
      <rPr>
        <sz val="10"/>
        <rFont val="Segoe UI"/>
        <family val="2"/>
      </rPr>
      <t>bienes y servicios y fideicomisos</t>
    </r>
  </si>
  <si>
    <r>
      <rPr>
        <sz val="10"/>
        <rFont val="Segoe UI"/>
        <family val="2"/>
      </rPr>
      <t xml:space="preserve">Rendimientos devengados de cuentas por cobrar de pagos
</t>
    </r>
    <r>
      <rPr>
        <sz val="10"/>
        <rFont val="Segoe UI"/>
        <family val="2"/>
      </rPr>
      <t>efectuados por cuenta de terceros</t>
    </r>
  </si>
  <si>
    <r>
      <rPr>
        <sz val="10"/>
        <rFont val="Segoe UI"/>
        <family val="2"/>
      </rPr>
      <t>Rendimientos devengados de cuentas por cobrar diversas</t>
    </r>
  </si>
  <si>
    <r>
      <rPr>
        <sz val="10"/>
        <rFont val="Segoe UI"/>
        <family val="2"/>
      </rPr>
      <t xml:space="preserve">Rendimientos devengados de cuentas por cobrar por operaciones de
</t>
    </r>
    <r>
      <rPr>
        <sz val="10"/>
        <rFont val="Segoe UI"/>
        <family val="2"/>
      </rPr>
      <t>reporte</t>
    </r>
  </si>
  <si>
    <r>
      <rPr>
        <sz val="10"/>
        <rFont val="Segoe UI"/>
        <family val="2"/>
      </rPr>
      <t>Rendimientos devengados de otras cuentas por cobrar diversas</t>
    </r>
  </si>
  <si>
    <r>
      <rPr>
        <sz val="10"/>
        <rFont val="Segoe UI"/>
        <family val="2"/>
      </rPr>
      <t>(PROVISIONES PARA CUENTAS POR COBRAR)</t>
    </r>
  </si>
  <si>
    <r>
      <rPr>
        <sz val="10"/>
        <rFont val="Segoe UI"/>
        <family val="2"/>
      </rPr>
      <t xml:space="preserve">(Provisión para deudores por cuentas por cobrar de venta de bienes
</t>
    </r>
    <r>
      <rPr>
        <sz val="10"/>
        <rFont val="Segoe UI"/>
        <family val="2"/>
      </rPr>
      <t>y servicios y fideicomisos)</t>
    </r>
  </si>
  <si>
    <r>
      <rPr>
        <sz val="10"/>
        <rFont val="Segoe UI"/>
        <family val="2"/>
      </rPr>
      <t xml:space="preserve">(Provisiones para deudores por cuentas por cobrar de pagos por
</t>
    </r>
    <r>
      <rPr>
        <sz val="10"/>
        <rFont val="Segoe UI"/>
        <family val="2"/>
      </rPr>
      <t>cuenta de terceros)</t>
    </r>
  </si>
  <si>
    <r>
      <rPr>
        <sz val="10"/>
        <rFont val="Segoe UI"/>
        <family val="2"/>
      </rPr>
      <t>(Provisión para cuentas por cobrar diversas)</t>
    </r>
  </si>
  <si>
    <r>
      <rPr>
        <sz val="10"/>
        <rFont val="Segoe UI"/>
        <family val="2"/>
      </rPr>
      <t>(Provisión para cuentas por cobrar diversas – reclamos a terceros)</t>
    </r>
  </si>
  <si>
    <r>
      <rPr>
        <sz val="10"/>
        <rFont val="Segoe UI"/>
        <family val="2"/>
      </rPr>
      <t>(Provisión para cuentas por cobrar diversas – adelantos al personal)</t>
    </r>
  </si>
  <si>
    <r>
      <rPr>
        <sz val="10"/>
        <rFont val="Segoe UI"/>
        <family val="2"/>
      </rPr>
      <t xml:space="preserve">(Provisión para cuentas por cobrar diversas – indemnizaciones
</t>
    </r>
    <r>
      <rPr>
        <sz val="10"/>
        <rFont val="Segoe UI"/>
        <family val="2"/>
      </rPr>
      <t>reclamadas por siniestros)</t>
    </r>
  </si>
  <si>
    <r>
      <rPr>
        <sz val="10"/>
        <rFont val="Segoe UI"/>
        <family val="2"/>
      </rPr>
      <t xml:space="preserve">(Provisión para cuentas por cobrar diversas – operaciones de
</t>
    </r>
    <r>
      <rPr>
        <sz val="10"/>
        <rFont val="Segoe UI"/>
        <family val="2"/>
      </rPr>
      <t>reporte)</t>
    </r>
  </si>
  <si>
    <r>
      <rPr>
        <sz val="10"/>
        <rFont val="Segoe UI"/>
        <family val="2"/>
      </rPr>
      <t>(Provisión para cuentas por cobrar diversas – otras)</t>
    </r>
  </si>
  <si>
    <r>
      <rPr>
        <sz val="10"/>
        <rFont val="Segoe UI"/>
        <family val="2"/>
      </rPr>
      <t xml:space="preserve">BIENES REALIZABLES, RECIBIDOS EN PAGO Y ADJUDICADOS Y
</t>
    </r>
    <r>
      <rPr>
        <sz val="10"/>
        <rFont val="Segoe UI"/>
        <family val="2"/>
      </rPr>
      <t>ACTIVOS NO CORRIENTES MANTENIDOS PARA LA VENTA</t>
    </r>
  </si>
  <si>
    <r>
      <rPr>
        <sz val="10"/>
        <rFont val="Segoe UI"/>
        <family val="2"/>
      </rPr>
      <t>BIENES REALIZABLES</t>
    </r>
  </si>
  <si>
    <r>
      <rPr>
        <sz val="10"/>
        <rFont val="Segoe UI"/>
        <family val="2"/>
      </rPr>
      <t>Bienes para arrendamiento financiero</t>
    </r>
  </si>
  <si>
    <r>
      <rPr>
        <sz val="10"/>
        <rFont val="Segoe UI"/>
        <family val="2"/>
      </rPr>
      <t>Bienes para colocación</t>
    </r>
  </si>
  <si>
    <r>
      <rPr>
        <sz val="10"/>
        <rFont val="Segoe UI"/>
        <family val="2"/>
      </rPr>
      <t>Bienes recuperados</t>
    </r>
  </si>
  <si>
    <r>
      <rPr>
        <sz val="10"/>
        <rFont val="Segoe UI"/>
        <family val="2"/>
      </rPr>
      <t>Bienes para capitalización inmobiliaria</t>
    </r>
  </si>
  <si>
    <r>
      <rPr>
        <sz val="10"/>
        <rFont val="Segoe UI"/>
        <family val="2"/>
      </rPr>
      <t>Bienes restituidos</t>
    </r>
  </si>
  <si>
    <r>
      <rPr>
        <sz val="10"/>
        <rFont val="Segoe UI"/>
        <family val="2"/>
      </rPr>
      <t>Otros bienes realizables</t>
    </r>
  </si>
  <si>
    <r>
      <rPr>
        <sz val="10"/>
        <rFont val="Segoe UI"/>
        <family val="2"/>
      </rPr>
      <t>BIENES RECIBIDOS EN PAGO Y ADJUDICADOS</t>
    </r>
  </si>
  <si>
    <r>
      <rPr>
        <sz val="10"/>
        <rFont val="Segoe UI"/>
        <family val="2"/>
      </rPr>
      <t>Valores, títulos y metales preciosos recibidos en pago y adjudicados</t>
    </r>
  </si>
  <si>
    <r>
      <rPr>
        <sz val="10"/>
        <rFont val="Segoe UI"/>
        <family val="2"/>
      </rPr>
      <t>Valores y títulos</t>
    </r>
  </si>
  <si>
    <r>
      <rPr>
        <sz val="10"/>
        <rFont val="Segoe UI"/>
        <family val="2"/>
      </rPr>
      <t>Joyas y metales preciosos</t>
    </r>
  </si>
  <si>
    <r>
      <rPr>
        <sz val="10"/>
        <rFont val="Segoe UI"/>
        <family val="2"/>
      </rPr>
      <t>Productos y mercaderías recibidos en pago y adjudicados</t>
    </r>
  </si>
  <si>
    <r>
      <rPr>
        <sz val="10"/>
        <rFont val="Segoe UI"/>
        <family val="2"/>
      </rPr>
      <t>Agrícolas</t>
    </r>
  </si>
  <si>
    <r>
      <rPr>
        <sz val="10"/>
        <rFont val="Segoe UI"/>
        <family val="2"/>
      </rPr>
      <t>Mineros</t>
    </r>
  </si>
  <si>
    <r>
      <rPr>
        <sz val="10"/>
        <rFont val="Segoe UI"/>
        <family val="2"/>
      </rPr>
      <t>Inmuebles recibidos en pago y adjudicados</t>
    </r>
  </si>
  <si>
    <r>
      <rPr>
        <sz val="10"/>
        <rFont val="Segoe UI"/>
        <family val="2"/>
      </rPr>
      <t>Terrenos</t>
    </r>
  </si>
  <si>
    <r>
      <rPr>
        <sz val="10"/>
        <rFont val="Segoe UI"/>
        <family val="2"/>
      </rPr>
      <t>Edificios y otras construcciones</t>
    </r>
  </si>
  <si>
    <r>
      <rPr>
        <sz val="10"/>
        <rFont val="Segoe UI"/>
        <family val="2"/>
      </rPr>
      <t>Mobiliario y equipo recibidos en pago y adjudicados</t>
    </r>
  </si>
  <si>
    <r>
      <rPr>
        <sz val="10"/>
        <rFont val="Segoe UI"/>
        <family val="2"/>
      </rPr>
      <t>Mobiliario</t>
    </r>
  </si>
  <si>
    <r>
      <rPr>
        <sz val="10"/>
        <rFont val="Segoe UI"/>
        <family val="2"/>
      </rPr>
      <t>Equipo</t>
    </r>
  </si>
  <si>
    <r>
      <rPr>
        <sz val="10"/>
        <rFont val="Segoe UI"/>
        <family val="2"/>
      </rPr>
      <t xml:space="preserve">Maquinarias y unidades de transporte recibidas en pago y
</t>
    </r>
    <r>
      <rPr>
        <sz val="10"/>
        <rFont val="Segoe UI"/>
        <family val="2"/>
      </rPr>
      <t>adjudicadas</t>
    </r>
  </si>
  <si>
    <r>
      <rPr>
        <sz val="10"/>
        <rFont val="Segoe UI"/>
        <family val="2"/>
      </rPr>
      <t>Maquinarias</t>
    </r>
  </si>
  <si>
    <r>
      <rPr>
        <sz val="10"/>
        <rFont val="Segoe UI"/>
        <family val="2"/>
      </rPr>
      <t>Unidades de transporte</t>
    </r>
  </si>
  <si>
    <r>
      <rPr>
        <sz val="10"/>
        <rFont val="Arial Narrow"/>
        <family val="2"/>
      </rPr>
      <t>Derechos de fideicomisario recibidos en pago y adjudicados</t>
    </r>
  </si>
  <si>
    <r>
      <rPr>
        <sz val="10"/>
        <rFont val="Segoe UI"/>
        <family val="2"/>
      </rPr>
      <t>Otros bienes recibidos en pago y adjudicados</t>
    </r>
  </si>
  <si>
    <r>
      <rPr>
        <sz val="10"/>
        <rFont val="Segoe UI"/>
        <family val="2"/>
      </rPr>
      <t>ACTIVOS NO CORRIENTES MANTENIDOS PARA LA VENTA</t>
    </r>
  </si>
  <si>
    <r>
      <rPr>
        <sz val="10"/>
        <rFont val="Segoe UI"/>
        <family val="2"/>
      </rPr>
      <t>Inmuebles</t>
    </r>
  </si>
  <si>
    <r>
      <rPr>
        <sz val="10"/>
        <rFont val="Segoe UI"/>
        <family val="2"/>
      </rPr>
      <t>Mobiliario y equipo</t>
    </r>
  </si>
  <si>
    <r>
      <rPr>
        <sz val="10"/>
        <rFont val="Segoe UI"/>
        <family val="2"/>
      </rPr>
      <t>Equipos de transporte y maquinarias</t>
    </r>
  </si>
  <si>
    <r>
      <rPr>
        <sz val="10"/>
        <rFont val="Segoe UI"/>
        <family val="2"/>
      </rPr>
      <t>Otros bienes</t>
    </r>
  </si>
  <si>
    <r>
      <rPr>
        <sz val="10"/>
        <rFont val="Segoe UI"/>
        <family val="2"/>
      </rPr>
      <t xml:space="preserve">(PROVISIONES PARA BIENES REALIZABLES, RECIBIDOS EN PAGO Y
</t>
    </r>
    <r>
      <rPr>
        <sz val="10"/>
        <rFont val="Segoe UI"/>
        <family val="2"/>
      </rPr>
      <t>ADJUDICADOS Y ACTIVOS NO CORRIENTES MANTENIDOS PARA LA VENTA)</t>
    </r>
  </si>
  <si>
    <r>
      <rPr>
        <sz val="10"/>
        <rFont val="Segoe UI"/>
        <family val="2"/>
      </rPr>
      <t>(Provisión para bienes realizables)</t>
    </r>
  </si>
  <si>
    <r>
      <rPr>
        <sz val="10"/>
        <rFont val="Segoe UI"/>
        <family val="2"/>
      </rPr>
      <t>(Provisión para bienes recibidos en pago y adjudicados)</t>
    </r>
  </si>
  <si>
    <r>
      <rPr>
        <sz val="10"/>
        <rFont val="Segoe UI"/>
        <family val="2"/>
      </rPr>
      <t>(Provisión para activos no corrientes mantenidos para la venta)</t>
    </r>
  </si>
  <si>
    <r>
      <rPr>
        <sz val="10"/>
        <rFont val="Segoe UI"/>
        <family val="2"/>
      </rPr>
      <t>INVERSIONES EN SUBSIDIARIAS Y ASOCIADAS</t>
    </r>
  </si>
  <si>
    <r>
      <rPr>
        <sz val="10"/>
        <rFont val="Segoe UI"/>
        <family val="2"/>
      </rPr>
      <t>INVERSIONES EN SUBSIDIARIAS Y ASOCIADAS - Pais</t>
    </r>
  </si>
  <si>
    <r>
      <rPr>
        <sz val="10"/>
        <rFont val="Segoe UI"/>
        <family val="2"/>
      </rPr>
      <t>Subsidiarias</t>
    </r>
  </si>
  <si>
    <r>
      <rPr>
        <sz val="10"/>
        <rFont val="Segoe UI"/>
        <family val="2"/>
      </rPr>
      <t>Asociadas</t>
    </r>
  </si>
  <si>
    <r>
      <rPr>
        <sz val="10"/>
        <rFont val="Segoe UI"/>
        <family val="2"/>
      </rPr>
      <t>INVERSIONES EN SUBSIDIARIAS Y ASOCIADAS - Exterior</t>
    </r>
  </si>
  <si>
    <r>
      <rPr>
        <sz val="10"/>
        <rFont val="Segoe UI"/>
        <family val="2"/>
      </rPr>
      <t>INMUEBLES, MOBILIARIO Y EQUIPO</t>
    </r>
  </si>
  <si>
    <r>
      <rPr>
        <sz val="10"/>
        <rFont val="Segoe UI"/>
        <family val="2"/>
      </rPr>
      <t>TERRENOS</t>
    </r>
  </si>
  <si>
    <r>
      <rPr>
        <sz val="10"/>
        <rFont val="Segoe UI"/>
        <family val="2"/>
      </rPr>
      <t>EDIFICIOS E INSTALACIONES</t>
    </r>
  </si>
  <si>
    <r>
      <rPr>
        <sz val="10"/>
        <rFont val="Segoe UI"/>
        <family val="2"/>
      </rPr>
      <t>Edificios</t>
    </r>
  </si>
  <si>
    <r>
      <rPr>
        <sz val="10"/>
        <rFont val="Segoe UI"/>
        <family val="2"/>
      </rPr>
      <t>Instalaciones</t>
    </r>
  </si>
  <si>
    <r>
      <rPr>
        <sz val="10"/>
        <rFont val="Segoe UI"/>
        <family val="2"/>
      </rPr>
      <t>MOBILIARIO Y EQUIPO</t>
    </r>
  </si>
  <si>
    <r>
      <rPr>
        <sz val="10"/>
        <rFont val="Segoe UI"/>
        <family val="2"/>
      </rPr>
      <t>Equipos de computación</t>
    </r>
  </si>
  <si>
    <r>
      <rPr>
        <sz val="10"/>
        <rFont val="Segoe UI"/>
        <family val="2"/>
      </rPr>
      <t>Otros bienes y equipos de oficina</t>
    </r>
  </si>
  <si>
    <r>
      <rPr>
        <sz val="10"/>
        <rFont val="Segoe UI"/>
        <family val="2"/>
      </rPr>
      <t>EQUIPOS DE TRANSPORTE Y MAQUINARIAS</t>
    </r>
  </si>
  <si>
    <r>
      <rPr>
        <sz val="10"/>
        <rFont val="Segoe UI"/>
        <family val="2"/>
      </rPr>
      <t>Vehículos</t>
    </r>
  </si>
  <si>
    <r>
      <rPr>
        <sz val="10"/>
        <rFont val="Segoe UI"/>
        <family val="2"/>
      </rPr>
      <t>BIENES RECIBIDOS EN ARRENDAMIENTO FINANCIERO</t>
    </r>
  </si>
  <si>
    <r>
      <rPr>
        <sz val="10"/>
        <rFont val="Segoe UI"/>
        <family val="2"/>
      </rPr>
      <t>Inmuebles recibidos en arrendamiento financiero</t>
    </r>
  </si>
  <si>
    <r>
      <rPr>
        <sz val="10"/>
        <rFont val="Segoe UI"/>
        <family val="2"/>
      </rPr>
      <t>Mobiliario y equipo de oficina recibidos en arrendamiento financiero</t>
    </r>
  </si>
  <si>
    <r>
      <rPr>
        <sz val="10"/>
        <rFont val="Segoe UI"/>
        <family val="2"/>
      </rPr>
      <t xml:space="preserve">Equipos de transporte y maquinarias recibidos en arrendamiento
</t>
    </r>
    <r>
      <rPr>
        <sz val="10"/>
        <rFont val="Segoe UI"/>
        <family val="2"/>
      </rPr>
      <t>financiero</t>
    </r>
  </si>
  <si>
    <r>
      <rPr>
        <sz val="10"/>
        <rFont val="Segoe UI"/>
        <family val="2"/>
      </rPr>
      <t>Otros bienes recibidos en arrendamiento financiero</t>
    </r>
  </si>
  <si>
    <r>
      <rPr>
        <sz val="10"/>
        <rFont val="Segoe UI"/>
        <family val="2"/>
      </rPr>
      <t>OBRAS EN EJECUCIÓN Y BIENES POR RECIBIR</t>
    </r>
  </si>
  <si>
    <r>
      <rPr>
        <sz val="10"/>
        <rFont val="Segoe UI"/>
        <family val="2"/>
      </rPr>
      <t>Obras en ejecución</t>
    </r>
  </si>
  <si>
    <r>
      <rPr>
        <sz val="10"/>
        <rFont val="Segoe UI"/>
        <family val="2"/>
      </rPr>
      <t>Obras ejecutadas por la propia empresa</t>
    </r>
  </si>
  <si>
    <r>
      <rPr>
        <sz val="10"/>
        <rFont val="Segoe UI"/>
        <family val="2"/>
      </rPr>
      <t>Obras sujetas a contratos de capitalización inmobiliaria</t>
    </r>
  </si>
  <si>
    <r>
      <rPr>
        <sz val="10"/>
        <rFont val="Segoe UI"/>
        <family val="2"/>
      </rPr>
      <t>Obras no sujetas a contratos de capitalización inmobiliaria</t>
    </r>
  </si>
  <si>
    <r>
      <rPr>
        <sz val="10"/>
        <rFont val="Segoe UI"/>
        <family val="2"/>
      </rPr>
      <t>Obras ejecutadas por terceros</t>
    </r>
  </si>
  <si>
    <r>
      <rPr>
        <sz val="10"/>
        <rFont val="Segoe UI"/>
        <family val="2"/>
      </rPr>
      <t>Bienes por recibir</t>
    </r>
  </si>
  <si>
    <r>
      <rPr>
        <sz val="10"/>
        <rFont val="Segoe UI"/>
        <family val="2"/>
      </rPr>
      <t>INSTALACIONES EN BIENES ALQUILADOS</t>
    </r>
  </si>
  <si>
    <r>
      <rPr>
        <sz val="10"/>
        <rFont val="Segoe UI"/>
        <family val="2"/>
      </rPr>
      <t>Instalaciones en bienes alquilados</t>
    </r>
  </si>
  <si>
    <r>
      <rPr>
        <sz val="10"/>
        <rFont val="Segoe UI"/>
        <family val="2"/>
      </rPr>
      <t xml:space="preserve">(DEPRECIACIÓN Y DETERIORO ACUMULADO DE INMUEBLES,
</t>
    </r>
    <r>
      <rPr>
        <sz val="10"/>
        <rFont val="Segoe UI"/>
        <family val="2"/>
      </rPr>
      <t>MOBILIARIO Y EQUIPO)</t>
    </r>
  </si>
  <si>
    <r>
      <rPr>
        <sz val="10"/>
        <rFont val="Segoe UI"/>
        <family val="2"/>
      </rPr>
      <t>(Depreciación acumulada de edificios e instalaciones)</t>
    </r>
  </si>
  <si>
    <r>
      <rPr>
        <sz val="10"/>
        <rFont val="Segoe UI"/>
        <family val="2"/>
      </rPr>
      <t>(Depreciación acumulada de mobiliario y equipo)</t>
    </r>
  </si>
  <si>
    <r>
      <rPr>
        <sz val="10"/>
        <rFont val="Segoe UI"/>
        <family val="2"/>
      </rPr>
      <t>(Depreciación acumulada de equipos de transporte y maquinarias)</t>
    </r>
  </si>
  <si>
    <r>
      <rPr>
        <sz val="10"/>
        <rFont val="Segoe UI"/>
        <family val="2"/>
      </rPr>
      <t xml:space="preserve">(Depreciación acumulada de bienes recibidos en arrendamiento
</t>
    </r>
    <r>
      <rPr>
        <sz val="10"/>
        <rFont val="Segoe UI"/>
        <family val="2"/>
      </rPr>
      <t>financiero)</t>
    </r>
  </si>
  <si>
    <r>
      <rPr>
        <sz val="10"/>
        <rFont val="Segoe UI"/>
        <family val="2"/>
      </rPr>
      <t>(Amortización acumulada de instalaciones en bienes alquilados)</t>
    </r>
  </si>
  <si>
    <r>
      <rPr>
        <sz val="10"/>
        <rFont val="Segoe UI"/>
        <family val="2"/>
      </rPr>
      <t>(Deterioro acumulado de Inmuebles, Mobiliario y Equipo</t>
    </r>
  </si>
  <si>
    <r>
      <rPr>
        <sz val="10"/>
        <rFont val="Segoe UI"/>
        <family val="2"/>
      </rPr>
      <t>(Deterioro acumulado de terrenos)</t>
    </r>
  </si>
  <si>
    <r>
      <rPr>
        <sz val="10"/>
        <rFont val="Segoe UI"/>
        <family val="2"/>
      </rPr>
      <t>(Deterioro acumulado de edificios e instalaciones)</t>
    </r>
  </si>
  <si>
    <r>
      <rPr>
        <sz val="10"/>
        <rFont val="Segoe UI"/>
        <family val="2"/>
      </rPr>
      <t>(Deterioro acumulado de mobiliario y equipo)</t>
    </r>
  </si>
  <si>
    <r>
      <rPr>
        <sz val="10"/>
        <rFont val="Segoe UI"/>
        <family val="2"/>
      </rPr>
      <t>(Deterioro acumulado de equipos de transporte y maquinarias)</t>
    </r>
  </si>
  <si>
    <r>
      <rPr>
        <sz val="10"/>
        <rFont val="Segoe UI"/>
        <family val="2"/>
      </rPr>
      <t xml:space="preserve">(Deterioro acumulado de bienes recibidos en arrendamiento
</t>
    </r>
    <r>
      <rPr>
        <sz val="10"/>
        <rFont val="Segoe UI"/>
        <family val="2"/>
      </rPr>
      <t>financiero)</t>
    </r>
  </si>
  <si>
    <r>
      <rPr>
        <sz val="10"/>
        <rFont val="Segoe UI"/>
        <family val="2"/>
      </rPr>
      <t>(Deterioro acumulado de instalaciones en bienes alquilados)</t>
    </r>
  </si>
  <si>
    <r>
      <rPr>
        <sz val="10"/>
        <rFont val="Segoe UI"/>
        <family val="2"/>
      </rPr>
      <t>OTROS ACTIVOS</t>
    </r>
  </si>
  <si>
    <r>
      <rPr>
        <sz val="10"/>
        <rFont val="Segoe UI"/>
        <family val="2"/>
      </rPr>
      <t>PAGOS ANTICIPADOS Y CARGAS DIFERIDAS</t>
    </r>
  </si>
  <si>
    <r>
      <rPr>
        <sz val="10"/>
        <rFont val="Segoe UI"/>
        <family val="2"/>
      </rPr>
      <t>Seguros pagados por anticipado</t>
    </r>
  </si>
  <si>
    <r>
      <rPr>
        <sz val="10"/>
        <rFont val="Segoe UI"/>
        <family val="2"/>
      </rPr>
      <t>Alquileres pagados por anticipado</t>
    </r>
  </si>
  <si>
    <r>
      <rPr>
        <sz val="10"/>
        <rFont val="Segoe UI"/>
        <family val="2"/>
      </rPr>
      <t>Publicidad y mercadeo pagados por anticipado</t>
    </r>
  </si>
  <si>
    <r>
      <rPr>
        <sz val="10"/>
        <rFont val="Segoe UI"/>
        <family val="2"/>
      </rPr>
      <t>Suscripciones pagadas por anticipado</t>
    </r>
  </si>
  <si>
    <r>
      <rPr>
        <sz val="10"/>
        <rFont val="Segoe UI"/>
        <family val="2"/>
      </rPr>
      <t>Comisiones por servicios pagados por anticipado</t>
    </r>
  </si>
  <si>
    <r>
      <rPr>
        <sz val="10"/>
        <rFont val="Segoe UI"/>
        <family val="2"/>
      </rPr>
      <t>Entregas a rendir cuenta</t>
    </r>
  </si>
  <si>
    <r>
      <rPr>
        <sz val="10"/>
        <rFont val="Segoe UI"/>
        <family val="2"/>
      </rPr>
      <t>Útiles de oficina y suministros diversos pagados por anticipado</t>
    </r>
  </si>
  <si>
    <r>
      <rPr>
        <sz val="10"/>
        <rFont val="Segoe UI"/>
        <family val="2"/>
      </rPr>
      <t>Otras cargas diferidas</t>
    </r>
  </si>
  <si>
    <r>
      <rPr>
        <sz val="10"/>
        <rFont val="Segoe UI"/>
        <family val="2"/>
      </rPr>
      <t>Otros gastos pagados por anticipado</t>
    </r>
  </si>
  <si>
    <r>
      <rPr>
        <sz val="10"/>
        <rFont val="Segoe UI"/>
        <family val="2"/>
      </rPr>
      <t>INTERESES Y COMISIONES PAGADOS POR ANTICIPADO</t>
    </r>
  </si>
  <si>
    <r>
      <rPr>
        <sz val="10"/>
        <rFont val="Segoe UI"/>
        <family val="2"/>
      </rPr>
      <t>Adeudos y Obligaciones con COFIDE</t>
    </r>
  </si>
  <si>
    <r>
      <rPr>
        <sz val="10"/>
        <rFont val="Segoe UI"/>
        <family val="2"/>
      </rPr>
      <t xml:space="preserve">Adeudos y Obligaciones con Coopac y empresas del sistema
</t>
    </r>
    <r>
      <rPr>
        <sz val="10"/>
        <rFont val="Segoe UI"/>
        <family val="2"/>
      </rPr>
      <t>financiero del país</t>
    </r>
  </si>
  <si>
    <r>
      <rPr>
        <sz val="10"/>
        <rFont val="Segoe UI"/>
        <family val="2"/>
      </rPr>
      <t>Adeudos y Obligaciones con instituciones financieras del exterior</t>
    </r>
  </si>
  <si>
    <r>
      <rPr>
        <sz val="10"/>
        <rFont val="Segoe UI"/>
        <family val="2"/>
      </rPr>
      <t>Adeudos y Obligaciones con organismos financieros internacionales</t>
    </r>
  </si>
  <si>
    <r>
      <rPr>
        <sz val="10"/>
        <rFont val="Segoe UI"/>
        <family val="2"/>
      </rPr>
      <t>Otros adeudos y obligaciones con el paìs</t>
    </r>
  </si>
  <si>
    <r>
      <rPr>
        <sz val="10"/>
        <rFont val="Segoe UI"/>
        <family val="2"/>
      </rPr>
      <t>Otros adeudos y obligaciones con el exterior</t>
    </r>
  </si>
  <si>
    <r>
      <rPr>
        <sz val="10"/>
        <rFont val="Segoe UI"/>
        <family val="2"/>
      </rPr>
      <t>IMPUESTO A LA RENTA DIFERIDO</t>
    </r>
  </si>
  <si>
    <r>
      <rPr>
        <sz val="10"/>
        <rFont val="Segoe UI"/>
        <family val="2"/>
      </rPr>
      <t>Activo por Impuesto a la Renta Diferido</t>
    </r>
  </si>
  <si>
    <r>
      <rPr>
        <sz val="10"/>
        <rFont val="Segoe UI"/>
        <family val="2"/>
      </rPr>
      <t xml:space="preserve">Activo por impuesto a la renta diferido asociado a diferencias
</t>
    </r>
    <r>
      <rPr>
        <sz val="10"/>
        <rFont val="Segoe UI"/>
        <family val="2"/>
      </rPr>
      <t>temporarias deducibles</t>
    </r>
  </si>
  <si>
    <r>
      <rPr>
        <sz val="10"/>
        <rFont val="Segoe UI"/>
        <family val="2"/>
      </rPr>
      <t xml:space="preserve">Activo por impuesto a la renta diferido asociado a pérdidas
</t>
    </r>
    <r>
      <rPr>
        <sz val="10"/>
        <rFont val="Segoe UI"/>
        <family val="2"/>
      </rPr>
      <t>tributarias generadas en períodos anteriores</t>
    </r>
  </si>
  <si>
    <r>
      <rPr>
        <sz val="10"/>
        <rFont val="Segoe UI"/>
        <family val="2"/>
      </rPr>
      <t>ACTIVOS INTANGIBLES</t>
    </r>
  </si>
  <si>
    <r>
      <rPr>
        <sz val="10"/>
        <rFont val="Segoe UI"/>
        <family val="2"/>
      </rPr>
      <t>Software</t>
    </r>
  </si>
  <si>
    <r>
      <rPr>
        <sz val="10"/>
        <rFont val="Segoe UI"/>
        <family val="2"/>
      </rPr>
      <t>Goodwill</t>
    </r>
  </si>
  <si>
    <r>
      <rPr>
        <sz val="10"/>
        <rFont val="Segoe UI"/>
        <family val="2"/>
      </rPr>
      <t>Otros activos intangibles</t>
    </r>
  </si>
  <si>
    <r>
      <rPr>
        <sz val="10"/>
        <rFont val="Segoe UI"/>
        <family val="2"/>
      </rPr>
      <t>(Amortización y deterioro acumulado de activos intangibles)</t>
    </r>
  </si>
  <si>
    <r>
      <rPr>
        <sz val="10"/>
        <rFont val="Segoe UI"/>
        <family val="2"/>
      </rPr>
      <t>(Amortización y deterioro acumulado del goodwill)</t>
    </r>
  </si>
  <si>
    <r>
      <rPr>
        <sz val="10"/>
        <rFont val="Segoe UI"/>
        <family val="2"/>
      </rPr>
      <t>(Amortización y deterioro acumulado de otros activos intangibles)</t>
    </r>
  </si>
  <si>
    <r>
      <rPr>
        <sz val="10"/>
        <rFont val="Segoe UI"/>
        <family val="2"/>
      </rPr>
      <t>CRÉDITO FISCAL</t>
    </r>
  </si>
  <si>
    <r>
      <rPr>
        <sz val="10"/>
        <rFont val="Segoe UI"/>
        <family val="2"/>
      </rPr>
      <t>Crédito fiscal del Impuesto General a las Ventas</t>
    </r>
  </si>
  <si>
    <r>
      <rPr>
        <sz val="10"/>
        <rFont val="Segoe UI"/>
        <family val="2"/>
      </rPr>
      <t>Crédito fiscal del Impuesto a la Renta</t>
    </r>
  </si>
  <si>
    <r>
      <rPr>
        <sz val="10"/>
        <rFont val="Segoe UI"/>
        <family val="2"/>
      </rPr>
      <t>BIENES DIVERSOS</t>
    </r>
  </si>
  <si>
    <r>
      <rPr>
        <sz val="10"/>
        <rFont val="Segoe UI"/>
        <family val="2"/>
      </rPr>
      <t>Obras de arte</t>
    </r>
  </si>
  <si>
    <r>
      <rPr>
        <sz val="10"/>
        <rFont val="Segoe UI"/>
        <family val="2"/>
      </rPr>
      <t>Monedas y joyas</t>
    </r>
  </si>
  <si>
    <r>
      <rPr>
        <sz val="10"/>
        <rFont val="Segoe UI"/>
        <family val="2"/>
      </rPr>
      <t>Biblioteca</t>
    </r>
  </si>
  <si>
    <r>
      <rPr>
        <sz val="10"/>
        <rFont val="Segoe UI"/>
        <family val="2"/>
      </rPr>
      <t>Instituciones sociales y gremiales</t>
    </r>
  </si>
  <si>
    <r>
      <rPr>
        <sz val="10"/>
        <rFont val="Segoe UI"/>
        <family val="2"/>
      </rPr>
      <t>Bienes de disponibilidad restringida</t>
    </r>
  </si>
  <si>
    <r>
      <rPr>
        <sz val="10"/>
        <rFont val="Segoe UI"/>
        <family val="2"/>
      </rPr>
      <t>OPERACIONES EN TRÁMITE</t>
    </r>
  </si>
  <si>
    <r>
      <rPr>
        <sz val="10"/>
        <rFont val="Segoe UI"/>
        <family val="2"/>
      </rPr>
      <t>Cheques rechazados</t>
    </r>
  </si>
  <si>
    <r>
      <rPr>
        <sz val="10"/>
        <rFont val="Segoe UI"/>
        <family val="2"/>
      </rPr>
      <t>Faltantes de caja</t>
    </r>
  </si>
  <si>
    <r>
      <rPr>
        <sz val="10"/>
        <rFont val="Segoe UI"/>
        <family val="2"/>
      </rPr>
      <t>Cheques falsificados</t>
    </r>
  </si>
  <si>
    <r>
      <rPr>
        <sz val="10"/>
        <rFont val="Segoe UI"/>
        <family val="2"/>
      </rPr>
      <t>Documentos extraviados</t>
    </r>
  </si>
  <si>
    <r>
      <rPr>
        <sz val="10"/>
        <rFont val="Segoe UI"/>
        <family val="2"/>
      </rPr>
      <t>Diferencias por regularizar</t>
    </r>
  </si>
  <si>
    <r>
      <rPr>
        <sz val="10"/>
        <rFont val="Segoe UI"/>
        <family val="2"/>
      </rPr>
      <t>Adelantos a proveedores</t>
    </r>
  </si>
  <si>
    <r>
      <rPr>
        <sz val="10"/>
        <rFont val="Segoe UI"/>
        <family val="2"/>
      </rPr>
      <t>Operaciones por liquidar</t>
    </r>
  </si>
  <si>
    <r>
      <rPr>
        <sz val="10"/>
        <rFont val="Segoe UI"/>
        <family val="2"/>
      </rPr>
      <t>OFICINA PRINCIPAL, SUCURSALES Y AGENCIAS</t>
    </r>
  </si>
  <si>
    <r>
      <rPr>
        <sz val="10"/>
        <rFont val="Segoe UI"/>
        <family val="2"/>
      </rPr>
      <t>Operaciones país</t>
    </r>
  </si>
  <si>
    <r>
      <rPr>
        <sz val="10"/>
        <rFont val="Segoe UI"/>
        <family val="2"/>
      </rPr>
      <t>Operaciones exterior</t>
    </r>
  </si>
  <si>
    <r>
      <rPr>
        <sz val="10"/>
        <rFont val="Segoe UI"/>
        <family val="2"/>
      </rPr>
      <t>PASIVO</t>
    </r>
  </si>
  <si>
    <r>
      <rPr>
        <sz val="10"/>
        <rFont val="Segoe UI"/>
        <family val="2"/>
      </rPr>
      <t>OBLIGACIONES CON LOS SOCIOS</t>
    </r>
  </si>
  <si>
    <r>
      <rPr>
        <sz val="10"/>
        <rFont val="Arial Narrow"/>
        <family val="2"/>
      </rPr>
      <t>OBLIGACIONES A LA VISTA</t>
    </r>
  </si>
  <si>
    <r>
      <rPr>
        <sz val="10"/>
        <rFont val="Arial Narrow"/>
        <family val="2"/>
      </rPr>
      <t>Depósitos en cuenta corriente</t>
    </r>
  </si>
  <si>
    <r>
      <rPr>
        <sz val="10"/>
        <rFont val="Arial Narrow"/>
        <family val="2"/>
      </rPr>
      <t>Cuentas corrientes sin movimiento</t>
    </r>
  </si>
  <si>
    <r>
      <rPr>
        <sz val="10"/>
        <rFont val="Arial Narrow"/>
        <family val="2"/>
      </rPr>
      <t>Cheques certificados</t>
    </r>
  </si>
  <si>
    <r>
      <rPr>
        <sz val="10"/>
        <rFont val="Arial Narrow"/>
        <family val="2"/>
      </rPr>
      <t>Cheques de gerencia</t>
    </r>
  </si>
  <si>
    <r>
      <rPr>
        <sz val="10"/>
        <rFont val="Arial Narrow"/>
        <family val="2"/>
      </rPr>
      <t>Órdenes de pago de gerencia</t>
    </r>
  </si>
  <si>
    <r>
      <rPr>
        <sz val="10"/>
        <rFont val="Arial Narrow"/>
        <family val="2"/>
      </rPr>
      <t>Cheques de viajero</t>
    </r>
  </si>
  <si>
    <r>
      <rPr>
        <sz val="10"/>
        <rFont val="Arial Narrow"/>
        <family val="2"/>
      </rPr>
      <t>Giros por pagar</t>
    </r>
  </si>
  <si>
    <r>
      <rPr>
        <sz val="10"/>
        <rFont val="Arial Narrow"/>
        <family val="2"/>
      </rPr>
      <t>Giros por pagar país</t>
    </r>
  </si>
  <si>
    <r>
      <rPr>
        <sz val="10"/>
        <rFont val="Arial Narrow"/>
        <family val="2"/>
      </rPr>
      <t>Giros por pagar exterior</t>
    </r>
  </si>
  <si>
    <r>
      <rPr>
        <sz val="10"/>
        <rFont val="Arial Narrow"/>
        <family val="2"/>
      </rPr>
      <t>Transferencias por pagar</t>
    </r>
  </si>
  <si>
    <r>
      <rPr>
        <sz val="10"/>
        <rFont val="Arial Narrow"/>
        <family val="2"/>
      </rPr>
      <t>Transferencias por pagar país</t>
    </r>
  </si>
  <si>
    <r>
      <rPr>
        <sz val="10"/>
        <rFont val="Arial Narrow"/>
        <family val="2"/>
      </rPr>
      <t>Transferencias por pagar exterior</t>
    </r>
  </si>
  <si>
    <r>
      <rPr>
        <sz val="10"/>
        <rFont val="Arial Narrow"/>
        <family val="2"/>
      </rPr>
      <t>Depósitos vencidos de los socios</t>
    </r>
  </si>
  <si>
    <r>
      <rPr>
        <sz val="10"/>
        <rFont val="Arial Narrow"/>
        <family val="2"/>
      </rPr>
      <t>Certificados de depósitos negociables entre socios</t>
    </r>
  </si>
  <si>
    <r>
      <rPr>
        <sz val="10"/>
        <rFont val="Arial Narrow"/>
        <family val="2"/>
      </rPr>
      <t>Certificados de depósitos no negociables</t>
    </r>
  </si>
  <si>
    <r>
      <rPr>
        <sz val="10"/>
        <rFont val="Arial Narrow"/>
        <family val="2"/>
      </rPr>
      <t xml:space="preserve">Certificados de depósitos no negociables personas naturales y jurídicas privadas
</t>
    </r>
    <r>
      <rPr>
        <sz val="10"/>
        <rFont val="Arial Narrow"/>
        <family val="2"/>
      </rPr>
      <t>sin fines de lucro</t>
    </r>
  </si>
  <si>
    <r>
      <rPr>
        <sz val="10"/>
        <rFont val="Arial Narrow"/>
        <family val="2"/>
      </rPr>
      <t>Certificados de depósitos no negociables otras personas jurídicas</t>
    </r>
  </si>
  <si>
    <r>
      <rPr>
        <sz val="10"/>
        <rFont val="Arial Narrow"/>
        <family val="2"/>
      </rPr>
      <t>Otros Depósitos</t>
    </r>
  </si>
  <si>
    <r>
      <rPr>
        <sz val="10"/>
        <rFont val="Arial Narrow"/>
        <family val="2"/>
      </rPr>
      <t>Socios y personas jurídicas sin fines de lucro</t>
    </r>
  </si>
  <si>
    <r>
      <rPr>
        <sz val="10"/>
        <rFont val="Arial Narrow"/>
        <family val="2"/>
      </rPr>
      <t>Otras personas jurídicas</t>
    </r>
  </si>
  <si>
    <r>
      <rPr>
        <sz val="10"/>
        <rFont val="Arial Narrow"/>
        <family val="2"/>
      </rPr>
      <t>Valores y títulos vencidos</t>
    </r>
  </si>
  <si>
    <r>
      <rPr>
        <sz val="10"/>
        <rFont val="Arial Narrow"/>
        <family val="2"/>
      </rPr>
      <t>Obligaciones subordinadas vencidas</t>
    </r>
  </si>
  <si>
    <r>
      <rPr>
        <sz val="10"/>
        <rFont val="Arial Narrow"/>
        <family val="2"/>
      </rPr>
      <t>Depósitos judiciales y administrativos</t>
    </r>
  </si>
  <si>
    <r>
      <rPr>
        <sz val="10"/>
        <rFont val="Arial Narrow"/>
        <family val="2"/>
      </rPr>
      <t>Personas naturales y jurídicas privadas sin fines de lucro</t>
    </r>
  </si>
  <si>
    <r>
      <rPr>
        <sz val="10"/>
        <rFont val="Arial Narrow"/>
        <family val="2"/>
      </rPr>
      <t>Retenciones judiciales a disposición</t>
    </r>
  </si>
  <si>
    <r>
      <rPr>
        <sz val="10"/>
        <rFont val="Arial Narrow"/>
        <family val="2"/>
      </rPr>
      <t>Cobranzas por liquidar</t>
    </r>
  </si>
  <si>
    <r>
      <rPr>
        <sz val="10"/>
        <rFont val="Arial Narrow"/>
        <family val="2"/>
      </rPr>
      <t>Obligaciones a transferir al Fondo de Seguro de Depósitos</t>
    </r>
  </si>
  <si>
    <r>
      <rPr>
        <sz val="10"/>
        <rFont val="Arial Narrow"/>
        <family val="2"/>
      </rPr>
      <t>Obligaciones por fideicomisos</t>
    </r>
  </si>
  <si>
    <r>
      <rPr>
        <sz val="10"/>
        <rFont val="Arial Narrow"/>
        <family val="2"/>
      </rPr>
      <t>Otras obligaciones a la vista</t>
    </r>
  </si>
  <si>
    <r>
      <rPr>
        <sz val="10"/>
        <rFont val="Segoe UI"/>
        <family val="2"/>
      </rPr>
      <t>OBLIGACIONES POR CUENTAS DE AHORRO</t>
    </r>
  </si>
  <si>
    <r>
      <rPr>
        <sz val="10"/>
        <rFont val="Segoe UI"/>
        <family val="2"/>
      </rPr>
      <t>Depósitos de ahorro activos</t>
    </r>
  </si>
  <si>
    <r>
      <rPr>
        <sz val="10"/>
        <rFont val="Segoe UI"/>
        <family val="2"/>
      </rPr>
      <t>Personas naturales y jurídicas privadas sin fines de lucro</t>
    </r>
  </si>
  <si>
    <r>
      <rPr>
        <sz val="10"/>
        <rFont val="Segoe UI"/>
        <family val="2"/>
      </rPr>
      <t>Otras personas jurídicas</t>
    </r>
  </si>
  <si>
    <r>
      <rPr>
        <sz val="10"/>
        <rFont val="Segoe UI"/>
        <family val="2"/>
      </rPr>
      <t>Depósitos de ahorro inactivos</t>
    </r>
  </si>
  <si>
    <r>
      <rPr>
        <sz val="10"/>
        <rFont val="Segoe UI"/>
        <family val="2"/>
      </rPr>
      <t>OBLIGACIONES POR CUENTAS A PLAZO</t>
    </r>
  </si>
  <si>
    <r>
      <rPr>
        <sz val="10"/>
        <rFont val="Segoe UI"/>
        <family val="2"/>
      </rPr>
      <t>Certificados de depósitos</t>
    </r>
  </si>
  <si>
    <r>
      <rPr>
        <sz val="10"/>
        <rFont val="Segoe UI"/>
        <family val="2"/>
      </rPr>
      <t>Certificados de depósitos no negociables</t>
    </r>
  </si>
  <si>
    <r>
      <rPr>
        <sz val="10"/>
        <rFont val="Segoe UI"/>
        <family val="2"/>
      </rPr>
      <t xml:space="preserve">Certificados de depósito no negociable personas naturales y jurídicas
</t>
    </r>
    <r>
      <rPr>
        <sz val="10"/>
        <rFont val="Segoe UI"/>
        <family val="2"/>
      </rPr>
      <t>privadas sin fines de lucro</t>
    </r>
  </si>
  <si>
    <r>
      <rPr>
        <sz val="10"/>
        <rFont val="Segoe UI"/>
        <family val="2"/>
      </rPr>
      <t>Certificados de depósito no negociable otras personas jurídicas</t>
    </r>
  </si>
  <si>
    <r>
      <rPr>
        <sz val="10"/>
        <rFont val="Segoe UI"/>
        <family val="2"/>
      </rPr>
      <t>Cuentas a plazo</t>
    </r>
  </si>
  <si>
    <r>
      <rPr>
        <sz val="10"/>
        <rFont val="Segoe UI"/>
        <family val="2"/>
      </rPr>
      <t>Depósitos compensación de tiempo de servicios</t>
    </r>
  </si>
  <si>
    <r>
      <rPr>
        <sz val="10"/>
        <rFont val="Segoe UI"/>
        <family val="2"/>
      </rPr>
      <t>Ordinarios</t>
    </r>
  </si>
  <si>
    <r>
      <rPr>
        <sz val="10"/>
        <rFont val="Segoe UI"/>
        <family val="2"/>
      </rPr>
      <t>Convenios</t>
    </r>
  </si>
  <si>
    <r>
      <rPr>
        <sz val="10"/>
        <rFont val="Segoe UI"/>
        <family val="2"/>
      </rPr>
      <t>Otras obligaciones por cuentas a plazo</t>
    </r>
  </si>
  <si>
    <r>
      <rPr>
        <sz val="10"/>
        <rFont val="Segoe UI"/>
        <family val="2"/>
      </rPr>
      <t>Socios y personas jurídicas sin fines de lucro</t>
    </r>
  </si>
  <si>
    <r>
      <rPr>
        <sz val="10"/>
        <rFont val="Segoe UI"/>
        <family val="2"/>
      </rPr>
      <t>OBLIGACIONES CON LOS SOCIOS RESTRINGIDAS</t>
    </r>
  </si>
  <si>
    <r>
      <rPr>
        <sz val="10"/>
        <rFont val="Segoe UI"/>
        <family val="2"/>
      </rPr>
      <t>Depósitos inmovilizados</t>
    </r>
  </si>
  <si>
    <r>
      <rPr>
        <sz val="10"/>
        <rFont val="Segoe UI"/>
        <family val="2"/>
      </rPr>
      <t>Retenciones judiciales</t>
    </r>
  </si>
  <si>
    <r>
      <rPr>
        <sz val="10"/>
        <rFont val="Segoe UI"/>
        <family val="2"/>
      </rPr>
      <t>Depósitos judiciales y administrativos</t>
    </r>
  </si>
  <si>
    <r>
      <rPr>
        <sz val="10"/>
        <rFont val="Segoe UI"/>
        <family val="2"/>
      </rPr>
      <t>Depósitos en garantía</t>
    </r>
  </si>
  <si>
    <r>
      <rPr>
        <sz val="10"/>
        <rFont val="Segoe UI"/>
        <family val="2"/>
      </rPr>
      <t>Depósitos en garantía para créditos</t>
    </r>
  </si>
  <si>
    <r>
      <rPr>
        <sz val="10"/>
        <rFont val="Segoe UI"/>
        <family val="2"/>
      </rPr>
      <t>Depósitos en garantía por operaciones contingentes</t>
    </r>
  </si>
  <si>
    <r>
      <rPr>
        <sz val="10"/>
        <rFont val="Segoe UI"/>
        <family val="2"/>
      </rPr>
      <t>Otros depósitos en garantía</t>
    </r>
  </si>
  <si>
    <r>
      <rPr>
        <sz val="10"/>
        <rFont val="Segoe UI"/>
        <family val="2"/>
      </rPr>
      <t>Otras obligaciones restringidas con los socios</t>
    </r>
  </si>
  <si>
    <r>
      <rPr>
        <sz val="10"/>
        <rFont val="Segoe UI"/>
        <family val="2"/>
      </rPr>
      <t>GASTOS POR PAGAR DE OBLIGACIONES CON LOS SOCIOS</t>
    </r>
  </si>
  <si>
    <r>
      <rPr>
        <sz val="10"/>
        <rFont val="Arial Narrow"/>
        <family val="2"/>
      </rPr>
      <t>Gastos por pagar de obligaciones con los socios a la vista</t>
    </r>
  </si>
  <si>
    <r>
      <rPr>
        <sz val="10"/>
        <rFont val="Segoe UI"/>
        <family val="2"/>
      </rPr>
      <t xml:space="preserve">Gastos por pagar de obligaciones con los socios por cuentas de
</t>
    </r>
    <r>
      <rPr>
        <sz val="10"/>
        <rFont val="Segoe UI"/>
        <family val="2"/>
      </rPr>
      <t>ahorro</t>
    </r>
  </si>
  <si>
    <r>
      <rPr>
        <sz val="10"/>
        <rFont val="Segoe UI"/>
        <family val="2"/>
      </rPr>
      <t>Gastos por pagar de obligaciones con los socios por cuentas a plazo</t>
    </r>
  </si>
  <si>
    <r>
      <rPr>
        <sz val="10"/>
        <rFont val="Segoe UI"/>
        <family val="2"/>
      </rPr>
      <t>Gastos por pagar de obligaciones con los socios restringidas</t>
    </r>
  </si>
  <si>
    <r>
      <rPr>
        <sz val="10"/>
        <rFont val="Segoe UI"/>
        <family val="2"/>
      </rPr>
      <t>FONDOS INTERCOPERATIVOS</t>
    </r>
  </si>
  <si>
    <r>
      <rPr>
        <sz val="10"/>
        <rFont val="Segoe UI"/>
        <family val="2"/>
      </rPr>
      <t>GASTOS POR PAGAR DE FONDOS INTERCOOPERATIVOS</t>
    </r>
  </si>
  <si>
    <r>
      <rPr>
        <sz val="10"/>
        <rFont val="Segoe UI"/>
        <family val="2"/>
      </rPr>
      <t>DEPÓSITOS DE COOPAC</t>
    </r>
  </si>
  <si>
    <r>
      <rPr>
        <sz val="10"/>
        <rFont val="Arial Narrow"/>
        <family val="2"/>
      </rPr>
      <t>DEPÓSITOS A LA VISTA</t>
    </r>
  </si>
  <si>
    <r>
      <rPr>
        <sz val="10"/>
        <rFont val="Arial Narrow"/>
        <family val="2"/>
      </rPr>
      <t>Depósitos a la vista de Coopac</t>
    </r>
  </si>
  <si>
    <r>
      <rPr>
        <sz val="10"/>
        <rFont val="Segoe UI"/>
        <family val="2"/>
      </rPr>
      <t>DEPÓSITOS DE AHORRO</t>
    </r>
  </si>
  <si>
    <r>
      <rPr>
        <sz val="10"/>
        <rFont val="Segoe UI"/>
        <family val="2"/>
      </rPr>
      <t>Depósitos de ahorro de Coopac</t>
    </r>
  </si>
  <si>
    <r>
      <rPr>
        <sz val="10"/>
        <rFont val="Segoe UI"/>
        <family val="2"/>
      </rPr>
      <t>DEPÓSITOS A PLAZO</t>
    </r>
  </si>
  <si>
    <r>
      <rPr>
        <sz val="10"/>
        <rFont val="Segoe UI"/>
        <family val="2"/>
      </rPr>
      <t>Depósitos a plazo de Coopac</t>
    </r>
  </si>
  <si>
    <r>
      <rPr>
        <sz val="10"/>
        <rFont val="Segoe UI"/>
        <family val="2"/>
      </rPr>
      <t>GASTOS POR PAGAR POR DEPÓSITOS DE COOPAC</t>
    </r>
  </si>
  <si>
    <r>
      <rPr>
        <sz val="10"/>
        <rFont val="Arial Narrow"/>
        <family val="2"/>
      </rPr>
      <t>Gastos por pagar por depósitos a la vista de Coopac</t>
    </r>
  </si>
  <si>
    <r>
      <rPr>
        <sz val="10"/>
        <rFont val="Segoe UI"/>
        <family val="2"/>
      </rPr>
      <t>Gastos por pagar por depósitos de ahorro de Coopac</t>
    </r>
  </si>
  <si>
    <r>
      <rPr>
        <sz val="10"/>
        <rFont val="Segoe UI"/>
        <family val="2"/>
      </rPr>
      <t>Gastos por pagar por depósitos a plazo de Coopac</t>
    </r>
  </si>
  <si>
    <r>
      <rPr>
        <sz val="10"/>
        <rFont val="Segoe UI"/>
        <family val="2"/>
      </rPr>
      <t>ADEUDOS Y OBLIGACIONES FINANCIERAS A CORTO PLAZO</t>
    </r>
  </si>
  <si>
    <r>
      <rPr>
        <sz val="10"/>
        <rFont val="Segoe UI"/>
        <family val="2"/>
      </rPr>
      <t xml:space="preserve">ADEUDOS Y OBLIGACIONES CON LA CORPORACION FINANCIERA
</t>
    </r>
    <r>
      <rPr>
        <sz val="10"/>
        <rFont val="Segoe UI"/>
        <family val="2"/>
      </rPr>
      <t>DE DESARROLLO</t>
    </r>
  </si>
  <si>
    <r>
      <rPr>
        <sz val="10"/>
        <rFont val="Segoe UI"/>
        <family val="2"/>
      </rPr>
      <t>Adeudos por préstamos</t>
    </r>
  </si>
  <si>
    <r>
      <rPr>
        <sz val="10"/>
        <rFont val="Segoe UI"/>
        <family val="2"/>
      </rPr>
      <t>No subordinados</t>
    </r>
  </si>
  <si>
    <r>
      <rPr>
        <sz val="10"/>
        <rFont val="Segoe UI"/>
        <family val="2"/>
      </rPr>
      <t>Otras obligaciones</t>
    </r>
  </si>
  <si>
    <r>
      <rPr>
        <sz val="10"/>
        <rFont val="Segoe UI"/>
        <family val="2"/>
      </rPr>
      <t xml:space="preserve">ADEUDOS Y OBLIGACIONES CON COOPAC Y EMPRESAS DEL
</t>
    </r>
    <r>
      <rPr>
        <sz val="10"/>
        <rFont val="Segoe UI"/>
        <family val="2"/>
      </rPr>
      <t>SISTEMA FINANCIERO DEL PAÍS</t>
    </r>
  </si>
  <si>
    <r>
      <rPr>
        <sz val="10"/>
        <rFont val="Segoe UI"/>
        <family val="2"/>
      </rPr>
      <t>Adeudos por bienes recibidos en arrendamiento financiero</t>
    </r>
  </si>
  <si>
    <r>
      <rPr>
        <sz val="10"/>
        <rFont val="Segoe UI"/>
        <family val="2"/>
      </rPr>
      <t>Adeudos con subsidiarias</t>
    </r>
  </si>
  <si>
    <r>
      <rPr>
        <sz val="10"/>
        <rFont val="Segoe UI"/>
        <family val="2"/>
      </rPr>
      <t xml:space="preserve">ADEUDOS Y OBLIGACIONES CON INSTITUCIONES FINANCIERAS DEL
</t>
    </r>
    <r>
      <rPr>
        <sz val="10"/>
        <rFont val="Segoe UI"/>
        <family val="2"/>
      </rPr>
      <t>EXTERIOR</t>
    </r>
  </si>
  <si>
    <r>
      <rPr>
        <sz val="10"/>
        <rFont val="Segoe UI"/>
        <family val="2"/>
      </rPr>
      <t xml:space="preserve">ADEUDOS Y OBLIGACIONES CON ORGANISMOS FINANCIEROS
</t>
    </r>
    <r>
      <rPr>
        <sz val="10"/>
        <rFont val="Segoe UI"/>
        <family val="2"/>
      </rPr>
      <t>INTERNACIONALES</t>
    </r>
  </si>
  <si>
    <r>
      <rPr>
        <sz val="10"/>
        <rFont val="Segoe UI"/>
        <family val="2"/>
      </rPr>
      <t>OTROS ADEUDOS Y OBLIGACIONES DEL PAÍS</t>
    </r>
  </si>
  <si>
    <r>
      <rPr>
        <sz val="10"/>
        <rFont val="Segoe UI"/>
        <family val="2"/>
      </rPr>
      <t>OTROS ADEUDOS Y OBLIGACIONES DEL EXTERIOR</t>
    </r>
  </si>
  <si>
    <r>
      <rPr>
        <sz val="10"/>
        <rFont val="Segoe UI"/>
        <family val="2"/>
      </rPr>
      <t xml:space="preserve">GASTOS POR PAGAR DE ADEUDOS Y OBLIGACIONES FINANCIERAS
</t>
    </r>
    <r>
      <rPr>
        <sz val="10"/>
        <rFont val="Segoe UI"/>
        <family val="2"/>
      </rPr>
      <t>A CORTO PLAZO</t>
    </r>
  </si>
  <si>
    <r>
      <rPr>
        <sz val="10"/>
        <rFont val="Segoe UI"/>
        <family val="2"/>
      </rPr>
      <t xml:space="preserve">Gastos por pagar de adeudos y obligaciones con la Corporación
</t>
    </r>
    <r>
      <rPr>
        <sz val="10"/>
        <rFont val="Segoe UI"/>
        <family val="2"/>
      </rPr>
      <t>Financiera de Desarrollo</t>
    </r>
  </si>
  <si>
    <r>
      <rPr>
        <sz val="10"/>
        <rFont val="Segoe UI"/>
        <family val="2"/>
      </rPr>
      <t xml:space="preserve">Gastos por pagar de adeudos y obligaciones con Coopac y empresas
</t>
    </r>
    <r>
      <rPr>
        <sz val="10"/>
        <rFont val="Segoe UI"/>
        <family val="2"/>
      </rPr>
      <t>del sistema financiero del país</t>
    </r>
  </si>
  <si>
    <r>
      <rPr>
        <sz val="10"/>
        <rFont val="Segoe UI"/>
        <family val="2"/>
      </rPr>
      <t xml:space="preserve">Gastos por pagar de adeudos y obligaciones con instituciones
</t>
    </r>
    <r>
      <rPr>
        <sz val="10"/>
        <rFont val="Segoe UI"/>
        <family val="2"/>
      </rPr>
      <t>financieras del exterior</t>
    </r>
  </si>
  <si>
    <r>
      <rPr>
        <sz val="10"/>
        <rFont val="Segoe UI"/>
        <family val="2"/>
      </rPr>
      <t xml:space="preserve">Gastos por pagar de adeudos y obligaciones con organismos
</t>
    </r>
    <r>
      <rPr>
        <sz val="10"/>
        <rFont val="Segoe UI"/>
        <family val="2"/>
      </rPr>
      <t>financieros internacionales</t>
    </r>
  </si>
  <si>
    <r>
      <rPr>
        <sz val="10"/>
        <rFont val="Segoe UI"/>
        <family val="2"/>
      </rPr>
      <t>Gastos por pagar de otros adeudos y obligaciones del país</t>
    </r>
  </si>
  <si>
    <r>
      <rPr>
        <sz val="10"/>
        <rFont val="Segoe UI"/>
        <family val="2"/>
      </rPr>
      <t>Gastos por pagar de otros adeudos y obligaciones del exterior</t>
    </r>
  </si>
  <si>
    <r>
      <rPr>
        <sz val="10"/>
        <rFont val="Segoe UI"/>
        <family val="2"/>
      </rPr>
      <t>CUENTAS POR PAGAR</t>
    </r>
  </si>
  <si>
    <r>
      <rPr>
        <sz val="10"/>
        <rFont val="Segoe UI"/>
        <family val="2"/>
      </rPr>
      <t>Coberturas de valor razonable</t>
    </r>
  </si>
  <si>
    <r>
      <rPr>
        <sz val="10"/>
        <rFont val="Arial Narrow"/>
        <family val="2"/>
      </rPr>
      <t>Derivados de tasas de interés</t>
    </r>
  </si>
  <si>
    <r>
      <rPr>
        <sz val="10"/>
        <rFont val="Segoe UI"/>
        <family val="2"/>
      </rPr>
      <t>CUENTAS POR PAGAR DIVERSAS</t>
    </r>
  </si>
  <si>
    <r>
      <rPr>
        <sz val="10"/>
        <rFont val="Segoe UI"/>
        <family val="2"/>
      </rPr>
      <t>Acreedores por operaciones con tarjetas de débito</t>
    </r>
  </si>
  <si>
    <r>
      <rPr>
        <sz val="10"/>
        <rFont val="Segoe UI"/>
        <family val="2"/>
      </rPr>
      <t>Seguros por cuenta de prestatarios</t>
    </r>
  </si>
  <si>
    <r>
      <rPr>
        <sz val="10"/>
        <rFont val="Segoe UI"/>
        <family val="2"/>
      </rPr>
      <t>Seguros por cuenta de depositantes</t>
    </r>
  </si>
  <si>
    <r>
      <rPr>
        <sz val="10"/>
        <rFont val="Segoe UI"/>
        <family val="2"/>
      </rPr>
      <t>Retenciones para declaratoria de fábrica</t>
    </r>
  </si>
  <si>
    <r>
      <rPr>
        <sz val="10"/>
        <rFont val="Segoe UI"/>
        <family val="2"/>
      </rPr>
      <t>Garantías por alquileres</t>
    </r>
  </si>
  <si>
    <r>
      <rPr>
        <sz val="10"/>
        <rFont val="Segoe UI"/>
        <family val="2"/>
      </rPr>
      <t>Cuotas por bienes recibidos en arrendamiento financiero</t>
    </r>
  </si>
  <si>
    <r>
      <rPr>
        <sz val="10"/>
        <rFont val="Segoe UI"/>
        <family val="2"/>
      </rPr>
      <t xml:space="preserve">Obligaciones por contratos de capitalización inmobiliaria sobre
</t>
    </r>
    <r>
      <rPr>
        <sz val="10"/>
        <rFont val="Segoe UI"/>
        <family val="2"/>
      </rPr>
      <t>bienes en construcción</t>
    </r>
  </si>
  <si>
    <r>
      <rPr>
        <sz val="10"/>
        <rFont val="Segoe UI"/>
        <family val="2"/>
      </rPr>
      <t>Capitalización individual en contratos de capitalización inmobiliaria</t>
    </r>
  </si>
  <si>
    <r>
      <rPr>
        <sz val="10"/>
        <rFont val="Segoe UI"/>
        <family val="2"/>
      </rPr>
      <t>Cuentas por pagar por operaciones de reporte</t>
    </r>
  </si>
  <si>
    <r>
      <rPr>
        <sz val="10"/>
        <rFont val="Segoe UI"/>
        <family val="2"/>
      </rPr>
      <t>REMANENTES Y REMUNERACIONES POR PAGAR</t>
    </r>
  </si>
  <si>
    <r>
      <rPr>
        <sz val="10"/>
        <rFont val="Segoe UI"/>
        <family val="2"/>
      </rPr>
      <t>Remanentes por pagar</t>
    </r>
  </si>
  <si>
    <r>
      <rPr>
        <sz val="10"/>
        <rFont val="Segoe UI"/>
        <family val="2"/>
      </rPr>
      <t>Compensación por tiempo de servicios</t>
    </r>
  </si>
  <si>
    <r>
      <rPr>
        <sz val="10"/>
        <rFont val="Segoe UI"/>
        <family val="2"/>
      </rPr>
      <t>Remuneraciones por pagar</t>
    </r>
  </si>
  <si>
    <r>
      <rPr>
        <sz val="10"/>
        <rFont val="Segoe UI"/>
        <family val="2"/>
      </rPr>
      <t>Honorarios por pagar</t>
    </r>
  </si>
  <si>
    <r>
      <rPr>
        <sz val="10"/>
        <rFont val="Segoe UI"/>
        <family val="2"/>
      </rPr>
      <t>Dietas por pagar</t>
    </r>
  </si>
  <si>
    <r>
      <rPr>
        <sz val="10"/>
        <rFont val="Segoe UI"/>
        <family val="2"/>
      </rPr>
      <t>Otros gastos de personal</t>
    </r>
  </si>
  <si>
    <r>
      <rPr>
        <sz val="10"/>
        <rFont val="Segoe UI"/>
        <family val="2"/>
      </rPr>
      <t>PROVEEDORES</t>
    </r>
  </si>
  <si>
    <r>
      <rPr>
        <sz val="10"/>
        <rFont val="Segoe UI"/>
        <family val="2"/>
      </rPr>
      <t>Proveedores de bienes</t>
    </r>
  </si>
  <si>
    <r>
      <rPr>
        <sz val="10"/>
        <rFont val="Segoe UI"/>
        <family val="2"/>
      </rPr>
      <t>Proveedores de servicios</t>
    </r>
  </si>
  <si>
    <r>
      <rPr>
        <sz val="10"/>
        <rFont val="Segoe UI"/>
        <family val="2"/>
      </rPr>
      <t xml:space="preserve">PRIMAS AL FONDO DE SEGURO DE DEPÓSITOS, CONTRIBUCIONES
</t>
    </r>
    <r>
      <rPr>
        <sz val="10"/>
        <rFont val="Segoe UI"/>
        <family val="2"/>
      </rPr>
      <t>A LA SBS Y OBLIGACIONES CON INSTITUCIONES RECAUDADORAS DE TRIBUTOS</t>
    </r>
  </si>
  <si>
    <r>
      <rPr>
        <sz val="10"/>
        <rFont val="Segoe UI"/>
        <family val="2"/>
      </rPr>
      <t>Primas al Fondo de Seguro de Depósitos</t>
    </r>
  </si>
  <si>
    <r>
      <rPr>
        <sz val="10"/>
        <rFont val="Segoe UI"/>
        <family val="2"/>
      </rPr>
      <t>Contribución a la SBS</t>
    </r>
  </si>
  <si>
    <r>
      <rPr>
        <sz val="10"/>
        <rFont val="Segoe UI"/>
        <family val="2"/>
      </rPr>
      <t>Tributos por cuenta propia</t>
    </r>
  </si>
  <si>
    <r>
      <rPr>
        <sz val="10"/>
        <rFont val="Segoe UI"/>
        <family val="2"/>
      </rPr>
      <t>Impuesto a la Renta</t>
    </r>
  </si>
  <si>
    <r>
      <rPr>
        <sz val="10"/>
        <rFont val="Segoe UI"/>
        <family val="2"/>
      </rPr>
      <t>Impuesto General a las Ventas</t>
    </r>
  </si>
  <si>
    <r>
      <rPr>
        <sz val="10"/>
        <rFont val="Segoe UI"/>
        <family val="2"/>
      </rPr>
      <t>Otras Contribuciones</t>
    </r>
  </si>
  <si>
    <r>
      <rPr>
        <sz val="10"/>
        <rFont val="Segoe UI"/>
        <family val="2"/>
      </rPr>
      <t>Otros tributos por cuenta propia</t>
    </r>
  </si>
  <si>
    <r>
      <rPr>
        <sz val="10"/>
        <rFont val="Segoe UI"/>
        <family val="2"/>
      </rPr>
      <t>Administradoras Privadas de Fondos de Pensiones</t>
    </r>
  </si>
  <si>
    <r>
      <rPr>
        <sz val="10"/>
        <rFont val="Segoe UI"/>
        <family val="2"/>
      </rPr>
      <t>Tributos retenidos</t>
    </r>
  </si>
  <si>
    <r>
      <rPr>
        <sz val="10"/>
        <rFont val="Segoe UI"/>
        <family val="2"/>
      </rPr>
      <t>Tributos recaudados</t>
    </r>
  </si>
  <si>
    <r>
      <rPr>
        <sz val="10"/>
        <rFont val="Segoe UI"/>
        <family val="2"/>
      </rPr>
      <t>GASTOS POR PAGAR DE CUENTAS POR PAGAR</t>
    </r>
  </si>
  <si>
    <r>
      <rPr>
        <sz val="10"/>
        <rFont val="Segoe UI"/>
        <family val="2"/>
      </rPr>
      <t>Gastos por pagar de cuentas por pagar diversas</t>
    </r>
  </si>
  <si>
    <r>
      <rPr>
        <sz val="10"/>
        <rFont val="Segoe UI"/>
        <family val="2"/>
      </rPr>
      <t>Intereses y gastos por pagar por operaciones de reporte</t>
    </r>
  </si>
  <si>
    <r>
      <rPr>
        <sz val="10"/>
        <rFont val="Segoe UI"/>
        <family val="2"/>
      </rPr>
      <t>Intereses y gastos por pagar por otras cuentas por pagar diversas</t>
    </r>
  </si>
  <si>
    <r>
      <rPr>
        <sz val="10"/>
        <rFont val="Segoe UI"/>
        <family val="2"/>
      </rPr>
      <t>Gastos de otras cuentas por pagar</t>
    </r>
  </si>
  <si>
    <r>
      <rPr>
        <sz val="10"/>
        <rFont val="Segoe UI"/>
        <family val="2"/>
      </rPr>
      <t>ADEUDOS Y OBLIGACIONES FINANCIERAS A LARGO PLAZO</t>
    </r>
  </si>
  <si>
    <r>
      <rPr>
        <sz val="10"/>
        <rFont val="Segoe UI"/>
        <family val="2"/>
      </rPr>
      <t xml:space="preserve">GASTOS POR PAGAR DE ADEUDOS Y OBLIGACIONES FINANCIERAS
</t>
    </r>
    <r>
      <rPr>
        <sz val="10"/>
        <rFont val="Segoe UI"/>
        <family val="2"/>
      </rPr>
      <t>A LARGO PLAZO</t>
    </r>
  </si>
  <si>
    <r>
      <rPr>
        <sz val="10"/>
        <rFont val="Segoe UI"/>
        <family val="2"/>
      </rPr>
      <t>PROVISIONES</t>
    </r>
  </si>
  <si>
    <r>
      <rPr>
        <sz val="10"/>
        <rFont val="Segoe UI"/>
        <family val="2"/>
      </rPr>
      <t>PROVISIONES PARA CRÉDITOS CONTINGENTES</t>
    </r>
  </si>
  <si>
    <r>
      <rPr>
        <sz val="10"/>
        <rFont val="Segoe UI"/>
        <family val="2"/>
      </rPr>
      <t>Provisiones específicas para créditos contingentes</t>
    </r>
  </si>
  <si>
    <r>
      <rPr>
        <sz val="10"/>
        <rFont val="Segoe UI"/>
        <family val="2"/>
      </rPr>
      <t>Provisiones genéricas para créditos contingentes</t>
    </r>
  </si>
  <si>
    <r>
      <rPr>
        <sz val="10"/>
        <rFont val="Arial Narrow"/>
        <family val="2"/>
      </rPr>
      <t>Créditos a microempresas</t>
    </r>
  </si>
  <si>
    <r>
      <rPr>
        <sz val="10"/>
        <rFont val="Arial Narrow"/>
        <family val="2"/>
      </rPr>
      <t>Créditos de consumo</t>
    </r>
  </si>
  <si>
    <r>
      <rPr>
        <sz val="10"/>
        <rFont val="Arial Narrow"/>
        <family val="2"/>
      </rPr>
      <t>Créditos hipotecarios para vivienda</t>
    </r>
  </si>
  <si>
    <r>
      <rPr>
        <sz val="10"/>
        <rFont val="Arial Narrow"/>
        <family val="2"/>
      </rPr>
      <t>Créditos a Coopac</t>
    </r>
  </si>
  <si>
    <r>
      <rPr>
        <sz val="10"/>
        <rFont val="Arial Narrow"/>
        <family val="2"/>
      </rPr>
      <t>Créditos corporativos</t>
    </r>
  </si>
  <si>
    <r>
      <rPr>
        <sz val="10"/>
        <rFont val="Arial Narrow"/>
        <family val="2"/>
      </rPr>
      <t>Créditos a grandes empresas</t>
    </r>
  </si>
  <si>
    <r>
      <rPr>
        <sz val="10"/>
        <rFont val="Arial Narrow"/>
        <family val="2"/>
      </rPr>
      <t>Créditos a medianas empresas</t>
    </r>
  </si>
  <si>
    <r>
      <rPr>
        <sz val="10"/>
        <rFont val="Arial Narrow"/>
        <family val="2"/>
      </rPr>
      <t>Créditos a pequeñas empresas</t>
    </r>
  </si>
  <si>
    <r>
      <rPr>
        <sz val="10"/>
        <rFont val="Segoe UI"/>
        <family val="2"/>
      </rPr>
      <t>OTRAS PROVISIONES</t>
    </r>
  </si>
  <si>
    <r>
      <rPr>
        <sz val="10"/>
        <rFont val="Segoe UI"/>
        <family val="2"/>
      </rPr>
      <t>Provisiones para litigios y demandas</t>
    </r>
  </si>
  <si>
    <r>
      <rPr>
        <sz val="10"/>
        <rFont val="Segoe UI"/>
        <family val="2"/>
      </rPr>
      <t>PROVISIONES ASOCIATIVAS</t>
    </r>
  </si>
  <si>
    <r>
      <rPr>
        <sz val="10"/>
        <rFont val="Segoe UI"/>
        <family val="2"/>
      </rPr>
      <t>Provisiones para Programas Educativos</t>
    </r>
  </si>
  <si>
    <r>
      <rPr>
        <sz val="10"/>
        <rFont val="Segoe UI"/>
        <family val="2"/>
      </rPr>
      <t>Recursos Propios</t>
    </r>
  </si>
  <si>
    <r>
      <rPr>
        <sz val="10"/>
        <rFont val="Segoe UI"/>
        <family val="2"/>
      </rPr>
      <t>Otros Recursos</t>
    </r>
  </si>
  <si>
    <r>
      <rPr>
        <sz val="10"/>
        <rFont val="Segoe UI"/>
        <family val="2"/>
      </rPr>
      <t>Provisiones para Programas Previsionales</t>
    </r>
  </si>
  <si>
    <r>
      <rPr>
        <sz val="10"/>
        <rFont val="Segoe UI"/>
        <family val="2"/>
      </rPr>
      <t>VALORES, TÍTULOS Y OBLIGACIONES EN CIRCULACIÓN</t>
    </r>
  </si>
  <si>
    <r>
      <rPr>
        <sz val="10"/>
        <rFont val="Segoe UI"/>
        <family val="2"/>
      </rPr>
      <t>BONOS COMUNES</t>
    </r>
  </si>
  <si>
    <r>
      <rPr>
        <sz val="10"/>
        <rFont val="Segoe UI"/>
        <family val="2"/>
      </rPr>
      <t>BONOS SUBORDINADOS</t>
    </r>
  </si>
  <si>
    <r>
      <rPr>
        <sz val="10"/>
        <rFont val="Segoe UI"/>
        <family val="2"/>
      </rPr>
      <t>OTRAS OBLIGACIONES SUBORDINADAS</t>
    </r>
  </si>
  <si>
    <r>
      <rPr>
        <sz val="10"/>
        <rFont val="Segoe UI"/>
        <family val="2"/>
      </rPr>
      <t>OTROS INSTRUMENTOS REPRESENTATIVOS DE DEUDA</t>
    </r>
  </si>
  <si>
    <r>
      <rPr>
        <sz val="10"/>
        <rFont val="Segoe UI"/>
        <family val="2"/>
      </rPr>
      <t>Obligaciones</t>
    </r>
  </si>
  <si>
    <r>
      <rPr>
        <sz val="10"/>
        <rFont val="Segoe UI"/>
        <family val="2"/>
      </rPr>
      <t>Otros instrumentos representativos de deuda</t>
    </r>
  </si>
  <si>
    <r>
      <rPr>
        <sz val="10"/>
        <rFont val="Segoe UI"/>
        <family val="2"/>
      </rPr>
      <t xml:space="preserve">GASTOS POR PAGAR POR VALORES, TÍTULOS Y OBLIGACIONES EN
</t>
    </r>
    <r>
      <rPr>
        <sz val="10"/>
        <rFont val="Segoe UI"/>
        <family val="2"/>
      </rPr>
      <t>CIRCULACIÓN</t>
    </r>
  </si>
  <si>
    <r>
      <rPr>
        <sz val="10"/>
        <rFont val="Segoe UI"/>
        <family val="2"/>
      </rPr>
      <t>Gastos por pagar por bonos comunes</t>
    </r>
  </si>
  <si>
    <r>
      <rPr>
        <sz val="10"/>
        <rFont val="Segoe UI"/>
        <family val="2"/>
      </rPr>
      <t>Gastos por pagar por bonos subordinados</t>
    </r>
  </si>
  <si>
    <r>
      <rPr>
        <sz val="10"/>
        <rFont val="Segoe UI"/>
        <family val="2"/>
      </rPr>
      <t>Gastos por pagar por otras obligaciones subordinadas</t>
    </r>
  </si>
  <si>
    <r>
      <rPr>
        <sz val="10"/>
        <rFont val="Segoe UI"/>
        <family val="2"/>
      </rPr>
      <t>Gastos por pagar por otros instrumentos representativos de deuda</t>
    </r>
  </si>
  <si>
    <r>
      <rPr>
        <sz val="10"/>
        <rFont val="Segoe UI"/>
        <family val="2"/>
      </rPr>
      <t>OTROS PASIVOS</t>
    </r>
  </si>
  <si>
    <r>
      <rPr>
        <sz val="10"/>
        <rFont val="Segoe UI"/>
        <family val="2"/>
      </rPr>
      <t>INGRESOS DIFERIDOS</t>
    </r>
  </si>
  <si>
    <r>
      <rPr>
        <sz val="10"/>
        <rFont val="Segoe UI"/>
        <family val="2"/>
      </rPr>
      <t>Ingresos por intereses y comisiones</t>
    </r>
  </si>
  <si>
    <r>
      <rPr>
        <sz val="10"/>
        <rFont val="Segoe UI"/>
        <family val="2"/>
      </rPr>
      <t xml:space="preserve">Créditos refinanciados y reestructurados reclasificados como
</t>
    </r>
    <r>
      <rPr>
        <sz val="10"/>
        <rFont val="Segoe UI"/>
        <family val="2"/>
      </rPr>
      <t>vigentes</t>
    </r>
  </si>
  <si>
    <r>
      <rPr>
        <sz val="10"/>
        <rFont val="Segoe UI"/>
        <family val="2"/>
      </rPr>
      <t>Créditos vencidos</t>
    </r>
  </si>
  <si>
    <r>
      <rPr>
        <sz val="10"/>
        <rFont val="Segoe UI"/>
        <family val="2"/>
      </rPr>
      <t>Créditos en cobranza judicial</t>
    </r>
  </si>
  <si>
    <r>
      <rPr>
        <sz val="10"/>
        <rFont val="Segoe UI"/>
        <family val="2"/>
      </rPr>
      <t>Ingresos por intereses y comisiones cobrados por anticipado</t>
    </r>
  </si>
  <si>
    <r>
      <rPr>
        <sz val="10"/>
        <rFont val="Segoe UI"/>
        <family val="2"/>
      </rPr>
      <t>Créditos vigentes</t>
    </r>
  </si>
  <si>
    <r>
      <rPr>
        <sz val="10"/>
        <rFont val="Segoe UI"/>
        <family val="2"/>
      </rPr>
      <t>Créditos indirectos</t>
    </r>
  </si>
  <si>
    <r>
      <rPr>
        <sz val="10"/>
        <rFont val="Segoe UI"/>
        <family val="2"/>
      </rPr>
      <t>Otros ingresos diferidos</t>
    </r>
  </si>
  <si>
    <r>
      <rPr>
        <sz val="10"/>
        <rFont val="Segoe UI"/>
        <family val="2"/>
      </rPr>
      <t>Transferencia de cartera crediticia</t>
    </r>
  </si>
  <si>
    <r>
      <rPr>
        <sz val="10"/>
        <rFont val="Segoe UI"/>
        <family val="2"/>
      </rPr>
      <t>Adquisición de cartera crediticia</t>
    </r>
  </si>
  <si>
    <r>
      <rPr>
        <sz val="10"/>
        <rFont val="Segoe UI"/>
        <family val="2"/>
      </rPr>
      <t>Vigente</t>
    </r>
  </si>
  <si>
    <r>
      <rPr>
        <sz val="10"/>
        <rFont val="Segoe UI"/>
        <family val="2"/>
      </rPr>
      <t>Reestructurado</t>
    </r>
  </si>
  <si>
    <r>
      <rPr>
        <sz val="10"/>
        <rFont val="Segoe UI"/>
        <family val="2"/>
      </rPr>
      <t>Refinanciado</t>
    </r>
  </si>
  <si>
    <r>
      <rPr>
        <sz val="10"/>
        <rFont val="Segoe UI"/>
        <family val="2"/>
      </rPr>
      <t>Vencido</t>
    </r>
  </si>
  <si>
    <r>
      <rPr>
        <sz val="10"/>
        <rFont val="Segoe UI"/>
        <family val="2"/>
      </rPr>
      <t>En cobranza judicial</t>
    </r>
  </si>
  <si>
    <r>
      <rPr>
        <sz val="10"/>
        <rFont val="Segoe UI"/>
        <family val="2"/>
      </rPr>
      <t>Donaciones recibidas</t>
    </r>
  </si>
  <si>
    <r>
      <rPr>
        <sz val="10"/>
        <rFont val="Segoe UI"/>
        <family val="2"/>
      </rPr>
      <t>Ingresos por colocación de bienes adjudicados y recuperados</t>
    </r>
  </si>
  <si>
    <r>
      <rPr>
        <sz val="10"/>
        <rFont val="Segoe UI"/>
        <family val="2"/>
      </rPr>
      <t>Utilidad en colocación de bienes adjudicados y recuperados</t>
    </r>
  </si>
  <si>
    <r>
      <rPr>
        <sz val="10"/>
        <rFont val="Segoe UI"/>
        <family val="2"/>
      </rPr>
      <t>(Costo de ventas diferidos)</t>
    </r>
  </si>
  <si>
    <r>
      <rPr>
        <sz val="10"/>
        <rFont val="Segoe UI"/>
        <family val="2"/>
      </rPr>
      <t>SOBRANTES DE CAJA</t>
    </r>
  </si>
  <si>
    <r>
      <rPr>
        <sz val="10"/>
        <rFont val="Segoe UI"/>
        <family val="2"/>
      </rPr>
      <t>Sobrantes de caja</t>
    </r>
  </si>
  <si>
    <r>
      <rPr>
        <sz val="10"/>
        <rFont val="Segoe UI"/>
        <family val="2"/>
      </rPr>
      <t>Impuesto a la renta diferido</t>
    </r>
  </si>
  <si>
    <r>
      <rPr>
        <sz val="10"/>
        <rFont val="Segoe UI"/>
        <family val="2"/>
      </rPr>
      <t>Entregas por identificar</t>
    </r>
  </si>
  <si>
    <r>
      <rPr>
        <sz val="10"/>
        <rFont val="Segoe UI"/>
        <family val="2"/>
      </rPr>
      <t>Operaciones País</t>
    </r>
  </si>
  <si>
    <r>
      <rPr>
        <sz val="10"/>
        <rFont val="Segoe UI"/>
        <family val="2"/>
      </rPr>
      <t>PATRIMONIO</t>
    </r>
  </si>
  <si>
    <r>
      <rPr>
        <sz val="10"/>
        <rFont val="Segoe UI"/>
        <family val="2"/>
      </rPr>
      <t>CAPITAL SOCIAL</t>
    </r>
  </si>
  <si>
    <r>
      <rPr>
        <sz val="10"/>
        <rFont val="Segoe UI"/>
        <family val="2"/>
      </rPr>
      <t>APORTE PAGADO</t>
    </r>
  </si>
  <si>
    <r>
      <rPr>
        <sz val="10"/>
        <rFont val="Segoe UI"/>
        <family val="2"/>
      </rPr>
      <t>Aportes de los socios</t>
    </r>
  </si>
  <si>
    <r>
      <rPr>
        <sz val="10"/>
        <rFont val="Segoe UI"/>
        <family val="2"/>
      </rPr>
      <t>APORTE SUSCRITO</t>
    </r>
  </si>
  <si>
    <r>
      <rPr>
        <sz val="10"/>
        <rFont val="Segoe UI"/>
        <family val="2"/>
      </rPr>
      <t>Aporte suscrito</t>
    </r>
  </si>
  <si>
    <r>
      <rPr>
        <sz val="10"/>
        <rFont val="Segoe UI"/>
        <family val="2"/>
      </rPr>
      <t>(SUSCRIPCIONES DE APORTES PENDIENTES DE PAGO)</t>
    </r>
  </si>
  <si>
    <r>
      <rPr>
        <sz val="10"/>
        <rFont val="Segoe UI"/>
        <family val="2"/>
      </rPr>
      <t>(Suscripciones de aportes pendientes de pago)</t>
    </r>
  </si>
  <si>
    <r>
      <rPr>
        <sz val="10"/>
        <rFont val="Segoe UI"/>
        <family val="2"/>
      </rPr>
      <t>CAPITAL ADICIONAL</t>
    </r>
  </si>
  <si>
    <r>
      <rPr>
        <sz val="10"/>
        <rFont val="Segoe UI"/>
        <family val="2"/>
      </rPr>
      <t>DONACIONES</t>
    </r>
  </si>
  <si>
    <r>
      <rPr>
        <sz val="10"/>
        <rFont val="Segoe UI"/>
        <family val="2"/>
      </rPr>
      <t>Donaciones</t>
    </r>
  </si>
  <si>
    <r>
      <rPr>
        <sz val="10"/>
        <rFont val="Segoe UI"/>
        <family val="2"/>
      </rPr>
      <t>RESERVAS</t>
    </r>
  </si>
  <si>
    <r>
      <rPr>
        <sz val="10"/>
        <rFont val="Segoe UI"/>
        <family val="2"/>
      </rPr>
      <t>RESERVA COOPERATIVA</t>
    </r>
  </si>
  <si>
    <r>
      <rPr>
        <sz val="10"/>
        <rFont val="Segoe UI"/>
        <family val="2"/>
      </rPr>
      <t>Remanentes</t>
    </r>
  </si>
  <si>
    <r>
      <rPr>
        <sz val="10"/>
        <rFont val="Segoe UI"/>
        <family val="2"/>
      </rPr>
      <t>RESERVAS FACULTATIVAS</t>
    </r>
  </si>
  <si>
    <r>
      <rPr>
        <sz val="10"/>
        <rFont val="Segoe UI"/>
        <family val="2"/>
      </rPr>
      <t xml:space="preserve">Reservas facultativas que sólo pueden ser reducidas con previa
</t>
    </r>
    <r>
      <rPr>
        <sz val="10"/>
        <rFont val="Segoe UI"/>
        <family val="2"/>
      </rPr>
      <t>autorización de la Superintendencia</t>
    </r>
  </si>
  <si>
    <r>
      <rPr>
        <sz val="10"/>
        <rFont val="Segoe UI"/>
        <family val="2"/>
      </rPr>
      <t xml:space="preserve">Reservas facultativas que pueden ser reducidas sin previa
</t>
    </r>
    <r>
      <rPr>
        <sz val="10"/>
        <rFont val="Segoe UI"/>
        <family val="2"/>
      </rPr>
      <t>autorización de la Superintendencia</t>
    </r>
  </si>
  <si>
    <r>
      <rPr>
        <sz val="10"/>
        <rFont val="Segoe UI"/>
        <family val="2"/>
      </rPr>
      <t>AJUSTES AL PATRIMONIO</t>
    </r>
  </si>
  <si>
    <r>
      <rPr>
        <sz val="10"/>
        <rFont val="Segoe UI"/>
        <family val="2"/>
      </rPr>
      <t xml:space="preserve">RESULTADOS NO REALIZADOS POR COBERTURA DE FLUJO DE
</t>
    </r>
    <r>
      <rPr>
        <sz val="10"/>
        <rFont val="Segoe UI"/>
        <family val="2"/>
      </rPr>
      <t>EFECTIVO</t>
    </r>
  </si>
  <si>
    <r>
      <rPr>
        <sz val="10"/>
        <rFont val="Segoe UI"/>
        <family val="2"/>
      </rPr>
      <t>RESULTADOS ACUMULADOS</t>
    </r>
  </si>
  <si>
    <r>
      <rPr>
        <sz val="10"/>
        <rFont val="Segoe UI"/>
        <family val="2"/>
      </rPr>
      <t>REMANENTE ACUMULADO</t>
    </r>
  </si>
  <si>
    <r>
      <rPr>
        <sz val="10"/>
        <rFont val="Segoe UI"/>
        <family val="2"/>
      </rPr>
      <t>Remanente acumulado con acuerdo de capitalización</t>
    </r>
  </si>
  <si>
    <r>
      <rPr>
        <sz val="10"/>
        <rFont val="Segoe UI"/>
        <family val="2"/>
      </rPr>
      <t>Remanente acumulado sin acuerdo de capitalización</t>
    </r>
  </si>
  <si>
    <r>
      <rPr>
        <sz val="10"/>
        <rFont val="Segoe UI"/>
        <family val="2"/>
      </rPr>
      <t>Remanente no realizado por inversiones disponibles para la venta</t>
    </r>
  </si>
  <si>
    <r>
      <rPr>
        <sz val="10"/>
        <rFont val="Segoe UI"/>
        <family val="2"/>
      </rPr>
      <t xml:space="preserve">Remanente por método de participación patrimonial
</t>
    </r>
    <r>
      <rPr>
        <sz val="10"/>
        <rFont val="Segoe UI"/>
        <family val="2"/>
      </rPr>
      <t>correspondiente a inversiones que se deducen del patrimonio efectivo</t>
    </r>
  </si>
  <si>
    <r>
      <rPr>
        <sz val="10"/>
        <rFont val="Segoe UI"/>
        <family val="2"/>
      </rPr>
      <t xml:space="preserve">Remanente por método de participación patrimonial
</t>
    </r>
    <r>
      <rPr>
        <sz val="10"/>
        <rFont val="Segoe UI"/>
        <family val="2"/>
      </rPr>
      <t>correspondiente a inversiones que no se deducen del patrimonio efectivo</t>
    </r>
  </si>
  <si>
    <r>
      <rPr>
        <sz val="10"/>
        <rFont val="Segoe UI"/>
        <family val="2"/>
      </rPr>
      <t>(DÉFICIT ACUMULADO)</t>
    </r>
  </si>
  <si>
    <r>
      <rPr>
        <sz val="10"/>
        <rFont val="Segoe UI"/>
        <family val="2"/>
      </rPr>
      <t>Déficit acumulado</t>
    </r>
  </si>
  <si>
    <r>
      <rPr>
        <sz val="10"/>
        <rFont val="Segoe UI"/>
        <family val="2"/>
      </rPr>
      <t>Déficit no realizado por inversiones disponibles para la venta</t>
    </r>
  </si>
  <si>
    <r>
      <rPr>
        <sz val="10"/>
        <rFont val="Segoe UI"/>
        <family val="2"/>
      </rPr>
      <t xml:space="preserve">Déficit por método de participación patrimonial correspondiente a
</t>
    </r>
    <r>
      <rPr>
        <sz val="10"/>
        <rFont val="Segoe UI"/>
        <family val="2"/>
      </rPr>
      <t>inversiones que se deducen del patrimonio efectivo</t>
    </r>
  </si>
  <si>
    <r>
      <rPr>
        <sz val="10"/>
        <rFont val="Segoe UI"/>
        <family val="2"/>
      </rPr>
      <t xml:space="preserve">Déficit por método de participación patrimonial correspondiente a
</t>
    </r>
    <r>
      <rPr>
        <sz val="10"/>
        <rFont val="Segoe UI"/>
        <family val="2"/>
      </rPr>
      <t>inversiones que no se deducen del patrimonio efectivo</t>
    </r>
  </si>
  <si>
    <r>
      <rPr>
        <sz val="10"/>
        <rFont val="Segoe UI"/>
        <family val="2"/>
      </rPr>
      <t>RESULTADO NETO DEL EJERCICIO</t>
    </r>
  </si>
  <si>
    <r>
      <rPr>
        <sz val="10"/>
        <rFont val="Segoe UI"/>
        <family val="2"/>
      </rPr>
      <t>REMANENTE NETO DEL EJERCICIO</t>
    </r>
  </si>
  <si>
    <r>
      <rPr>
        <sz val="10"/>
        <rFont val="Segoe UI"/>
        <family val="2"/>
      </rPr>
      <t>Remanente neto del ejercicio con acuerdo de capitalización</t>
    </r>
  </si>
  <si>
    <r>
      <rPr>
        <sz val="10"/>
        <rFont val="Segoe UI"/>
        <family val="2"/>
      </rPr>
      <t>Remanente neto del ejercicio sin acuerdo de capitalización</t>
    </r>
  </si>
  <si>
    <r>
      <rPr>
        <sz val="10"/>
        <rFont val="Segoe UI"/>
        <family val="2"/>
      </rPr>
      <t>(DÉFICIT NETO DEL EJERCICIO)</t>
    </r>
  </si>
  <si>
    <r>
      <rPr>
        <sz val="10"/>
        <rFont val="Segoe UI"/>
        <family val="2"/>
      </rPr>
      <t>(Déficit neto del ejercicio)</t>
    </r>
  </si>
  <si>
    <r>
      <rPr>
        <sz val="10"/>
        <rFont val="Segoe UI"/>
        <family val="2"/>
      </rPr>
      <t>GASTOS</t>
    </r>
  </si>
  <si>
    <r>
      <rPr>
        <sz val="10"/>
        <rFont val="Segoe UI"/>
        <family val="2"/>
      </rPr>
      <t>GASTOS FINANCIEROS</t>
    </r>
  </si>
  <si>
    <r>
      <rPr>
        <sz val="10"/>
        <rFont val="Segoe UI"/>
        <family val="2"/>
      </rPr>
      <t>INTERESES Y GASTOS POR OBLIGACIONES CON LOS SOCIOS</t>
    </r>
  </si>
  <si>
    <r>
      <rPr>
        <sz val="10"/>
        <rFont val="Arial Narrow"/>
        <family val="2"/>
      </rPr>
      <t>Intereses y gastos por obligaciones con los socios a la vista</t>
    </r>
  </si>
  <si>
    <r>
      <rPr>
        <sz val="10"/>
        <rFont val="Segoe UI"/>
        <family val="2"/>
      </rPr>
      <t xml:space="preserve">Intereses y gastos por obligaciones con los socios por cuentas de
</t>
    </r>
    <r>
      <rPr>
        <sz val="10"/>
        <rFont val="Segoe UI"/>
        <family val="2"/>
      </rPr>
      <t>ahorro</t>
    </r>
  </si>
  <si>
    <r>
      <rPr>
        <sz val="10"/>
        <rFont val="Segoe UI"/>
        <family val="2"/>
      </rPr>
      <t xml:space="preserve">Intereses y gastos por obligaciones con los socios por cuentas a
</t>
    </r>
    <r>
      <rPr>
        <sz val="10"/>
        <rFont val="Segoe UI"/>
        <family val="2"/>
      </rPr>
      <t>plazo</t>
    </r>
  </si>
  <si>
    <r>
      <rPr>
        <sz val="10"/>
        <rFont val="Segoe UI"/>
        <family val="2"/>
      </rPr>
      <t>Certificados de depósito</t>
    </r>
  </si>
  <si>
    <r>
      <rPr>
        <sz val="10"/>
        <rFont val="Segoe UI"/>
        <family val="2"/>
      </rPr>
      <t>Depósitos compensación tiempo de servicios</t>
    </r>
  </si>
  <si>
    <r>
      <rPr>
        <sz val="10"/>
        <rFont val="Segoe UI"/>
        <family val="2"/>
      </rPr>
      <t>Intereses y gastos por obligaciones con los socios restringidas</t>
    </r>
  </si>
  <si>
    <r>
      <rPr>
        <sz val="10"/>
        <rFont val="Segoe UI"/>
        <family val="2"/>
      </rPr>
      <t>Otras obligaciones con los socios restringidas</t>
    </r>
  </si>
  <si>
    <r>
      <rPr>
        <sz val="10"/>
        <rFont val="Segoe UI"/>
        <family val="2"/>
      </rPr>
      <t>INTERESES Y GASTOS POR FONDOS INTERCOOPERATIVOS</t>
    </r>
  </si>
  <si>
    <r>
      <rPr>
        <sz val="10"/>
        <rFont val="Segoe UI"/>
        <family val="2"/>
      </rPr>
      <t>INTERESES Y GASTOS POR DEPÓSITOS DE COOPAC</t>
    </r>
  </si>
  <si>
    <r>
      <rPr>
        <sz val="10"/>
        <rFont val="Arial Narrow"/>
        <family val="2"/>
      </rPr>
      <t>Intereses y gastos por depósitos a la vista de Coopac</t>
    </r>
  </si>
  <si>
    <r>
      <rPr>
        <sz val="10"/>
        <rFont val="Segoe UI"/>
        <family val="2"/>
      </rPr>
      <t>Intereses y gastos por depósitos de ahorro de Coopac</t>
    </r>
  </si>
  <si>
    <r>
      <rPr>
        <sz val="10"/>
        <rFont val="Segoe UI"/>
        <family val="2"/>
      </rPr>
      <t>Intereses y gastos por depósitos a plazo de Coopac</t>
    </r>
  </si>
  <si>
    <r>
      <rPr>
        <sz val="10"/>
        <rFont val="Segoe UI"/>
        <family val="2"/>
      </rPr>
      <t>INTERESES POR ADEUDOS Y OBLIGACIONES FINANCIERAS</t>
    </r>
  </si>
  <si>
    <r>
      <rPr>
        <sz val="10"/>
        <rFont val="Segoe UI"/>
        <family val="2"/>
      </rPr>
      <t xml:space="preserve">Intereses por adeudos y obligaciones con la Corporación Financiera
</t>
    </r>
    <r>
      <rPr>
        <sz val="10"/>
        <rFont val="Segoe UI"/>
        <family val="2"/>
      </rPr>
      <t>de Desarrollo</t>
    </r>
  </si>
  <si>
    <r>
      <rPr>
        <sz val="10"/>
        <rFont val="Segoe UI"/>
        <family val="2"/>
      </rPr>
      <t>Intereses por préstamos</t>
    </r>
  </si>
  <si>
    <r>
      <rPr>
        <sz val="10"/>
        <rFont val="Segoe UI"/>
        <family val="2"/>
      </rPr>
      <t>Intereses por otras obligaciones</t>
    </r>
  </si>
  <si>
    <r>
      <rPr>
        <sz val="10"/>
        <rFont val="Segoe UI"/>
        <family val="2"/>
      </rPr>
      <t xml:space="preserve">Intereses por adeudos y obligaciones con Coopac y empresas del
</t>
    </r>
    <r>
      <rPr>
        <sz val="10"/>
        <rFont val="Segoe UI"/>
        <family val="2"/>
      </rPr>
      <t>sistema financiero del país</t>
    </r>
  </si>
  <si>
    <r>
      <rPr>
        <sz val="10"/>
        <rFont val="Segoe UI"/>
        <family val="2"/>
      </rPr>
      <t>Intereses por bienes recibidos en arrendamiento financiero</t>
    </r>
  </si>
  <si>
    <r>
      <rPr>
        <sz val="10"/>
        <rFont val="Segoe UI"/>
        <family val="2"/>
      </rPr>
      <t>Intereses por adeudos con subsidiarias</t>
    </r>
  </si>
  <si>
    <r>
      <rPr>
        <sz val="10"/>
        <rFont val="Segoe UI"/>
        <family val="2"/>
      </rPr>
      <t xml:space="preserve">Intereses por adeudos y obligaciones con instituciones financieras
</t>
    </r>
    <r>
      <rPr>
        <sz val="10"/>
        <rFont val="Segoe UI"/>
        <family val="2"/>
      </rPr>
      <t>del exterior</t>
    </r>
  </si>
  <si>
    <r>
      <rPr>
        <sz val="10"/>
        <rFont val="Arial Narrow"/>
        <family val="2"/>
      </rPr>
      <t>Intereses por avances en cuenta corriente</t>
    </r>
  </si>
  <si>
    <r>
      <rPr>
        <sz val="10"/>
        <rFont val="Segoe UI"/>
        <family val="2"/>
      </rPr>
      <t xml:space="preserve">Intereses por adeudos y obligaciones con organismos financieros
</t>
    </r>
    <r>
      <rPr>
        <sz val="10"/>
        <rFont val="Segoe UI"/>
        <family val="2"/>
      </rPr>
      <t>internacionales</t>
    </r>
  </si>
  <si>
    <r>
      <rPr>
        <sz val="10"/>
        <rFont val="Segoe UI"/>
        <family val="2"/>
      </rPr>
      <t>Intereses por adeudos por préstamos</t>
    </r>
  </si>
  <si>
    <r>
      <rPr>
        <sz val="10"/>
        <rFont val="Segoe UI"/>
        <family val="2"/>
      </rPr>
      <t>Intereses por otros adeudos y obligaciones del país</t>
    </r>
  </si>
  <si>
    <r>
      <rPr>
        <sz val="10"/>
        <rFont val="Segoe UI"/>
        <family val="2"/>
      </rPr>
      <t>Intereses por otros préstamos</t>
    </r>
  </si>
  <si>
    <r>
      <rPr>
        <sz val="10"/>
        <rFont val="Segoe UI"/>
        <family val="2"/>
      </rPr>
      <t>Intereses por otros adeudos con subsidiarias</t>
    </r>
  </si>
  <si>
    <r>
      <rPr>
        <sz val="10"/>
        <rFont val="Segoe UI"/>
        <family val="2"/>
      </rPr>
      <t>Intereses por otros adeudos y obligaciones del exterior</t>
    </r>
  </si>
  <si>
    <r>
      <rPr>
        <sz val="10"/>
        <rFont val="Segoe UI"/>
        <family val="2"/>
      </rPr>
      <t>INTERESES DE CUENTAS POR PAGAR</t>
    </r>
  </si>
  <si>
    <r>
      <rPr>
        <sz val="10"/>
        <rFont val="Segoe UI"/>
        <family val="2"/>
      </rPr>
      <t>Intereses de cuentas por pagar</t>
    </r>
  </si>
  <si>
    <r>
      <rPr>
        <sz val="10"/>
        <rFont val="Arial Narrow"/>
        <family val="2"/>
      </rPr>
      <t xml:space="preserve">Intereses y gastos de cuentas por pagar por operaciones de venta con compromiso
</t>
    </r>
    <r>
      <rPr>
        <sz val="10"/>
        <rFont val="Arial Narrow"/>
        <family val="2"/>
      </rPr>
      <t>de recompra</t>
    </r>
  </si>
  <si>
    <r>
      <rPr>
        <sz val="10"/>
        <rFont val="Arial Narrow"/>
        <family val="2"/>
      </rPr>
      <t xml:space="preserve">Intereses y gastos de cuentas por pagar por operaciones de venta y compra
</t>
    </r>
    <r>
      <rPr>
        <sz val="10"/>
        <rFont val="Arial Narrow"/>
        <family val="2"/>
      </rPr>
      <t>simultáneas de valores</t>
    </r>
  </si>
  <si>
    <r>
      <rPr>
        <sz val="10"/>
        <rFont val="Arial Narrow"/>
        <family val="2"/>
      </rPr>
      <t xml:space="preserve">Intereses y gastos de cuentas por pagar por operaciones de transferencia temporal
</t>
    </r>
    <r>
      <rPr>
        <sz val="10"/>
        <rFont val="Arial Narrow"/>
        <family val="2"/>
      </rPr>
      <t>de valores</t>
    </r>
  </si>
  <si>
    <r>
      <rPr>
        <sz val="10"/>
        <rFont val="Segoe UI"/>
        <family val="2"/>
      </rPr>
      <t>Intereses y gastos de otras cuentas por pagar</t>
    </r>
  </si>
  <si>
    <r>
      <rPr>
        <sz val="10"/>
        <rFont val="Segoe UI"/>
        <family val="2"/>
      </rPr>
      <t xml:space="preserve">INTERESES POR VALORES, TÍTULOS Y OBLIGACIONES EN
</t>
    </r>
    <r>
      <rPr>
        <sz val="10"/>
        <rFont val="Segoe UI"/>
        <family val="2"/>
      </rPr>
      <t>CIRCULACION</t>
    </r>
  </si>
  <si>
    <r>
      <rPr>
        <sz val="10"/>
        <rFont val="Segoe UI"/>
        <family val="2"/>
      </rPr>
      <t>Intereses por bonos comunes</t>
    </r>
  </si>
  <si>
    <r>
      <rPr>
        <sz val="10"/>
        <rFont val="Segoe UI"/>
        <family val="2"/>
      </rPr>
      <t>Intereses por bonos subordinados</t>
    </r>
  </si>
  <si>
    <r>
      <rPr>
        <sz val="10"/>
        <rFont val="Segoe UI"/>
        <family val="2"/>
      </rPr>
      <t>Intereses por otras obligaciones subordinadas</t>
    </r>
  </si>
  <si>
    <r>
      <rPr>
        <sz val="10"/>
        <rFont val="Segoe UI"/>
        <family val="2"/>
      </rPr>
      <t>Intereses por otros instrumentos representativos de deuda</t>
    </r>
  </si>
  <si>
    <r>
      <rPr>
        <sz val="10"/>
        <rFont val="Segoe UI"/>
        <family val="2"/>
      </rPr>
      <t>Intereses por pagarés</t>
    </r>
  </si>
  <si>
    <r>
      <rPr>
        <sz val="10"/>
        <rFont val="Segoe UI"/>
        <family val="2"/>
      </rPr>
      <t>Intereses por obligaciones</t>
    </r>
  </si>
  <si>
    <r>
      <rPr>
        <sz val="10"/>
        <rFont val="Segoe UI"/>
        <family val="2"/>
      </rPr>
      <t>COMISIONES Y OTROS CARGOS POR OBLIGACIONES FINANCIERAS</t>
    </r>
  </si>
  <si>
    <r>
      <rPr>
        <sz val="10"/>
        <rFont val="Segoe UI"/>
        <family val="2"/>
      </rPr>
      <t>Adeudos y otras obligaciones financieras</t>
    </r>
  </si>
  <si>
    <r>
      <rPr>
        <sz val="10"/>
        <rFont val="Segoe UI"/>
        <family val="2"/>
      </rPr>
      <t>DIFERENCIA DE CAMBIO</t>
    </r>
  </si>
  <si>
    <r>
      <rPr>
        <sz val="10"/>
        <rFont val="Segoe UI"/>
        <family val="2"/>
      </rPr>
      <t>Diferencia de cambio por operaciones spot de moneda extranjera</t>
    </r>
  </si>
  <si>
    <r>
      <rPr>
        <sz val="10"/>
        <rFont val="Segoe UI"/>
        <family val="2"/>
      </rPr>
      <t>Diferencia por nivelación de cambio</t>
    </r>
  </si>
  <si>
    <r>
      <rPr>
        <sz val="10"/>
        <rFont val="Segoe UI"/>
        <family val="2"/>
      </rPr>
      <t>Inversiones</t>
    </r>
  </si>
  <si>
    <r>
      <rPr>
        <sz val="10"/>
        <rFont val="Segoe UI"/>
        <family val="2"/>
      </rPr>
      <t>CARGAS FINANCIERAS DIVERSAS</t>
    </r>
  </si>
  <si>
    <r>
      <rPr>
        <sz val="10"/>
        <rFont val="Segoe UI"/>
        <family val="2"/>
      </rPr>
      <t>Reajuste por indexación</t>
    </r>
  </si>
  <si>
    <r>
      <rPr>
        <sz val="10"/>
        <rFont val="Segoe UI"/>
        <family val="2"/>
      </rPr>
      <t>Resultado en la compra-venta de valores</t>
    </r>
  </si>
  <si>
    <r>
      <rPr>
        <sz val="10"/>
        <rFont val="Segoe UI"/>
        <family val="2"/>
      </rPr>
      <t>Pérdidas en Inversiones en subsidiarias y asociadas</t>
    </r>
  </si>
  <si>
    <r>
      <rPr>
        <sz val="10"/>
        <rFont val="Segoe UI"/>
        <family val="2"/>
      </rPr>
      <t>Primas para Fondo de Seguro de Depósitos</t>
    </r>
  </si>
  <si>
    <r>
      <rPr>
        <sz val="10"/>
        <rFont val="Segoe UI"/>
        <family val="2"/>
      </rPr>
      <t>Gastos por líneas de crédito</t>
    </r>
  </si>
  <si>
    <r>
      <rPr>
        <sz val="10"/>
        <rFont val="Segoe UI"/>
        <family val="2"/>
      </rPr>
      <t>Cargos por bienes recibidos en arrendamiento financiero</t>
    </r>
  </si>
  <si>
    <r>
      <rPr>
        <sz val="10"/>
        <rFont val="Segoe UI"/>
        <family val="2"/>
      </rPr>
      <t>Gastos por valuación de garantías</t>
    </r>
  </si>
  <si>
    <r>
      <rPr>
        <sz val="10"/>
        <rFont val="Segoe UI"/>
        <family val="2"/>
      </rPr>
      <t>Gastos financieros interoficinas</t>
    </r>
  </si>
  <si>
    <r>
      <rPr>
        <sz val="10"/>
        <rFont val="Segoe UI"/>
        <family val="2"/>
      </rPr>
      <t xml:space="preserve">Valorización de Inversiones negociables a valor razonable con
</t>
    </r>
    <r>
      <rPr>
        <sz val="10"/>
        <rFont val="Segoe UI"/>
        <family val="2"/>
      </rPr>
      <t>cambios en resultados - instrumentos representativos de capital</t>
    </r>
  </si>
  <si>
    <r>
      <rPr>
        <sz val="10"/>
        <rFont val="Segoe UI"/>
        <family val="2"/>
      </rPr>
      <t xml:space="preserve">Valorización de Inversiones a valor razonable con cambios en
</t>
    </r>
    <r>
      <rPr>
        <sz val="10"/>
        <rFont val="Segoe UI"/>
        <family val="2"/>
      </rPr>
      <t>resultados - instrumentos representativos de deuda</t>
    </r>
  </si>
  <si>
    <r>
      <rPr>
        <sz val="10"/>
        <rFont val="Segoe UI"/>
        <family val="2"/>
      </rPr>
      <t xml:space="preserve">Bonos subordinados y otros instrumentos representativos de deuda
</t>
    </r>
    <r>
      <rPr>
        <sz val="10"/>
        <rFont val="Segoe UI"/>
        <family val="2"/>
      </rPr>
      <t>subordinada</t>
    </r>
  </si>
  <si>
    <r>
      <rPr>
        <sz val="10"/>
        <rFont val="Segoe UI"/>
        <family val="2"/>
      </rPr>
      <t xml:space="preserve">Valorización de inversiones disponibles para la venta - instrumentos
</t>
    </r>
    <r>
      <rPr>
        <sz val="10"/>
        <rFont val="Segoe UI"/>
        <family val="2"/>
      </rPr>
      <t>representativos de capital</t>
    </r>
  </si>
  <si>
    <r>
      <rPr>
        <sz val="10"/>
        <rFont val="Segoe UI"/>
        <family val="2"/>
      </rPr>
      <t>Cuotas de participación en Fondos de Inversión</t>
    </r>
  </si>
  <si>
    <r>
      <rPr>
        <sz val="10"/>
        <rFont val="Segoe UI"/>
        <family val="2"/>
      </rPr>
      <t>Cuotas de participación en Fondos Mutuos de Inversión en Valores</t>
    </r>
  </si>
  <si>
    <r>
      <rPr>
        <sz val="10"/>
        <rFont val="Segoe UI"/>
        <family val="2"/>
      </rPr>
      <t xml:space="preserve">Valorización de inversiones disponibles para la venta - instrumentos
</t>
    </r>
    <r>
      <rPr>
        <sz val="10"/>
        <rFont val="Segoe UI"/>
        <family val="2"/>
      </rPr>
      <t>representativos de deuda</t>
    </r>
  </si>
  <si>
    <r>
      <rPr>
        <sz val="10"/>
        <rFont val="Segoe UI"/>
        <family val="2"/>
      </rPr>
      <t>Certificado de depósito por mercaderías</t>
    </r>
  </si>
  <si>
    <r>
      <rPr>
        <sz val="10"/>
        <rFont val="Segoe UI"/>
        <family val="2"/>
      </rPr>
      <t>Valores objeto de o entregados en transferencia temporal de valores</t>
    </r>
  </si>
  <si>
    <r>
      <rPr>
        <sz val="10"/>
        <rFont val="Segoe UI"/>
        <family val="2"/>
      </rPr>
      <t>Valorización de Inversiones en Commodities</t>
    </r>
  </si>
  <si>
    <r>
      <rPr>
        <sz val="10"/>
        <rFont val="Arial Narrow"/>
        <family val="2"/>
      </rPr>
      <t>Gastos por productos financieros derivados para negociación</t>
    </r>
  </si>
  <si>
    <r>
      <rPr>
        <sz val="10"/>
        <rFont val="Segoe UI"/>
        <family val="2"/>
      </rPr>
      <t>Gastos por productos financieros derivados con fines de cobertura</t>
    </r>
  </si>
  <si>
    <r>
      <rPr>
        <sz val="10"/>
        <rFont val="Arial Narrow"/>
        <family val="2"/>
      </rPr>
      <t>Derivados de tasa de interés (devengue de tasas)</t>
    </r>
  </si>
  <si>
    <r>
      <rPr>
        <sz val="10"/>
        <rFont val="Arial Narrow"/>
        <family val="2"/>
      </rPr>
      <t>Fluctuación de valor de las obligaciones por venta en corto</t>
    </r>
  </si>
  <si>
    <r>
      <rPr>
        <sz val="10"/>
        <rFont val="Segoe UI"/>
        <family val="2"/>
      </rPr>
      <t>Intereses por pagar sobre capitalización individual</t>
    </r>
  </si>
  <si>
    <r>
      <rPr>
        <sz val="10"/>
        <rFont val="Segoe UI"/>
        <family val="2"/>
      </rPr>
      <t>Gastos por otorgamiento de premio al buen pagador (PBP)</t>
    </r>
  </si>
  <si>
    <r>
      <rPr>
        <sz val="10"/>
        <rFont val="Arial Narrow"/>
        <family val="2"/>
      </rPr>
      <t>Gastos por cobertura de riesgo crediticio (CRC)</t>
    </r>
  </si>
  <si>
    <r>
      <rPr>
        <sz val="10"/>
        <rFont val="Arial Narrow"/>
        <family val="2"/>
      </rPr>
      <t>Ajustes de partidas cubiertas por valor razonable</t>
    </r>
  </si>
  <si>
    <r>
      <rPr>
        <sz val="10"/>
        <rFont val="Arial Narrow"/>
        <family val="2"/>
      </rPr>
      <t>En Coberturas de Valor Razonable</t>
    </r>
  </si>
  <si>
    <r>
      <rPr>
        <sz val="10"/>
        <rFont val="Arial Narrow"/>
        <family val="2"/>
      </rPr>
      <t>Tasas de interés</t>
    </r>
  </si>
  <si>
    <r>
      <rPr>
        <sz val="10"/>
        <rFont val="Arial Narrow"/>
        <family val="2"/>
      </rPr>
      <t>Otros</t>
    </r>
  </si>
  <si>
    <r>
      <rPr>
        <sz val="10"/>
        <rFont val="Segoe UI"/>
        <family val="2"/>
      </rPr>
      <t>Pérdida por compra de cartera crediticia</t>
    </r>
  </si>
  <si>
    <r>
      <rPr>
        <sz val="10"/>
        <rFont val="Segoe UI"/>
        <family val="2"/>
      </rPr>
      <t>Pérdida por venta de cartera crediticia</t>
    </r>
  </si>
  <si>
    <r>
      <rPr>
        <sz val="10"/>
        <rFont val="Segoe UI"/>
        <family val="2"/>
      </rPr>
      <t>GASTOS POR SERVICIOS FINANCIEROS</t>
    </r>
  </si>
  <si>
    <r>
      <rPr>
        <sz val="10"/>
        <rFont val="Segoe UI"/>
        <family val="2"/>
      </rPr>
      <t>GASTOS POR OPERACIONES CONTINGENTES</t>
    </r>
  </si>
  <si>
    <r>
      <rPr>
        <sz val="10"/>
        <rFont val="Segoe UI"/>
        <family val="2"/>
      </rPr>
      <t>Avales</t>
    </r>
  </si>
  <si>
    <r>
      <rPr>
        <sz val="10"/>
        <rFont val="Segoe UI"/>
        <family val="2"/>
      </rPr>
      <t>Cartas Fianza</t>
    </r>
  </si>
  <si>
    <r>
      <rPr>
        <sz val="10"/>
        <rFont val="Segoe UI"/>
        <family val="2"/>
      </rPr>
      <t>Aceptaciones bancarias</t>
    </r>
  </si>
  <si>
    <r>
      <rPr>
        <sz val="10"/>
        <rFont val="Segoe UI"/>
        <family val="2"/>
      </rPr>
      <t>GASTOS POR SERVICIOS FINANCIEROS DIVERSOS</t>
    </r>
  </si>
  <si>
    <r>
      <rPr>
        <sz val="10"/>
        <rFont val="Segoe UI"/>
        <family val="2"/>
      </rPr>
      <t>Mantenimiento de cuentas</t>
    </r>
  </si>
  <si>
    <r>
      <rPr>
        <sz val="10"/>
        <rFont val="Segoe UI"/>
        <family val="2"/>
      </rPr>
      <t>Cobranzas</t>
    </r>
  </si>
  <si>
    <r>
      <rPr>
        <sz val="10"/>
        <rFont val="Segoe UI"/>
        <family val="2"/>
      </rPr>
      <t>Custodia de Valores</t>
    </r>
  </si>
  <si>
    <r>
      <rPr>
        <sz val="10"/>
        <rFont val="Arial Narrow"/>
        <family val="2"/>
      </rPr>
      <t>Fideicomisos</t>
    </r>
  </si>
  <si>
    <r>
      <rPr>
        <sz val="10"/>
        <rFont val="Segoe UI"/>
        <family val="2"/>
      </rPr>
      <t>Tarjetas de débito</t>
    </r>
  </si>
  <si>
    <r>
      <rPr>
        <sz val="10"/>
        <rFont val="Arial Narrow"/>
        <family val="2"/>
      </rPr>
      <t>Giros</t>
    </r>
  </si>
  <si>
    <r>
      <rPr>
        <sz val="10"/>
        <rFont val="Arial Narrow"/>
        <family val="2"/>
      </rPr>
      <t>Transferencias</t>
    </r>
  </si>
  <si>
    <r>
      <rPr>
        <sz val="10"/>
        <rFont val="Arial Narrow"/>
        <family val="2"/>
      </rPr>
      <t>Compraventa de valores</t>
    </r>
  </si>
  <si>
    <r>
      <rPr>
        <sz val="10"/>
        <rFont val="Segoe UI"/>
        <family val="2"/>
      </rPr>
      <t>Compraventa de moneda extranjera por operaciones spot</t>
    </r>
  </si>
  <si>
    <r>
      <rPr>
        <sz val="10"/>
        <rFont val="Segoe UI"/>
        <family val="2"/>
      </rPr>
      <t>Servicios de caja</t>
    </r>
  </si>
  <si>
    <r>
      <rPr>
        <sz val="10"/>
        <rFont val="Segoe UI"/>
        <family val="2"/>
      </rPr>
      <t>Agentes</t>
    </r>
  </si>
  <si>
    <r>
      <rPr>
        <sz val="10"/>
        <rFont val="Arial Narrow"/>
        <family val="2"/>
      </rPr>
      <t>Alquiler de cajas de seguridad</t>
    </r>
  </si>
  <si>
    <r>
      <rPr>
        <sz val="10"/>
        <rFont val="Segoe UI"/>
        <family val="2"/>
      </rPr>
      <t>Otros servicios financieros</t>
    </r>
  </si>
  <si>
    <r>
      <rPr>
        <sz val="10"/>
        <rFont val="Segoe UI"/>
        <family val="2"/>
      </rPr>
      <t xml:space="preserve">PÉRDIDA POR DETERIORO, PROVISIONES PARA INCOBRABILIDAD Y
</t>
    </r>
    <r>
      <rPr>
        <sz val="10"/>
        <rFont val="Segoe UI"/>
        <family val="2"/>
      </rPr>
      <t>ACTIVOS NO CORRIENTES MANTENIDOS PARA LA VENTA</t>
    </r>
  </si>
  <si>
    <r>
      <rPr>
        <sz val="10"/>
        <rFont val="Segoe UI"/>
        <family val="2"/>
      </rPr>
      <t>PÉRDIDA POR DETERIORO DE INVERSIONES</t>
    </r>
  </si>
  <si>
    <r>
      <rPr>
        <sz val="10"/>
        <rFont val="Segoe UI"/>
        <family val="2"/>
      </rPr>
      <t>Inversiones negociables</t>
    </r>
  </si>
  <si>
    <r>
      <rPr>
        <sz val="10"/>
        <rFont val="Segoe UI"/>
        <family val="2"/>
      </rPr>
      <t xml:space="preserve">Valores y títulos de operaciones de venta con compromiso de
</t>
    </r>
    <r>
      <rPr>
        <sz val="10"/>
        <rFont val="Segoe UI"/>
        <family val="2"/>
      </rPr>
      <t>recompra</t>
    </r>
  </si>
  <si>
    <r>
      <rPr>
        <sz val="10"/>
        <rFont val="Segoe UI"/>
        <family val="2"/>
      </rPr>
      <t xml:space="preserve">Inversiones negociables Disponibles para la Venta - Valores
</t>
    </r>
    <r>
      <rPr>
        <sz val="10"/>
        <rFont val="Segoe UI"/>
        <family val="2"/>
      </rPr>
      <t>Representativos de Deuda</t>
    </r>
  </si>
  <si>
    <r>
      <rPr>
        <sz val="10"/>
        <rFont val="Segoe UI"/>
        <family val="2"/>
      </rPr>
      <t>Valores y títulos de operaciones de reporte</t>
    </r>
  </si>
  <si>
    <r>
      <rPr>
        <sz val="10"/>
        <rFont val="Segoe UI"/>
        <family val="2"/>
      </rPr>
      <t>Inversiones en subsidiarias y asociadas</t>
    </r>
  </si>
  <si>
    <r>
      <rPr>
        <sz val="10"/>
        <rFont val="Segoe UI"/>
        <family val="2"/>
      </rPr>
      <t>PROVISIONES PARA INCOBRABILIDAD DE CRÉDITOS</t>
    </r>
  </si>
  <si>
    <r>
      <rPr>
        <sz val="10"/>
        <rFont val="Segoe UI"/>
        <family val="2"/>
      </rPr>
      <t>Provisión para créditos a microempresas</t>
    </r>
  </si>
  <si>
    <r>
      <rPr>
        <sz val="10"/>
        <rFont val="Segoe UI"/>
        <family val="2"/>
      </rPr>
      <t>Componente Fijo</t>
    </r>
  </si>
  <si>
    <r>
      <rPr>
        <sz val="10"/>
        <rFont val="Segoe UI"/>
        <family val="2"/>
      </rPr>
      <t>Componente Procíclico</t>
    </r>
  </si>
  <si>
    <r>
      <rPr>
        <sz val="10"/>
        <rFont val="Segoe UI"/>
        <family val="2"/>
      </rPr>
      <t xml:space="preserve">Provisiones para valuación - Operaciones refinanciadas y
</t>
    </r>
    <r>
      <rPr>
        <sz val="10"/>
        <rFont val="Segoe UI"/>
        <family val="2"/>
      </rPr>
      <t>reestructuradas</t>
    </r>
  </si>
  <si>
    <r>
      <rPr>
        <sz val="10"/>
        <rFont val="Segoe UI"/>
        <family val="2"/>
      </rPr>
      <t>Provisión para créditos de consumo</t>
    </r>
  </si>
  <si>
    <r>
      <rPr>
        <sz val="10"/>
        <rFont val="Segoe UI"/>
        <family val="2"/>
      </rPr>
      <t>Provisiones para valuación - Operaciones refinanciadas</t>
    </r>
  </si>
  <si>
    <r>
      <rPr>
        <sz val="10"/>
        <rFont val="Segoe UI"/>
        <family val="2"/>
      </rPr>
      <t>Provisión para créditos hipotecarios para vivienda</t>
    </r>
  </si>
  <si>
    <r>
      <rPr>
        <sz val="10"/>
        <rFont val="Arial Narrow"/>
        <family val="2"/>
      </rPr>
      <t>Provisión para créditos a entidades del sector público</t>
    </r>
  </si>
  <si>
    <r>
      <rPr>
        <sz val="10"/>
        <rFont val="Arial Narrow"/>
        <family val="2"/>
      </rPr>
      <t>Componente Fijo</t>
    </r>
  </si>
  <si>
    <r>
      <rPr>
        <sz val="10"/>
        <rFont val="Arial Narrow"/>
        <family val="2"/>
      </rPr>
      <t>Componente Procíclico</t>
    </r>
  </si>
  <si>
    <r>
      <rPr>
        <sz val="10"/>
        <rFont val="Arial Narrow"/>
        <family val="2"/>
      </rPr>
      <t>Provisiones para valuación - Operaciones refinanciadas y reestructuradas</t>
    </r>
  </si>
  <si>
    <r>
      <rPr>
        <sz val="10"/>
        <rFont val="Segoe UI"/>
        <family val="2"/>
      </rPr>
      <t>Provisión para créditos a Coopac</t>
    </r>
  </si>
  <si>
    <r>
      <rPr>
        <sz val="10"/>
        <rFont val="Segoe UI"/>
        <family val="2"/>
      </rPr>
      <t>Provisión para créditos corporativos</t>
    </r>
  </si>
  <si>
    <r>
      <rPr>
        <sz val="10"/>
        <rFont val="Segoe UI"/>
        <family val="2"/>
      </rPr>
      <t>Provisión para créditos a grandes empresas</t>
    </r>
  </si>
  <si>
    <r>
      <rPr>
        <sz val="10"/>
        <rFont val="Segoe UI"/>
        <family val="2"/>
      </rPr>
      <t>Provisión para créditos a medianas empresas</t>
    </r>
  </si>
  <si>
    <r>
      <rPr>
        <sz val="10"/>
        <rFont val="Segoe UI"/>
        <family val="2"/>
      </rPr>
      <t>Provisión para créditos a pequeñas empresas</t>
    </r>
  </si>
  <si>
    <r>
      <rPr>
        <sz val="10"/>
        <rFont val="Segoe UI"/>
        <family val="2"/>
      </rPr>
      <t>PROVISIONES PARA INCOBRABILIDAD DE CUENTAS POR COBRAR</t>
    </r>
  </si>
  <si>
    <r>
      <rPr>
        <sz val="10"/>
        <rFont val="Segoe UI"/>
        <family val="2"/>
      </rPr>
      <t>Provisión para incobrabilidad de cuentas por cobrar</t>
    </r>
  </si>
  <si>
    <r>
      <rPr>
        <sz val="10"/>
        <rFont val="Arial Narrow"/>
        <family val="2"/>
      </rPr>
      <t>Provisión para cuentas por cobrar por fideicomisos</t>
    </r>
  </si>
  <si>
    <r>
      <rPr>
        <sz val="10"/>
        <rFont val="Segoe UI"/>
        <family val="2"/>
      </rPr>
      <t>Provisión para cuentas por cobrar por operaciones de reporte</t>
    </r>
  </si>
  <si>
    <r>
      <rPr>
        <sz val="10"/>
        <rFont val="Segoe UI"/>
        <family val="2"/>
      </rPr>
      <t xml:space="preserve">Provisión para cuentas por cobrar por operaciones de venta con
</t>
    </r>
    <r>
      <rPr>
        <sz val="10"/>
        <rFont val="Segoe UI"/>
        <family val="2"/>
      </rPr>
      <t>compromiso de recompra</t>
    </r>
  </si>
  <si>
    <r>
      <rPr>
        <sz val="10"/>
        <rFont val="Segoe UI"/>
        <family val="2"/>
      </rPr>
      <t xml:space="preserve">Provisión para cuentas por cobrar por operaciones de venta y
</t>
    </r>
    <r>
      <rPr>
        <sz val="10"/>
        <rFont val="Segoe UI"/>
        <family val="2"/>
      </rPr>
      <t>compra simultáneas de valores</t>
    </r>
  </si>
  <si>
    <r>
      <rPr>
        <sz val="10"/>
        <rFont val="Segoe UI"/>
        <family val="2"/>
      </rPr>
      <t xml:space="preserve">Provisión para cuentas por cobrar por operaciones de transferencia
</t>
    </r>
    <r>
      <rPr>
        <sz val="10"/>
        <rFont val="Segoe UI"/>
        <family val="2"/>
      </rPr>
      <t>temporal de valores</t>
    </r>
  </si>
  <si>
    <r>
      <rPr>
        <sz val="10"/>
        <rFont val="Segoe UI"/>
        <family val="2"/>
      </rPr>
      <t xml:space="preserve">PROVISIONES PARA BIENES REALIZABLES, RECIBIDOS EN PAGO Y
</t>
    </r>
    <r>
      <rPr>
        <sz val="10"/>
        <rFont val="Segoe UI"/>
        <family val="2"/>
      </rPr>
      <t>ADJUDICADOS Y ACTIVOS NO CORRIENTES MANTENIDOS PARA LA VENTA</t>
    </r>
  </si>
  <si>
    <r>
      <rPr>
        <sz val="10"/>
        <rFont val="Segoe UI"/>
        <family val="2"/>
      </rPr>
      <t>Provisión para bienes realizables</t>
    </r>
  </si>
  <si>
    <r>
      <rPr>
        <sz val="10"/>
        <rFont val="Segoe UI"/>
        <family val="2"/>
      </rPr>
      <t>Provisión para bienes recibidos en pago y adjudicados</t>
    </r>
  </si>
  <si>
    <r>
      <rPr>
        <sz val="10"/>
        <rFont val="Segoe UI"/>
        <family val="2"/>
      </rPr>
      <t>Provisión para activos no corrientes mantenidos para la venta</t>
    </r>
  </si>
  <si>
    <r>
      <rPr>
        <sz val="10"/>
        <rFont val="Segoe UI"/>
        <family val="2"/>
      </rPr>
      <t>PROVISIONES PARA CONTINGENCIAS Y OTRAS</t>
    </r>
  </si>
  <si>
    <r>
      <rPr>
        <sz val="10"/>
        <rFont val="Segoe UI"/>
        <family val="2"/>
      </rPr>
      <t>Provisiones asociativas</t>
    </r>
  </si>
  <si>
    <r>
      <rPr>
        <sz val="10"/>
        <rFont val="Segoe UI"/>
        <family val="2"/>
      </rPr>
      <t>Otras provisiones</t>
    </r>
  </si>
  <si>
    <r>
      <rPr>
        <sz val="10"/>
        <rFont val="Segoe UI"/>
        <family val="2"/>
      </rPr>
      <t>DEPRECIACIÓN, AMORTIZACIÓN Y DETERIORO</t>
    </r>
  </si>
  <si>
    <r>
      <rPr>
        <sz val="10"/>
        <rFont val="Segoe UI"/>
        <family val="2"/>
      </rPr>
      <t>DEPRECIACIÓN DE INMUEBLES, MOBILIARIO Y EQUIPO</t>
    </r>
  </si>
  <si>
    <r>
      <rPr>
        <sz val="10"/>
        <rFont val="Segoe UI"/>
        <family val="2"/>
      </rPr>
      <t>Depreciación de edificios e instalaciones</t>
    </r>
  </si>
  <si>
    <r>
      <rPr>
        <sz val="10"/>
        <rFont val="Segoe UI"/>
        <family val="2"/>
      </rPr>
      <t>Depreciación de mobiliario y equipo</t>
    </r>
  </si>
  <si>
    <r>
      <rPr>
        <sz val="10"/>
        <rFont val="Segoe UI"/>
        <family val="2"/>
      </rPr>
      <t>Depreciación de equipos de transporte y maquinarias</t>
    </r>
  </si>
  <si>
    <r>
      <rPr>
        <sz val="10"/>
        <rFont val="Segoe UI"/>
        <family val="2"/>
      </rPr>
      <t>Depreciación de bienes recibidos en arrendamiento financiero</t>
    </r>
  </si>
  <si>
    <r>
      <rPr>
        <sz val="10"/>
        <rFont val="Segoe UI"/>
        <family val="2"/>
      </rPr>
      <t>Depreciación por instalaciones y mejoras en propiedades alquiladas</t>
    </r>
  </si>
  <si>
    <r>
      <rPr>
        <sz val="10"/>
        <rFont val="Segoe UI"/>
        <family val="2"/>
      </rPr>
      <t>AMORTIZACIÓN DE INTANGIBLES</t>
    </r>
  </si>
  <si>
    <r>
      <rPr>
        <sz val="10"/>
        <rFont val="Segoe UI"/>
        <family val="2"/>
      </rPr>
      <t>Amortización de otros activos intangibles</t>
    </r>
  </si>
  <si>
    <r>
      <rPr>
        <sz val="10"/>
        <rFont val="Segoe UI"/>
        <family val="2"/>
      </rPr>
      <t>Amortización del goodwill</t>
    </r>
  </si>
  <si>
    <r>
      <rPr>
        <sz val="10"/>
        <rFont val="Segoe UI"/>
        <family val="2"/>
      </rPr>
      <t>DETERIORO DE VALOR DE INMUEBLES, MOBILIARIO Y EQUIPO</t>
    </r>
  </si>
  <si>
    <r>
      <rPr>
        <sz val="10"/>
        <rFont val="Segoe UI"/>
        <family val="2"/>
      </rPr>
      <t>Deterioro de valor de edificios e instalaciones</t>
    </r>
  </si>
  <si>
    <r>
      <rPr>
        <sz val="10"/>
        <rFont val="Segoe UI"/>
        <family val="2"/>
      </rPr>
      <t>Deterioro de valor de mobiliario y equipo</t>
    </r>
  </si>
  <si>
    <r>
      <rPr>
        <sz val="10"/>
        <rFont val="Segoe UI"/>
        <family val="2"/>
      </rPr>
      <t>Deterioro de equipos de transporte y maquinarias</t>
    </r>
  </si>
  <si>
    <r>
      <rPr>
        <sz val="10"/>
        <rFont val="Segoe UI"/>
        <family val="2"/>
      </rPr>
      <t>Deterioro de valor de bienes recibidos en arrendamiento financiero</t>
    </r>
  </si>
  <si>
    <r>
      <rPr>
        <sz val="10"/>
        <rFont val="Segoe UI"/>
        <family val="2"/>
      </rPr>
      <t>Deterioro de instalaciones y mejoras en bienes alquilados</t>
    </r>
  </si>
  <si>
    <r>
      <rPr>
        <sz val="10"/>
        <rFont val="Segoe UI"/>
        <family val="2"/>
      </rPr>
      <t>DETERIORO DE VALOR DE ACTIVOS INTANGIBLES</t>
    </r>
  </si>
  <si>
    <r>
      <rPr>
        <sz val="10"/>
        <rFont val="Segoe UI"/>
        <family val="2"/>
      </rPr>
      <t>Deterioro de software</t>
    </r>
  </si>
  <si>
    <r>
      <rPr>
        <sz val="10"/>
        <rFont val="Segoe UI"/>
        <family val="2"/>
      </rPr>
      <t>Deterioro de otros activos intangibles</t>
    </r>
  </si>
  <si>
    <r>
      <rPr>
        <sz val="10"/>
        <rFont val="Segoe UI"/>
        <family val="2"/>
      </rPr>
      <t>Deterioro del goodwill</t>
    </r>
  </si>
  <si>
    <r>
      <rPr>
        <sz val="10"/>
        <rFont val="Segoe UI"/>
        <family val="2"/>
      </rPr>
      <t>GASTOS DE ADMINISTRACIÓN</t>
    </r>
  </si>
  <si>
    <r>
      <rPr>
        <sz val="10"/>
        <rFont val="Segoe UI"/>
        <family val="2"/>
      </rPr>
      <t>GASTOS DE PERSONAL</t>
    </r>
  </si>
  <si>
    <r>
      <rPr>
        <sz val="10"/>
        <rFont val="Segoe UI"/>
        <family val="2"/>
      </rPr>
      <t>Remuneraciones</t>
    </r>
  </si>
  <si>
    <r>
      <rPr>
        <sz val="10"/>
        <rFont val="Segoe UI"/>
        <family val="2"/>
      </rPr>
      <t>Bonificaciones</t>
    </r>
  </si>
  <si>
    <r>
      <rPr>
        <sz val="10"/>
        <rFont val="Segoe UI"/>
        <family val="2"/>
      </rPr>
      <t>Gratificaciones</t>
    </r>
  </si>
  <si>
    <r>
      <rPr>
        <sz val="10"/>
        <rFont val="Segoe UI"/>
        <family val="2"/>
      </rPr>
      <t>Asignaciones</t>
    </r>
  </si>
  <si>
    <r>
      <rPr>
        <sz val="10"/>
        <rFont val="Segoe UI"/>
        <family val="2"/>
      </rPr>
      <t>Otras remuneraciones</t>
    </r>
  </si>
  <si>
    <r>
      <rPr>
        <sz val="10"/>
        <rFont val="Segoe UI"/>
        <family val="2"/>
      </rPr>
      <t>Compensación vacacional</t>
    </r>
  </si>
  <si>
    <r>
      <rPr>
        <sz val="10"/>
        <rFont val="Segoe UI"/>
        <family val="2"/>
      </rPr>
      <t>Seguro de vida y accidentes de trabajo</t>
    </r>
  </si>
  <si>
    <r>
      <rPr>
        <sz val="10"/>
        <rFont val="Segoe UI"/>
        <family val="2"/>
      </rPr>
      <t>Seguridad y previsión social</t>
    </r>
  </si>
  <si>
    <r>
      <rPr>
        <sz val="10"/>
        <rFont val="Segoe UI"/>
        <family val="2"/>
      </rPr>
      <t>Fondo de Pensiones</t>
    </r>
  </si>
  <si>
    <r>
      <rPr>
        <sz val="10"/>
        <rFont val="Segoe UI"/>
        <family val="2"/>
      </rPr>
      <t>Viáticos</t>
    </r>
  </si>
  <si>
    <r>
      <rPr>
        <sz val="10"/>
        <rFont val="Segoe UI"/>
        <family val="2"/>
      </rPr>
      <t>Jubilaciones</t>
    </r>
  </si>
  <si>
    <r>
      <rPr>
        <sz val="10"/>
        <rFont val="Segoe UI"/>
        <family val="2"/>
      </rPr>
      <t>Otros gastos</t>
    </r>
  </si>
  <si>
    <r>
      <rPr>
        <sz val="10"/>
        <rFont val="Segoe UI"/>
        <family val="2"/>
      </rPr>
      <t>GASTOS DE DIRECTIVOS</t>
    </r>
  </si>
  <si>
    <r>
      <rPr>
        <sz val="10"/>
        <rFont val="Segoe UI"/>
        <family val="2"/>
      </rPr>
      <t>Dietas</t>
    </r>
  </si>
  <si>
    <r>
      <rPr>
        <sz val="10"/>
        <rFont val="Segoe UI"/>
        <family val="2"/>
      </rPr>
      <t>Dietas Consejo de Administración</t>
    </r>
  </si>
  <si>
    <r>
      <rPr>
        <sz val="10"/>
        <rFont val="Segoe UI"/>
        <family val="2"/>
      </rPr>
      <t>Dietas Consejo de Vigilancia</t>
    </r>
  </si>
  <si>
    <r>
      <rPr>
        <sz val="10"/>
        <rFont val="Segoe UI"/>
        <family val="2"/>
      </rPr>
      <t>Dietas Comité de Educación</t>
    </r>
  </si>
  <si>
    <r>
      <rPr>
        <sz val="10"/>
        <rFont val="Segoe UI"/>
        <family val="2"/>
      </rPr>
      <t>Dietas Comité Electoral</t>
    </r>
  </si>
  <si>
    <r>
      <rPr>
        <sz val="10"/>
        <rFont val="Segoe UI"/>
        <family val="2"/>
      </rPr>
      <t>Atenciones y representaciones</t>
    </r>
  </si>
  <si>
    <r>
      <rPr>
        <sz val="10"/>
        <rFont val="Segoe UI"/>
        <family val="2"/>
      </rPr>
      <t>Gastos de representación</t>
    </r>
  </si>
  <si>
    <r>
      <rPr>
        <sz val="10"/>
        <rFont val="Segoe UI"/>
        <family val="2"/>
      </rPr>
      <t>Viáticos otros comités</t>
    </r>
  </si>
  <si>
    <r>
      <rPr>
        <sz val="10"/>
        <rFont val="Segoe UI"/>
        <family val="2"/>
      </rPr>
      <t>Pasajes</t>
    </r>
  </si>
  <si>
    <r>
      <rPr>
        <sz val="10"/>
        <rFont val="Segoe UI"/>
        <family val="2"/>
      </rPr>
      <t>Pasajes otros comités</t>
    </r>
  </si>
  <si>
    <r>
      <rPr>
        <sz val="10"/>
        <rFont val="Segoe UI"/>
        <family val="2"/>
      </rPr>
      <t>Capacitación de directivos</t>
    </r>
  </si>
  <si>
    <r>
      <rPr>
        <sz val="10"/>
        <rFont val="Segoe UI"/>
        <family val="2"/>
      </rPr>
      <t>Otros gastos de directivos</t>
    </r>
  </si>
  <si>
    <r>
      <rPr>
        <sz val="10"/>
        <rFont val="Segoe UI"/>
        <family val="2"/>
      </rPr>
      <t>GASTOS POR SERVICIOS RECIBIDOS DE TERCEROS</t>
    </r>
  </si>
  <si>
    <r>
      <rPr>
        <sz val="10"/>
        <rFont val="Segoe UI"/>
        <family val="2"/>
      </rPr>
      <t>Domiciliados</t>
    </r>
  </si>
  <si>
    <r>
      <rPr>
        <sz val="10"/>
        <rFont val="Segoe UI"/>
        <family val="2"/>
      </rPr>
      <t>Transporte</t>
    </r>
  </si>
  <si>
    <r>
      <rPr>
        <sz val="10"/>
        <rFont val="Segoe UI"/>
        <family val="2"/>
      </rPr>
      <t>Vigilancia y protección</t>
    </r>
  </si>
  <si>
    <r>
      <rPr>
        <sz val="10"/>
        <rFont val="Segoe UI"/>
        <family val="2"/>
      </rPr>
      <t>Publicidad</t>
    </r>
  </si>
  <si>
    <r>
      <rPr>
        <sz val="10"/>
        <rFont val="Segoe UI"/>
        <family val="2"/>
      </rPr>
      <t>Energía y agua</t>
    </r>
  </si>
  <si>
    <r>
      <rPr>
        <sz val="10"/>
        <rFont val="Segoe UI"/>
        <family val="2"/>
      </rPr>
      <t>Comunicaciones</t>
    </r>
  </si>
  <si>
    <r>
      <rPr>
        <sz val="10"/>
        <rFont val="Segoe UI"/>
        <family val="2"/>
      </rPr>
      <t>Honorarios profesionales</t>
    </r>
  </si>
  <si>
    <r>
      <rPr>
        <sz val="10"/>
        <rFont val="Segoe UI"/>
        <family val="2"/>
      </rPr>
      <t>Seguros</t>
    </r>
  </si>
  <si>
    <r>
      <rPr>
        <sz val="10"/>
        <rFont val="Segoe UI"/>
        <family val="2"/>
      </rPr>
      <t>Alquileres</t>
    </r>
  </si>
  <si>
    <r>
      <rPr>
        <sz val="10"/>
        <rFont val="Segoe UI"/>
        <family val="2"/>
      </rPr>
      <t>Suministros diversos</t>
    </r>
  </si>
  <si>
    <r>
      <rPr>
        <sz val="10"/>
        <rFont val="Segoe UI"/>
        <family val="2"/>
      </rPr>
      <t>Gastos notariales y de registro</t>
    </r>
  </si>
  <si>
    <r>
      <rPr>
        <sz val="10"/>
        <rFont val="Segoe UI"/>
        <family val="2"/>
      </rPr>
      <t>Gastos judiciales</t>
    </r>
  </si>
  <si>
    <r>
      <rPr>
        <sz val="10"/>
        <rFont val="Segoe UI"/>
        <family val="2"/>
      </rPr>
      <t>Suscripciones y cotizaciones</t>
    </r>
  </si>
  <si>
    <r>
      <rPr>
        <sz val="10"/>
        <rFont val="Segoe UI"/>
        <family val="2"/>
      </rPr>
      <t>Limpieza</t>
    </r>
  </si>
  <si>
    <r>
      <rPr>
        <sz val="10"/>
        <rFont val="Segoe UI"/>
        <family val="2"/>
      </rPr>
      <t>Relaciones públicas y eventos</t>
    </r>
  </si>
  <si>
    <r>
      <rPr>
        <sz val="10"/>
        <rFont val="Segoe UI"/>
        <family val="2"/>
      </rPr>
      <t>Gastos de Viaje</t>
    </r>
  </si>
  <si>
    <r>
      <rPr>
        <sz val="10"/>
        <rFont val="Segoe UI"/>
        <family val="2"/>
      </rPr>
      <t>Estudios y proyectos</t>
    </r>
  </si>
  <si>
    <r>
      <rPr>
        <sz val="10"/>
        <rFont val="Segoe UI"/>
        <family val="2"/>
      </rPr>
      <t>Consultorías</t>
    </r>
  </si>
  <si>
    <r>
      <rPr>
        <sz val="10"/>
        <rFont val="Segoe UI"/>
        <family val="2"/>
      </rPr>
      <t>Sociedades de auditoría</t>
    </r>
  </si>
  <si>
    <r>
      <rPr>
        <sz val="10"/>
        <rFont val="Segoe UI"/>
        <family val="2"/>
      </rPr>
      <t>Transferencias electrónicas</t>
    </r>
  </si>
  <si>
    <r>
      <rPr>
        <sz val="10"/>
        <rFont val="Segoe UI"/>
        <family val="2"/>
      </rPr>
      <t>Otros servicios</t>
    </r>
  </si>
  <si>
    <r>
      <rPr>
        <sz val="10"/>
        <rFont val="Segoe UI"/>
        <family val="2"/>
      </rPr>
      <t>No domiciliados</t>
    </r>
  </si>
  <si>
    <r>
      <rPr>
        <sz val="10"/>
        <rFont val="Segoe UI"/>
        <family val="2"/>
      </rPr>
      <t>TRIBUTOS</t>
    </r>
  </si>
  <si>
    <r>
      <rPr>
        <sz val="10"/>
        <rFont val="Segoe UI"/>
        <family val="2"/>
      </rPr>
      <t>Derechos aduaneros</t>
    </r>
  </si>
  <si>
    <r>
      <rPr>
        <sz val="10"/>
        <rFont val="Segoe UI"/>
        <family val="2"/>
      </rPr>
      <t>Tributos a gobiernos locales</t>
    </r>
  </si>
  <si>
    <r>
      <rPr>
        <sz val="10"/>
        <rFont val="Segoe UI"/>
        <family val="2"/>
      </rPr>
      <t>Superintendencia de Banca, Seguros y AFP</t>
    </r>
  </si>
  <si>
    <r>
      <rPr>
        <sz val="10"/>
        <rFont val="Segoe UI"/>
        <family val="2"/>
      </rPr>
      <t>Aportes gremiales</t>
    </r>
  </si>
  <si>
    <r>
      <rPr>
        <sz val="10"/>
        <rFont val="Segoe UI"/>
        <family val="2"/>
      </rPr>
      <t>Otros tributos</t>
    </r>
  </si>
  <si>
    <r>
      <rPr>
        <sz val="10"/>
        <rFont val="Segoe UI"/>
        <family val="2"/>
      </rPr>
      <t>GASTOS DE ACTIVIDADES ASOCIATIVAS</t>
    </r>
  </si>
  <si>
    <r>
      <rPr>
        <sz val="10"/>
        <rFont val="Segoe UI"/>
        <family val="2"/>
      </rPr>
      <t>Gastos de Elecciones</t>
    </r>
  </si>
  <si>
    <r>
      <rPr>
        <sz val="10"/>
        <rFont val="Segoe UI"/>
        <family val="2"/>
      </rPr>
      <t>Gastos de alquiler de local y equipos de Elecciones</t>
    </r>
  </si>
  <si>
    <r>
      <rPr>
        <sz val="10"/>
        <rFont val="Segoe UI"/>
        <family val="2"/>
      </rPr>
      <t>Gastos de movilidad y viáticos de Elecciones</t>
    </r>
  </si>
  <si>
    <r>
      <rPr>
        <sz val="10"/>
        <rFont val="Segoe UI"/>
        <family val="2"/>
      </rPr>
      <t>Gastos de Asamblea General</t>
    </r>
  </si>
  <si>
    <r>
      <rPr>
        <sz val="10"/>
        <rFont val="Segoe UI"/>
        <family val="2"/>
      </rPr>
      <t>OTROS GASTOS</t>
    </r>
  </si>
  <si>
    <r>
      <rPr>
        <sz val="10"/>
        <rFont val="Segoe UI"/>
        <family val="2"/>
      </rPr>
      <t>PÉRDIDA EN VENTA DE INMUEBLES, MOBILIARIO Y EQUIPO</t>
    </r>
  </si>
  <si>
    <r>
      <rPr>
        <sz val="10"/>
        <rFont val="Segoe UI"/>
        <family val="2"/>
      </rPr>
      <t>PÉRDIDA EN BIENES ADJUDICADOS Y RECUPERADOS</t>
    </r>
  </si>
  <si>
    <r>
      <rPr>
        <sz val="10"/>
        <rFont val="Segoe UI"/>
        <family val="2"/>
      </rPr>
      <t>Pérdida en venta o colocación de bienes adjudicados y recuperados</t>
    </r>
  </si>
  <si>
    <r>
      <rPr>
        <sz val="10"/>
        <rFont val="Segoe UI"/>
        <family val="2"/>
      </rPr>
      <t>Gastos por bienes adjudicados y recuperados</t>
    </r>
  </si>
  <si>
    <r>
      <rPr>
        <sz val="10"/>
        <rFont val="Segoe UI"/>
        <family val="2"/>
      </rPr>
      <t xml:space="preserve">PÉRDIDA EN VENTA DE ACTIVOS NO CORRIENTES MANTENIDOS
</t>
    </r>
    <r>
      <rPr>
        <sz val="10"/>
        <rFont val="Segoe UI"/>
        <family val="2"/>
      </rPr>
      <t>PARA LA VENTA</t>
    </r>
  </si>
  <si>
    <r>
      <rPr>
        <sz val="10"/>
        <rFont val="Segoe UI"/>
        <family val="2"/>
      </rPr>
      <t>SANCIONES ADMINISTRATIVAS Y FISCALES</t>
    </r>
  </si>
  <si>
    <r>
      <rPr>
        <sz val="10"/>
        <rFont val="Segoe UI"/>
        <family val="2"/>
      </rPr>
      <t>PÉRDIDAS NO CUBIERTAS POR SEGUROS</t>
    </r>
  </si>
  <si>
    <r>
      <rPr>
        <sz val="10"/>
        <rFont val="Segoe UI"/>
        <family val="2"/>
      </rPr>
      <t>DONACIONES EFECTUADAS</t>
    </r>
  </si>
  <si>
    <r>
      <rPr>
        <sz val="10"/>
        <rFont val="Segoe UI"/>
        <family val="2"/>
      </rPr>
      <t>COSTO DE VENTAS</t>
    </r>
  </si>
  <si>
    <r>
      <rPr>
        <sz val="10"/>
        <rFont val="Segoe UI"/>
        <family val="2"/>
      </rPr>
      <t>COSTO DE VENTAS DE BIENES</t>
    </r>
  </si>
  <si>
    <r>
      <rPr>
        <sz val="10"/>
        <rFont val="Segoe UI"/>
        <family val="2"/>
      </rPr>
      <t>COSTO DE VENTAS DE SERVICIOS</t>
    </r>
  </si>
  <si>
    <r>
      <rPr>
        <sz val="10"/>
        <rFont val="Segoe UI"/>
        <family val="2"/>
      </rPr>
      <t>INGRESOS</t>
    </r>
  </si>
  <si>
    <r>
      <rPr>
        <sz val="10"/>
        <rFont val="Segoe UI"/>
        <family val="2"/>
      </rPr>
      <t>INGRESOS FINANCIEROS</t>
    </r>
  </si>
  <si>
    <r>
      <rPr>
        <sz val="10"/>
        <rFont val="Segoe UI"/>
        <family val="2"/>
      </rPr>
      <t>INTERESES Y RENDIMIENTOS POR DISPONIBLES</t>
    </r>
  </si>
  <si>
    <r>
      <rPr>
        <sz val="10"/>
        <rFont val="Segoe UI"/>
        <family val="2"/>
      </rPr>
      <t xml:space="preserve">Intereses y rendimientos por depósitos en bancos, otras empresas
</t>
    </r>
    <r>
      <rPr>
        <sz val="10"/>
        <rFont val="Segoe UI"/>
        <family val="2"/>
      </rPr>
      <t>del sistema financiero del país y Coopac</t>
    </r>
  </si>
  <si>
    <r>
      <rPr>
        <sz val="10"/>
        <rFont val="Segoe UI"/>
        <family val="2"/>
      </rPr>
      <t xml:space="preserve">Intereses y rendimientos por depósitos en bancos y otras
</t>
    </r>
    <r>
      <rPr>
        <sz val="10"/>
        <rFont val="Segoe UI"/>
        <family val="2"/>
      </rPr>
      <t>instituciones financieras del exterior</t>
    </r>
  </si>
  <si>
    <r>
      <rPr>
        <sz val="10"/>
        <rFont val="Segoe UI"/>
        <family val="2"/>
      </rPr>
      <t>Supervisadas por organismos similares a la SBS</t>
    </r>
  </si>
  <si>
    <r>
      <rPr>
        <sz val="10"/>
        <rFont val="Segoe UI"/>
        <family val="2"/>
      </rPr>
      <t>Intereses y rendimientos por fondos disponibles restringidos</t>
    </r>
  </si>
  <si>
    <r>
      <rPr>
        <sz val="10"/>
        <rFont val="Segoe UI"/>
        <family val="2"/>
      </rPr>
      <t>INTERESES Y RENDIMIENTOS POR FONDOS INTERCOOPERATIVOS</t>
    </r>
  </si>
  <si>
    <r>
      <rPr>
        <sz val="10"/>
        <rFont val="Segoe UI"/>
        <family val="2"/>
      </rPr>
      <t>INGRESOS POR INVERSIONES NEGOCIABLES Y A VENCIMIENTO</t>
    </r>
  </si>
  <si>
    <r>
      <rPr>
        <sz val="10"/>
        <rFont val="Segoe UI"/>
        <family val="2"/>
      </rPr>
      <t xml:space="preserve">Inversiones a Valor Razonable con Cambios en Resultados -
</t>
    </r>
    <r>
      <rPr>
        <sz val="10"/>
        <rFont val="Segoe UI"/>
        <family val="2"/>
      </rPr>
      <t>Instrumentos Representativos de Capital</t>
    </r>
  </si>
  <si>
    <r>
      <rPr>
        <sz val="10"/>
        <rFont val="Segoe UI"/>
        <family val="2"/>
      </rPr>
      <t>Valores y títulos emitidos por otras Coopac</t>
    </r>
  </si>
  <si>
    <r>
      <rPr>
        <sz val="10"/>
        <rFont val="Segoe UI"/>
        <family val="2"/>
      </rPr>
      <t xml:space="preserve">Inversiones Disponibles para la Venta - Instrumentos Representativos
</t>
    </r>
    <r>
      <rPr>
        <sz val="10"/>
        <rFont val="Segoe UI"/>
        <family val="2"/>
      </rPr>
      <t>de Deuda</t>
    </r>
  </si>
  <si>
    <r>
      <rPr>
        <sz val="10"/>
        <rFont val="Segoe UI"/>
        <family val="2"/>
      </rPr>
      <t>Valores y títulos emitidos por el Bancos Centrales</t>
    </r>
  </si>
  <si>
    <r>
      <rPr>
        <sz val="10"/>
        <rFont val="Segoe UI"/>
        <family val="2"/>
      </rPr>
      <t>Inversiones en commodities</t>
    </r>
  </si>
  <si>
    <r>
      <rPr>
        <sz val="10"/>
        <rFont val="Segoe UI"/>
        <family val="2"/>
      </rPr>
      <t>INTERESES POR CRÉDITOS</t>
    </r>
  </si>
  <si>
    <r>
      <rPr>
        <sz val="10"/>
        <rFont val="Segoe UI"/>
        <family val="2"/>
      </rPr>
      <t>Intereses por créditos vigentes</t>
    </r>
  </si>
  <si>
    <r>
      <rPr>
        <sz val="10"/>
        <rFont val="Segoe UI"/>
        <family val="2"/>
      </rPr>
      <t>Intereses por créditos a microempresas</t>
    </r>
  </si>
  <si>
    <r>
      <rPr>
        <sz val="10"/>
        <rFont val="Segoe UI"/>
        <family val="2"/>
      </rPr>
      <t>Intereses por créditos de consumo</t>
    </r>
  </si>
  <si>
    <r>
      <rPr>
        <sz val="10"/>
        <rFont val="Segoe UI"/>
        <family val="2"/>
      </rPr>
      <t>Intereses por créditos hipotecarios para vivienda</t>
    </r>
  </si>
  <si>
    <r>
      <rPr>
        <sz val="10"/>
        <rFont val="Segoe UI"/>
        <family val="2"/>
      </rPr>
      <t>Préstamos del Fondo MiVIVIENDA</t>
    </r>
  </si>
  <si>
    <r>
      <rPr>
        <sz val="10"/>
        <rFont val="Arial Narrow"/>
        <family val="2"/>
      </rPr>
      <t>Intereses por créditos a entidades del sector público</t>
    </r>
  </si>
  <si>
    <r>
      <rPr>
        <sz val="10"/>
        <rFont val="Segoe UI"/>
        <family val="2"/>
      </rPr>
      <t>Intereses por créditos a Coopac</t>
    </r>
  </si>
  <si>
    <r>
      <rPr>
        <sz val="10"/>
        <rFont val="Segoe UI"/>
        <family val="2"/>
      </rPr>
      <t>Intereses por créditos corporativos</t>
    </r>
  </si>
  <si>
    <r>
      <rPr>
        <sz val="10"/>
        <rFont val="Segoe UI"/>
        <family val="2"/>
      </rPr>
      <t>Intereses por créditos a grandes empresas</t>
    </r>
  </si>
  <si>
    <r>
      <rPr>
        <sz val="10"/>
        <rFont val="Segoe UI"/>
        <family val="2"/>
      </rPr>
      <t>Intereses por créditos a medianas empresas</t>
    </r>
  </si>
  <si>
    <r>
      <rPr>
        <sz val="10"/>
        <rFont val="Segoe UI"/>
        <family val="2"/>
      </rPr>
      <t>Intereses por créditos a pequeñas empresas</t>
    </r>
  </si>
  <si>
    <r>
      <rPr>
        <sz val="10"/>
        <rFont val="Segoe UI"/>
        <family val="2"/>
      </rPr>
      <t>Intereses por créditos reestructurados</t>
    </r>
  </si>
  <si>
    <r>
      <rPr>
        <sz val="10"/>
        <rFont val="Segoe UI"/>
        <family val="2"/>
      </rPr>
      <t>Intereses por créditos refinanciados</t>
    </r>
  </si>
  <si>
    <r>
      <rPr>
        <sz val="10"/>
        <rFont val="Segoe UI"/>
        <family val="2"/>
      </rPr>
      <t>Intereses por créditos vencidos</t>
    </r>
  </si>
  <si>
    <r>
      <rPr>
        <sz val="10"/>
        <rFont val="Segoe UI"/>
        <family val="2"/>
      </rPr>
      <t>Intereses por créditos en cobranza judicial</t>
    </r>
  </si>
  <si>
    <r>
      <rPr>
        <sz val="10"/>
        <rFont val="Segoe UI"/>
        <family val="2"/>
      </rPr>
      <t>Intereses de cuentas por cobrar por venta de bienes y servicios</t>
    </r>
  </si>
  <si>
    <r>
      <rPr>
        <sz val="10"/>
        <rFont val="Segoe UI"/>
        <family val="2"/>
      </rPr>
      <t>Intereses de cuentas por cobrar por venta de bienes</t>
    </r>
  </si>
  <si>
    <r>
      <rPr>
        <sz val="10"/>
        <rFont val="Segoe UI"/>
        <family val="2"/>
      </rPr>
      <t>Intereses de cuentas por cobrar por venta de servicios</t>
    </r>
  </si>
  <si>
    <r>
      <rPr>
        <sz val="10"/>
        <rFont val="Segoe UI"/>
        <family val="2"/>
      </rPr>
      <t>Intereses de cuentas por cobrar por alquiler de bienes</t>
    </r>
  </si>
  <si>
    <r>
      <rPr>
        <sz val="10"/>
        <rFont val="Segoe UI"/>
        <family val="2"/>
      </rPr>
      <t xml:space="preserve">Ingresos de cuentas por cobrar por pagos efectuados por cuenta de
</t>
    </r>
    <r>
      <rPr>
        <sz val="10"/>
        <rFont val="Segoe UI"/>
        <family val="2"/>
      </rPr>
      <t>terceros</t>
    </r>
  </si>
  <si>
    <r>
      <rPr>
        <sz val="10"/>
        <rFont val="Segoe UI"/>
        <family val="2"/>
      </rPr>
      <t>Comisiones por cobrar</t>
    </r>
  </si>
  <si>
    <r>
      <rPr>
        <sz val="10"/>
        <rFont val="Segoe UI"/>
        <family val="2"/>
      </rPr>
      <t>Otras comisiones</t>
    </r>
  </si>
  <si>
    <r>
      <rPr>
        <sz val="10"/>
        <rFont val="Segoe UI"/>
        <family val="2"/>
      </rPr>
      <t>Ingresos por cuentas por cobrar diversas</t>
    </r>
  </si>
  <si>
    <r>
      <rPr>
        <sz val="10"/>
        <rFont val="Segoe UI"/>
        <family val="2"/>
      </rPr>
      <t>COMISIONES Y OTROS RENDIMIENTOS POR CREDITOS DIRECTOS</t>
    </r>
  </si>
  <si>
    <r>
      <rPr>
        <sz val="10"/>
        <rFont val="Segoe UI"/>
        <family val="2"/>
      </rPr>
      <t>Créditos</t>
    </r>
  </si>
  <si>
    <r>
      <rPr>
        <sz val="10"/>
        <rFont val="Segoe UI"/>
        <family val="2"/>
      </rPr>
      <t>INGRESOS FINANCIEROS DIVERSOS</t>
    </r>
  </si>
  <si>
    <r>
      <rPr>
        <sz val="10"/>
        <rFont val="Segoe UI"/>
        <family val="2"/>
      </rPr>
      <t>Resultado en la compraventa de valores</t>
    </r>
  </si>
  <si>
    <r>
      <rPr>
        <sz val="10"/>
        <rFont val="Segoe UI"/>
        <family val="2"/>
      </rPr>
      <t>Ganancias en Inversiones en subsidiarias y asociadas</t>
    </r>
  </si>
  <si>
    <r>
      <rPr>
        <sz val="10"/>
        <rFont val="Segoe UI"/>
        <family val="2"/>
      </rPr>
      <t>Ingresos financieros interoficinas</t>
    </r>
  </si>
  <si>
    <r>
      <rPr>
        <sz val="10"/>
        <rFont val="Segoe UI"/>
        <family val="2"/>
      </rPr>
      <t xml:space="preserve">Valorización de Inversiones a Valor Razonable con Cambios en
</t>
    </r>
    <r>
      <rPr>
        <sz val="10"/>
        <rFont val="Segoe UI"/>
        <family val="2"/>
      </rPr>
      <t>Resultados - Instrumentos Representativos de Capital</t>
    </r>
  </si>
  <si>
    <r>
      <rPr>
        <sz val="10"/>
        <rFont val="Segoe UI"/>
        <family val="2"/>
      </rPr>
      <t xml:space="preserve">Valorización de Inversiones A Valor Razonable con Cambios en
</t>
    </r>
    <r>
      <rPr>
        <sz val="10"/>
        <rFont val="Segoe UI"/>
        <family val="2"/>
      </rPr>
      <t>Resultados – Instrumentos Representativos de Deuda</t>
    </r>
  </si>
  <si>
    <r>
      <rPr>
        <sz val="10"/>
        <rFont val="Segoe UI"/>
        <family val="2"/>
      </rPr>
      <t xml:space="preserve">Valorización de Inversiones Disponibles para la Venta – Instrumentos
</t>
    </r>
    <r>
      <rPr>
        <sz val="10"/>
        <rFont val="Segoe UI"/>
        <family val="2"/>
      </rPr>
      <t>Representativos de Capital</t>
    </r>
  </si>
  <si>
    <r>
      <rPr>
        <sz val="10"/>
        <rFont val="Segoe UI"/>
        <family val="2"/>
      </rPr>
      <t xml:space="preserve">Valorización de Inversiones Disponibles para la Venta – Instrumentos
</t>
    </r>
    <r>
      <rPr>
        <sz val="10"/>
        <rFont val="Segoe UI"/>
        <family val="2"/>
      </rPr>
      <t>Representativos de Deuda</t>
    </r>
  </si>
  <si>
    <r>
      <rPr>
        <sz val="10"/>
        <rFont val="Segoe UI"/>
        <family val="2"/>
      </rPr>
      <t>Certificados de depósito y mercaderías</t>
    </r>
  </si>
  <si>
    <r>
      <rPr>
        <sz val="10"/>
        <rFont val="Arial Narrow"/>
        <family val="2"/>
      </rPr>
      <t>Valorización de inversiones en commodities</t>
    </r>
  </si>
  <si>
    <r>
      <rPr>
        <sz val="10"/>
        <rFont val="Arial Narrow"/>
        <family val="2"/>
      </rPr>
      <t>Ingresos por productos financieros derivados para negociación</t>
    </r>
  </si>
  <si>
    <r>
      <rPr>
        <sz val="10"/>
        <rFont val="Segoe UI"/>
        <family val="2"/>
      </rPr>
      <t>Ingresos por productos financieros derivados con fines de cobertura</t>
    </r>
  </si>
  <si>
    <r>
      <rPr>
        <sz val="10"/>
        <rFont val="Arial Narrow"/>
        <family val="2"/>
      </rPr>
      <t>Derivados de tasas de interés (devengue de tasas)</t>
    </r>
  </si>
  <si>
    <r>
      <rPr>
        <sz val="10"/>
        <rFont val="Arial Narrow"/>
        <family val="2"/>
      </rPr>
      <t>Fluctuación de valor de las obligaciones por ventas en corto</t>
    </r>
  </si>
  <si>
    <r>
      <rPr>
        <sz val="10"/>
        <rFont val="Segoe UI"/>
        <family val="2"/>
      </rPr>
      <t>Utilidad por compra de cartera crediticia</t>
    </r>
  </si>
  <si>
    <r>
      <rPr>
        <sz val="10"/>
        <rFont val="Segoe UI"/>
        <family val="2"/>
      </rPr>
      <t>Utilidad por venta de cartera crediticia</t>
    </r>
  </si>
  <si>
    <r>
      <rPr>
        <sz val="10"/>
        <rFont val="Segoe UI"/>
        <family val="2"/>
      </rPr>
      <t>Ingresos por recuperación de cartera castigada</t>
    </r>
  </si>
  <si>
    <r>
      <rPr>
        <sz val="10"/>
        <rFont val="Segoe UI"/>
        <family val="2"/>
      </rPr>
      <t>Ingresos relacionados a operaciones de reporte</t>
    </r>
  </si>
  <si>
    <r>
      <rPr>
        <sz val="10"/>
        <rFont val="Segoe UI"/>
        <family val="2"/>
      </rPr>
      <t>INGRESOS POR SERVICIOS FINANCIEROS</t>
    </r>
  </si>
  <si>
    <r>
      <rPr>
        <sz val="10"/>
        <rFont val="Segoe UI"/>
        <family val="2"/>
      </rPr>
      <t>INGRESOS POR CRÉDITOS INDIRECTOS</t>
    </r>
  </si>
  <si>
    <r>
      <rPr>
        <sz val="10"/>
        <rFont val="Segoe UI"/>
        <family val="2"/>
      </rPr>
      <t>Cartas fianza</t>
    </r>
  </si>
  <si>
    <r>
      <rPr>
        <sz val="10"/>
        <rFont val="Segoe UI"/>
        <family val="2"/>
      </rPr>
      <t xml:space="preserve">Líneas de crédito no utilizadas y créditos concedidos no
</t>
    </r>
    <r>
      <rPr>
        <sz val="10"/>
        <rFont val="Segoe UI"/>
        <family val="2"/>
      </rPr>
      <t>desembolsados</t>
    </r>
  </si>
  <si>
    <r>
      <rPr>
        <sz val="10"/>
        <rFont val="Segoe UI"/>
        <family val="2"/>
      </rPr>
      <t>INGRESOS POR SERVICIOS DIVERSOS</t>
    </r>
  </si>
  <si>
    <r>
      <rPr>
        <sz val="10"/>
        <rFont val="Segoe UI"/>
        <family val="2"/>
      </rPr>
      <t>Mantenimiento de cuentas corrientes</t>
    </r>
  </si>
  <si>
    <r>
      <rPr>
        <sz val="10"/>
        <rFont val="Segoe UI"/>
        <family val="2"/>
      </rPr>
      <t>Custodia de valores</t>
    </r>
  </si>
  <si>
    <r>
      <rPr>
        <sz val="10"/>
        <rFont val="Arial Narrow"/>
        <family val="2"/>
      </rPr>
      <t>Órdenes de pago</t>
    </r>
  </si>
  <si>
    <r>
      <rPr>
        <sz val="10"/>
        <rFont val="Segoe UI"/>
        <family val="2"/>
      </rPr>
      <t>Estudios técnicos y legales</t>
    </r>
  </si>
  <si>
    <r>
      <rPr>
        <sz val="10"/>
        <rFont val="Segoe UI"/>
        <family val="2"/>
      </rPr>
      <t>Asesoría financiera</t>
    </r>
  </si>
  <si>
    <r>
      <rPr>
        <sz val="10"/>
        <rFont val="Segoe UI"/>
        <family val="2"/>
      </rPr>
      <t>Cobro de tributos</t>
    </r>
  </si>
  <si>
    <r>
      <rPr>
        <sz val="10"/>
        <rFont val="Segoe UI"/>
        <family val="2"/>
      </rPr>
      <t>Compraventa de valores</t>
    </r>
  </si>
  <si>
    <r>
      <rPr>
        <sz val="10"/>
        <rFont val="Segoe UI"/>
        <family val="2"/>
      </rPr>
      <t>Otros ingresos por servicios</t>
    </r>
  </si>
  <si>
    <r>
      <rPr>
        <sz val="10"/>
        <rFont val="Segoe UI"/>
        <family val="2"/>
      </rPr>
      <t>INGRESOS POR ARRENDAMIENTOS</t>
    </r>
  </si>
  <si>
    <r>
      <rPr>
        <sz val="10"/>
        <rFont val="Segoe UI"/>
        <family val="2"/>
      </rPr>
      <t>Bienes propios</t>
    </r>
  </si>
  <si>
    <r>
      <rPr>
        <sz val="10"/>
        <rFont val="Segoe UI"/>
        <family val="2"/>
      </rPr>
      <t>Bienes recibidos en pago y adjudicados</t>
    </r>
  </si>
  <si>
    <r>
      <rPr>
        <sz val="10"/>
        <rFont val="Segoe UI"/>
        <family val="2"/>
      </rPr>
      <t>REVERSIÓN DE PÉRDIDAS POR DETERIORO Y RECUPERACIÓN DE DETERIORO EN INMUEBLES, MOBILIARIO Y EQUIPO, E INTANGIBLES</t>
    </r>
  </si>
  <si>
    <r>
      <rPr>
        <sz val="10"/>
        <rFont val="Segoe UI"/>
        <family val="2"/>
      </rPr>
      <t>Reversión por deterioro de inversiones negociables y a vencimiento</t>
    </r>
  </si>
  <si>
    <r>
      <rPr>
        <sz val="10"/>
        <rFont val="Segoe UI"/>
        <family val="2"/>
      </rPr>
      <t xml:space="preserve">Inversiones Disponibles para la Venta – Instrumentos Representativos
</t>
    </r>
    <r>
      <rPr>
        <sz val="10"/>
        <rFont val="Segoe UI"/>
        <family val="2"/>
      </rPr>
      <t>de Deuda</t>
    </r>
  </si>
  <si>
    <r>
      <rPr>
        <sz val="10"/>
        <rFont val="Segoe UI"/>
        <family val="2"/>
      </rPr>
      <t>Inversiones a vencimiento</t>
    </r>
  </si>
  <si>
    <r>
      <rPr>
        <sz val="10"/>
        <rFont val="Segoe UI"/>
        <family val="2"/>
      </rPr>
      <t xml:space="preserve">RECUPERACIÓN DE DETERIORO EN INMUEBLES, MOBILIARIO Y
</t>
    </r>
    <r>
      <rPr>
        <sz val="10"/>
        <rFont val="Segoe UI"/>
        <family val="2"/>
      </rPr>
      <t>EQUIPO</t>
    </r>
  </si>
  <si>
    <r>
      <rPr>
        <sz val="10"/>
        <rFont val="Segoe UI"/>
        <family val="2"/>
      </rPr>
      <t>Edificios e instalaciones</t>
    </r>
  </si>
  <si>
    <r>
      <rPr>
        <sz val="10"/>
        <rFont val="Segoe UI"/>
        <family val="2"/>
      </rPr>
      <t>Bienes recibidos en arrendamiento financiero</t>
    </r>
  </si>
  <si>
    <r>
      <rPr>
        <sz val="10"/>
        <rFont val="Segoe UI"/>
        <family val="2"/>
      </rPr>
      <t>Instalaciones y mejoras en bienes alquilados</t>
    </r>
  </si>
  <si>
    <r>
      <rPr>
        <sz val="10"/>
        <rFont val="Segoe UI"/>
        <family val="2"/>
      </rPr>
      <t>RECUPERACIÓN DE DETERIORO DE ACTIVOS INTANGIBLES</t>
    </r>
  </si>
  <si>
    <r>
      <rPr>
        <sz val="10"/>
        <rFont val="Segoe UI"/>
        <family val="2"/>
      </rPr>
      <t>Otros Activos Intangibles</t>
    </r>
  </si>
  <si>
    <r>
      <rPr>
        <sz val="10"/>
        <rFont val="Segoe UI"/>
        <family val="2"/>
      </rPr>
      <t>REVERSIÓN DE PROVISIONES</t>
    </r>
  </si>
  <si>
    <r>
      <rPr>
        <sz val="10"/>
        <rFont val="Segoe UI"/>
        <family val="2"/>
      </rPr>
      <t>REVERSIÓN DE PROVISIONES POR CRÉDITOS</t>
    </r>
  </si>
  <si>
    <r>
      <rPr>
        <sz val="10"/>
        <rFont val="Segoe UI"/>
        <family val="2"/>
      </rPr>
      <t>Créditos directos</t>
    </r>
  </si>
  <si>
    <r>
      <rPr>
        <sz val="10"/>
        <rFont val="Segoe UI"/>
        <family val="2"/>
      </rPr>
      <t>REVERSIÓN DE PROVISIONES POR CUENTAS POR COBRAR</t>
    </r>
  </si>
  <si>
    <r>
      <rPr>
        <sz val="10"/>
        <rFont val="Segoe UI"/>
        <family val="2"/>
      </rPr>
      <t xml:space="preserve">REVERSIÓN DE PROVISIONES POR BIENES REALIZABLES,
</t>
    </r>
    <r>
      <rPr>
        <sz val="10"/>
        <rFont val="Segoe UI"/>
        <family val="2"/>
      </rPr>
      <t>RECUPERADOS Y RECIBIDOS EN PAGO Y ADJUDICADOS</t>
    </r>
  </si>
  <si>
    <r>
      <rPr>
        <sz val="10"/>
        <rFont val="Segoe UI"/>
        <family val="2"/>
      </rPr>
      <t>OTROS INGRESOS</t>
    </r>
  </si>
  <si>
    <r>
      <rPr>
        <sz val="10"/>
        <rFont val="Segoe UI"/>
        <family val="2"/>
      </rPr>
      <t>UTILIDAD EN VENTA DE INMUEBLES, MOBILIARIO Y EQUIPO</t>
    </r>
  </si>
  <si>
    <r>
      <rPr>
        <sz val="10"/>
        <rFont val="Segoe UI"/>
        <family val="2"/>
      </rPr>
      <t>UTILIDAD EN VENTA DE BIENES ADJUDICADOS Y RECUPERADOS</t>
    </r>
  </si>
  <si>
    <r>
      <rPr>
        <sz val="10"/>
        <rFont val="Segoe UI"/>
        <family val="2"/>
      </rPr>
      <t xml:space="preserve">UTILIDAD EN VENTA DE ACTIVOS NO CORRIENTES MANTENIDOS
</t>
    </r>
    <r>
      <rPr>
        <sz val="10"/>
        <rFont val="Segoe UI"/>
        <family val="2"/>
      </rPr>
      <t>PARA LA VENTA</t>
    </r>
  </si>
  <si>
    <r>
      <rPr>
        <sz val="10"/>
        <rFont val="Segoe UI"/>
        <family val="2"/>
      </rPr>
      <t>DONACIONES RECIBIDAS PARA COBERTURA DE GASTOS</t>
    </r>
  </si>
  <si>
    <r>
      <rPr>
        <sz val="10"/>
        <rFont val="Segoe UI"/>
        <family val="2"/>
      </rPr>
      <t>VENTAS</t>
    </r>
  </si>
  <si>
    <r>
      <rPr>
        <sz val="10"/>
        <rFont val="Segoe UI"/>
        <family val="2"/>
      </rPr>
      <t>BIENES</t>
    </r>
  </si>
  <si>
    <r>
      <rPr>
        <sz val="10"/>
        <rFont val="Segoe UI"/>
        <family val="2"/>
      </rPr>
      <t>SERVICIOS</t>
    </r>
  </si>
  <si>
    <r>
      <rPr>
        <sz val="10"/>
        <rFont val="Segoe UI"/>
        <family val="2"/>
      </rPr>
      <t>CARGAS IMPUTABLES</t>
    </r>
  </si>
  <si>
    <r>
      <rPr>
        <sz val="10"/>
        <rFont val="Segoe UI"/>
        <family val="2"/>
      </rPr>
      <t>CUENTAS DE RESULTADO</t>
    </r>
  </si>
  <si>
    <r>
      <rPr>
        <sz val="10"/>
        <rFont val="Segoe UI"/>
        <family val="2"/>
      </rPr>
      <t>RESULTADO DE OPERACION</t>
    </r>
  </si>
  <si>
    <r>
      <rPr>
        <sz val="10"/>
        <rFont val="Segoe UI"/>
        <family val="2"/>
      </rPr>
      <t>Resultado de operación</t>
    </r>
  </si>
  <si>
    <r>
      <rPr>
        <sz val="10"/>
        <rFont val="Segoe UI"/>
        <family val="2"/>
      </rPr>
      <t>RESULTADO DEL EJERCICIO ANTES DE IMPUESTO A LA RENTA</t>
    </r>
  </si>
  <si>
    <r>
      <rPr>
        <sz val="10"/>
        <rFont val="Segoe UI"/>
        <family val="2"/>
      </rPr>
      <t>Resultado del ejercicio antes de impuesto a la renta</t>
    </r>
  </si>
  <si>
    <r>
      <rPr>
        <sz val="10"/>
        <rFont val="Segoe UI"/>
        <family val="2"/>
      </rPr>
      <t>IMPUESTO A LA RENTA</t>
    </r>
  </si>
  <si>
    <r>
      <rPr>
        <sz val="10"/>
        <rFont val="Segoe UI"/>
        <family val="2"/>
      </rPr>
      <t>Impuesto a la renta</t>
    </r>
  </si>
  <si>
    <r>
      <rPr>
        <sz val="10"/>
        <rFont val="Segoe UI"/>
        <family val="2"/>
      </rPr>
      <t>Resultado neto del ejercicio</t>
    </r>
  </si>
  <si>
    <r>
      <rPr>
        <sz val="10"/>
        <rFont val="Segoe UI"/>
        <family val="2"/>
      </rPr>
      <t>CONTINGENTES</t>
    </r>
  </si>
  <si>
    <r>
      <rPr>
        <sz val="10"/>
        <rFont val="Segoe UI"/>
        <family val="2"/>
      </rPr>
      <t>CONTINGENTES DEUDORAS</t>
    </r>
  </si>
  <si>
    <r>
      <rPr>
        <sz val="10"/>
        <rFont val="Segoe UI"/>
        <family val="2"/>
      </rPr>
      <t>AVALES OTORGADOS</t>
    </r>
  </si>
  <si>
    <r>
      <rPr>
        <sz val="10"/>
        <rFont val="Segoe UI"/>
        <family val="2"/>
      </rPr>
      <t>CARTAS FIANZAS OTORGADAS</t>
    </r>
  </si>
  <si>
    <r>
      <rPr>
        <sz val="10"/>
        <rFont val="Segoe UI"/>
        <family val="2"/>
      </rPr>
      <t xml:space="preserve">LÍNEAS DE CRÉDITO NO UTILIZADAS Y CREDITOS CONCEDIDOS NO
</t>
    </r>
    <r>
      <rPr>
        <sz val="10"/>
        <rFont val="Segoe UI"/>
        <family val="2"/>
      </rPr>
      <t>DESEMBOLSADOS</t>
    </r>
  </si>
  <si>
    <r>
      <rPr>
        <sz val="10"/>
        <rFont val="Segoe UI"/>
        <family val="2"/>
      </rPr>
      <t>PRODUCTOS FINANCIEROS DERIVADOS</t>
    </r>
  </si>
  <si>
    <r>
      <rPr>
        <sz val="10"/>
        <rFont val="Arial Narrow"/>
        <family val="2"/>
      </rPr>
      <t>Swaps de Monedas (Cross-Currency Swaps)</t>
    </r>
  </si>
  <si>
    <r>
      <rPr>
        <sz val="10"/>
        <rFont val="Segoe UI"/>
        <family val="2"/>
      </rPr>
      <t>Forwards</t>
    </r>
  </si>
  <si>
    <r>
      <rPr>
        <sz val="10"/>
        <rFont val="Arial Narrow"/>
        <family val="2"/>
      </rPr>
      <t>Futuros</t>
    </r>
  </si>
  <si>
    <r>
      <rPr>
        <sz val="10"/>
        <rFont val="Arial Narrow"/>
        <family val="2"/>
      </rPr>
      <t>Opciones</t>
    </r>
  </si>
  <si>
    <r>
      <rPr>
        <sz val="10"/>
        <rFont val="Arial Narrow"/>
        <family val="2"/>
      </rPr>
      <t>Otros derivados de moneda extranjera</t>
    </r>
  </si>
  <si>
    <r>
      <rPr>
        <sz val="10"/>
        <rFont val="Segoe UI"/>
        <family val="2"/>
      </rPr>
      <t>RESPONSABILIDADES DIVERSAS</t>
    </r>
  </si>
  <si>
    <r>
      <rPr>
        <sz val="10"/>
        <rFont val="Segoe UI"/>
        <family val="2"/>
      </rPr>
      <t>CONTINGENTES ACREEDORAS</t>
    </r>
  </si>
  <si>
    <r>
      <rPr>
        <sz val="10"/>
        <rFont val="Segoe UI"/>
        <family val="2"/>
      </rPr>
      <t>RESPONSABILIDAD POR AVALES OTORGADOS</t>
    </r>
  </si>
  <si>
    <r>
      <rPr>
        <sz val="10"/>
        <rFont val="Segoe UI"/>
        <family val="2"/>
      </rPr>
      <t>RESPONSABILIDAD POR CARTAS FIANZAS OTORGADAS</t>
    </r>
  </si>
  <si>
    <r>
      <rPr>
        <sz val="10"/>
        <rFont val="Segoe UI"/>
        <family val="2"/>
      </rPr>
      <t xml:space="preserve">RESPONSABILIDAD POR LÍNEAS DE CRÉDITO NO UTILIZADAS Y
</t>
    </r>
    <r>
      <rPr>
        <sz val="10"/>
        <rFont val="Segoe UI"/>
        <family val="2"/>
      </rPr>
      <t>CREDITOS CONCEDIDOS NO DESEMBOLSADOS</t>
    </r>
  </si>
  <si>
    <r>
      <rPr>
        <sz val="10"/>
        <rFont val="Segoe UI"/>
        <family val="2"/>
      </rPr>
      <t>Responsabilidad por líneas de crédito en cuenta corriente</t>
    </r>
  </si>
  <si>
    <r>
      <rPr>
        <sz val="10"/>
        <rFont val="Segoe UI"/>
        <family val="2"/>
      </rPr>
      <t>Responsabilidad por líneas de crédito en descuentos</t>
    </r>
  </si>
  <si>
    <r>
      <rPr>
        <sz val="10"/>
        <rFont val="Segoe UI"/>
        <family val="2"/>
      </rPr>
      <t xml:space="preserve">Responsabilidad por líneas de crédito en descuentos a
</t>
    </r>
    <r>
      <rPr>
        <sz val="10"/>
        <rFont val="Segoe UI"/>
        <family val="2"/>
      </rPr>
      <t>microempresas</t>
    </r>
  </si>
  <si>
    <r>
      <rPr>
        <sz val="10"/>
        <rFont val="Segoe UI"/>
        <family val="2"/>
      </rPr>
      <t>Responsabilidad por líneas de crédito revolventes</t>
    </r>
  </si>
  <si>
    <r>
      <rPr>
        <sz val="10"/>
        <rFont val="Segoe UI"/>
        <family val="2"/>
      </rPr>
      <t>Responsabilidad por líneas de crédito no revolventes</t>
    </r>
  </si>
  <si>
    <r>
      <rPr>
        <sz val="10"/>
        <rFont val="Arial Narrow"/>
        <family val="2"/>
      </rPr>
      <t>Responsabilidad por líneas de crédito con entidades del sector público</t>
    </r>
  </si>
  <si>
    <r>
      <rPr>
        <sz val="10"/>
        <rFont val="Segoe UI"/>
        <family val="2"/>
      </rPr>
      <t>Responsabilidad por líneas de crédito con Coopac</t>
    </r>
  </si>
  <si>
    <r>
      <rPr>
        <sz val="10"/>
        <rFont val="Segoe UI"/>
        <family val="2"/>
      </rPr>
      <t xml:space="preserve">Responsabilidad por líneas de crédito con otras entidades
</t>
    </r>
    <r>
      <rPr>
        <sz val="10"/>
        <rFont val="Segoe UI"/>
        <family val="2"/>
      </rPr>
      <t>corporativas</t>
    </r>
  </si>
  <si>
    <r>
      <rPr>
        <sz val="10"/>
        <rFont val="Segoe UI"/>
        <family val="2"/>
      </rPr>
      <t>Responsabilidad por líneas de crédito con grandes empresas</t>
    </r>
  </si>
  <si>
    <r>
      <rPr>
        <sz val="10"/>
        <rFont val="Segoe UI"/>
        <family val="2"/>
      </rPr>
      <t>Responsabilidad por líneas de crédito con medianas empresas</t>
    </r>
  </si>
  <si>
    <r>
      <rPr>
        <sz val="10"/>
        <rFont val="Segoe UI"/>
        <family val="2"/>
      </rPr>
      <t>Responsabilidad por líneas de crédito con pequeñas empresas</t>
    </r>
  </si>
  <si>
    <r>
      <rPr>
        <sz val="10"/>
        <rFont val="Segoe UI"/>
        <family val="2"/>
      </rPr>
      <t>Responsabilidad por líneas de crédito en préstamo</t>
    </r>
  </si>
  <si>
    <r>
      <rPr>
        <sz val="10"/>
        <rFont val="Segoe UI"/>
        <family val="2"/>
      </rPr>
      <t>Responsabilidad por líneas de crédito en préstamo a microempresas</t>
    </r>
  </si>
  <si>
    <r>
      <rPr>
        <sz val="10"/>
        <rFont val="Segoe UI"/>
        <family val="2"/>
      </rPr>
      <t>Responsabilidad por líneas de crédito en préstamos de consumo</t>
    </r>
  </si>
  <si>
    <r>
      <rPr>
        <sz val="10"/>
        <rFont val="Segoe UI"/>
        <family val="2"/>
      </rPr>
      <t>Responsabilidad por líneas de crédito en avales y fianzas</t>
    </r>
  </si>
  <si>
    <r>
      <rPr>
        <sz val="10"/>
        <rFont val="Segoe UI"/>
        <family val="2"/>
      </rPr>
      <t xml:space="preserve">Responsabilidad por líneas de crédito en avales y fianzas a
</t>
    </r>
    <r>
      <rPr>
        <sz val="10"/>
        <rFont val="Segoe UI"/>
        <family val="2"/>
      </rPr>
      <t>microempresas</t>
    </r>
  </si>
  <si>
    <r>
      <rPr>
        <sz val="10"/>
        <rFont val="Segoe UI"/>
        <family val="2"/>
      </rPr>
      <t xml:space="preserve">Responsabilidad por líneas de crédito en avales y fianzas de
</t>
    </r>
    <r>
      <rPr>
        <sz val="10"/>
        <rFont val="Segoe UI"/>
        <family val="2"/>
      </rPr>
      <t>consumo</t>
    </r>
  </si>
  <si>
    <r>
      <rPr>
        <sz val="10"/>
        <rFont val="Arial Narrow"/>
        <family val="2"/>
      </rPr>
      <t xml:space="preserve">Responsabilidad por líneas de crédito en avales y fianzas con entidades del sector
</t>
    </r>
    <r>
      <rPr>
        <sz val="10"/>
        <rFont val="Arial Narrow"/>
        <family val="2"/>
      </rPr>
      <t>público</t>
    </r>
  </si>
  <si>
    <r>
      <rPr>
        <sz val="10"/>
        <rFont val="Segoe UI"/>
        <family val="2"/>
      </rPr>
      <t>Responsabilidad por líneas de crédito en avales y fianzas a Coopac</t>
    </r>
  </si>
  <si>
    <r>
      <rPr>
        <sz val="10"/>
        <rFont val="Segoe UI"/>
        <family val="2"/>
      </rPr>
      <t xml:space="preserve">Responsabilidad por líneas de crédito en avales y fianzas con otras
</t>
    </r>
    <r>
      <rPr>
        <sz val="10"/>
        <rFont val="Segoe UI"/>
        <family val="2"/>
      </rPr>
      <t>entidades corporativas</t>
    </r>
  </si>
  <si>
    <r>
      <rPr>
        <sz val="10"/>
        <rFont val="Segoe UI"/>
        <family val="2"/>
      </rPr>
      <t xml:space="preserve">Responsabilidad por líneas de crédito en avales y fianzas con
</t>
    </r>
    <r>
      <rPr>
        <sz val="10"/>
        <rFont val="Segoe UI"/>
        <family val="2"/>
      </rPr>
      <t>grandes empresas</t>
    </r>
  </si>
  <si>
    <r>
      <rPr>
        <sz val="10"/>
        <rFont val="Segoe UI"/>
        <family val="2"/>
      </rPr>
      <t xml:space="preserve">Responsabilidad por líneas de crédito en avales y fianzas con
</t>
    </r>
    <r>
      <rPr>
        <sz val="10"/>
        <rFont val="Segoe UI"/>
        <family val="2"/>
      </rPr>
      <t>medianas empresas</t>
    </r>
  </si>
  <si>
    <r>
      <rPr>
        <sz val="10"/>
        <rFont val="Segoe UI"/>
        <family val="2"/>
      </rPr>
      <t xml:space="preserve">Responsabilidad por líneas de crédito en avales y fianzas con
</t>
    </r>
    <r>
      <rPr>
        <sz val="10"/>
        <rFont val="Segoe UI"/>
        <family val="2"/>
      </rPr>
      <t>pequeñas empresas</t>
    </r>
  </si>
  <si>
    <r>
      <rPr>
        <sz val="10"/>
        <rFont val="Segoe UI"/>
        <family val="2"/>
      </rPr>
      <t>Responsabilidad por líneas de crédito en tarjetas de crédito</t>
    </r>
  </si>
  <si>
    <r>
      <rPr>
        <sz val="10"/>
        <rFont val="Segoe UI"/>
        <family val="2"/>
      </rPr>
      <t>Responsabilidad por créditos otorgados no desembolsados</t>
    </r>
  </si>
  <si>
    <r>
      <rPr>
        <sz val="10"/>
        <rFont val="Segoe UI"/>
        <family val="2"/>
      </rPr>
      <t xml:space="preserve">Responsabilidad por créditos otorgados no desembolsados de
</t>
    </r>
    <r>
      <rPr>
        <sz val="10"/>
        <rFont val="Segoe UI"/>
        <family val="2"/>
      </rPr>
      <t>créditos a microempresas</t>
    </r>
  </si>
  <si>
    <r>
      <rPr>
        <sz val="10"/>
        <rFont val="Segoe UI"/>
        <family val="2"/>
      </rPr>
      <t xml:space="preserve">Responsabilidad por créditos otorgados no desembolsados de
</t>
    </r>
    <r>
      <rPr>
        <sz val="10"/>
        <rFont val="Segoe UI"/>
        <family val="2"/>
      </rPr>
      <t>crédito de consumo</t>
    </r>
  </si>
  <si>
    <r>
      <rPr>
        <sz val="10"/>
        <rFont val="Segoe UI"/>
        <family val="2"/>
      </rPr>
      <t xml:space="preserve">Responsabilidad por créditos otorgados no desembolsados de
</t>
    </r>
    <r>
      <rPr>
        <sz val="10"/>
        <rFont val="Segoe UI"/>
        <family val="2"/>
      </rPr>
      <t>créditos hipotecarios para vivienda</t>
    </r>
  </si>
  <si>
    <r>
      <rPr>
        <sz val="10"/>
        <rFont val="Arial Narrow"/>
        <family val="2"/>
      </rPr>
      <t xml:space="preserve">Responsabilidad por créditos otorgados no desembolsados a entidades del sector
</t>
    </r>
    <r>
      <rPr>
        <sz val="10"/>
        <rFont val="Arial Narrow"/>
        <family val="2"/>
      </rPr>
      <t>público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</si>
  <si>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Coopac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</si>
  <si>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otras entidades corporativas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</si>
  <si>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grandes empresas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</si>
  <si>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medianas empresas</t>
    </r>
  </si>
  <si>
    <r>
      <rPr>
        <sz val="10"/>
        <rFont val="Segoe UI"/>
        <family val="2"/>
      </rPr>
      <t xml:space="preserve">Responsabilidad por créditos otorgados no desembolsados con
</t>
    </r>
    <r>
      <rPr>
        <sz val="10"/>
        <rFont val="Segoe UI"/>
        <family val="2"/>
      </rPr>
      <t>pequeñas empresas</t>
    </r>
  </si>
  <si>
    <r>
      <rPr>
        <sz val="10"/>
        <rFont val="Segoe UI"/>
        <family val="2"/>
      </rPr>
      <t>Responsabilidad por otras contingencias</t>
    </r>
  </si>
  <si>
    <r>
      <rPr>
        <sz val="10"/>
        <rFont val="Segoe UI"/>
        <family val="2"/>
      </rPr>
      <t>Responsabilidad por sindicación de créditos</t>
    </r>
  </si>
  <si>
    <r>
      <rPr>
        <sz val="10"/>
        <rFont val="Segoe UI"/>
        <family val="2"/>
      </rPr>
      <t>Responsabilidad por sindicación de garantías</t>
    </r>
  </si>
  <si>
    <r>
      <rPr>
        <sz val="10"/>
        <rFont val="Segoe UI"/>
        <family val="2"/>
      </rPr>
      <t xml:space="preserve">Responsabilidad por garantías de créditos especiales y
</t>
    </r>
    <r>
      <rPr>
        <sz val="10"/>
        <rFont val="Segoe UI"/>
        <family val="2"/>
      </rPr>
      <t>promocionales</t>
    </r>
  </si>
  <si>
    <r>
      <rPr>
        <sz val="10"/>
        <rFont val="Segoe UI"/>
        <family val="2"/>
      </rPr>
      <t>Responsabilidad por contingencias varias</t>
    </r>
  </si>
  <si>
    <r>
      <rPr>
        <sz val="10"/>
        <rFont val="Segoe UI"/>
        <family val="2"/>
      </rPr>
      <t>CUENTAS DE ORDEN</t>
    </r>
  </si>
  <si>
    <r>
      <rPr>
        <sz val="10"/>
        <rFont val="Segoe UI"/>
        <family val="2"/>
      </rPr>
      <t>CUENTAS DE ORDEN DEUDORAS</t>
    </r>
  </si>
  <si>
    <r>
      <rPr>
        <sz val="10"/>
        <rFont val="Segoe UI"/>
        <family val="2"/>
      </rPr>
      <t>VALORES Y BIENES PROPIOS EN CUSTODIA</t>
    </r>
  </si>
  <si>
    <r>
      <rPr>
        <sz val="10"/>
        <rFont val="Segoe UI"/>
        <family val="2"/>
      </rPr>
      <t>Títulos y valores en custodia</t>
    </r>
  </si>
  <si>
    <r>
      <rPr>
        <sz val="10"/>
        <rFont val="Segoe UI"/>
        <family val="2"/>
      </rPr>
      <t>Documentos en custodia</t>
    </r>
  </si>
  <si>
    <r>
      <rPr>
        <sz val="10"/>
        <rFont val="Segoe UI"/>
        <family val="2"/>
      </rPr>
      <t>Bienes en custodia</t>
    </r>
  </si>
  <si>
    <r>
      <rPr>
        <sz val="10"/>
        <rFont val="Segoe UI"/>
        <family val="2"/>
      </rPr>
      <t>VALORES PROPIOS EN COBRANZA</t>
    </r>
  </si>
  <si>
    <r>
      <rPr>
        <sz val="10"/>
        <rFont val="Segoe UI"/>
        <family val="2"/>
      </rPr>
      <t>Valores propios en cobranza de oficina principal</t>
    </r>
  </si>
  <si>
    <r>
      <rPr>
        <sz val="10"/>
        <rFont val="Segoe UI"/>
        <family val="2"/>
      </rPr>
      <t>Valores propios en cobranza de agencias</t>
    </r>
  </si>
  <si>
    <r>
      <rPr>
        <sz val="10"/>
        <rFont val="Segoe UI"/>
        <family val="2"/>
      </rPr>
      <t>CUENTAS INCOBRABLES CASTIGADAS</t>
    </r>
  </si>
  <si>
    <r>
      <rPr>
        <sz val="10"/>
        <rFont val="Segoe UI"/>
        <family val="2"/>
      </rPr>
      <t>Inversiones castigadas</t>
    </r>
  </si>
  <si>
    <r>
      <rPr>
        <sz val="10"/>
        <rFont val="Segoe UI"/>
        <family val="2"/>
      </rPr>
      <t>Créditos castigados</t>
    </r>
  </si>
  <si>
    <r>
      <rPr>
        <sz val="10"/>
        <rFont val="Segoe UI"/>
        <family val="2"/>
      </rPr>
      <t>Cuentas por cobrar castigadas</t>
    </r>
  </si>
  <si>
    <r>
      <rPr>
        <sz val="10"/>
        <rFont val="Segoe UI"/>
        <family val="2"/>
      </rPr>
      <t>Intereses castigados</t>
    </r>
  </si>
  <si>
    <r>
      <rPr>
        <sz val="10"/>
        <rFont val="Segoe UI"/>
        <family val="2"/>
      </rPr>
      <t>Comisiones castigadas</t>
    </r>
  </si>
  <si>
    <r>
      <rPr>
        <sz val="10"/>
        <rFont val="Segoe UI"/>
        <family val="2"/>
      </rPr>
      <t>RENDIMIENTOS DE CRÉDITOS Y RENTAS EN SUSPENSO</t>
    </r>
  </si>
  <si>
    <r>
      <rPr>
        <sz val="10"/>
        <rFont val="Segoe UI"/>
        <family val="2"/>
      </rPr>
      <t>Rendimiento de créditos refinanciados en suspenso</t>
    </r>
  </si>
  <si>
    <r>
      <rPr>
        <sz val="10"/>
        <rFont val="Segoe UI"/>
        <family val="2"/>
      </rPr>
      <t>Rendimiento de créditos en cobranza judicial en suspenso</t>
    </r>
  </si>
  <si>
    <r>
      <rPr>
        <sz val="10"/>
        <rFont val="Segoe UI"/>
        <family val="2"/>
      </rPr>
      <t>Rendimiento de créditos reestructurados en suspenso</t>
    </r>
  </si>
  <si>
    <r>
      <rPr>
        <sz val="10"/>
        <rFont val="Segoe UI"/>
        <family val="2"/>
      </rPr>
      <t>Rentas en suspenso</t>
    </r>
  </si>
  <si>
    <r>
      <rPr>
        <sz val="10"/>
        <rFont val="Segoe UI"/>
        <family val="2"/>
      </rPr>
      <t>Otros rendimientos en suspenso</t>
    </r>
  </si>
  <si>
    <r>
      <rPr>
        <sz val="10"/>
        <rFont val="Segoe UI"/>
        <family val="2"/>
      </rPr>
      <t>VALORES Y BIENES PROPIOS OTORGADOS EN GARANTÍA</t>
    </r>
  </si>
  <si>
    <r>
      <rPr>
        <sz val="10"/>
        <rFont val="Segoe UI"/>
        <family val="2"/>
      </rPr>
      <t>Valores propios</t>
    </r>
  </si>
  <si>
    <r>
      <rPr>
        <sz val="10"/>
        <rFont val="Segoe UI"/>
        <family val="2"/>
      </rPr>
      <t>Documentos propios</t>
    </r>
  </si>
  <si>
    <r>
      <rPr>
        <sz val="10"/>
        <rFont val="Segoe UI"/>
        <family val="2"/>
      </rPr>
      <t>Hipotecas cedidas</t>
    </r>
  </si>
  <si>
    <r>
      <rPr>
        <sz val="10"/>
        <rFont val="Segoe UI"/>
        <family val="2"/>
      </rPr>
      <t>Créditos otorgados en garantía de financiamiento</t>
    </r>
  </si>
  <si>
    <r>
      <rPr>
        <sz val="10"/>
        <rFont val="Segoe UI"/>
        <family val="2"/>
      </rPr>
      <t>Créditos a cooperativas</t>
    </r>
  </si>
  <si>
    <r>
      <rPr>
        <sz val="10"/>
        <rFont val="Segoe UI"/>
        <family val="2"/>
      </rPr>
      <t>Provisiones</t>
    </r>
  </si>
  <si>
    <r>
      <rPr>
        <sz val="10"/>
        <rFont val="Segoe UI"/>
        <family val="2"/>
      </rPr>
      <t>Otras garantías cedidas</t>
    </r>
  </si>
  <si>
    <r>
      <rPr>
        <sz val="10"/>
        <rFont val="Segoe UI"/>
        <family val="2"/>
      </rPr>
      <t>UTILIZACIÓN DE FONDOS ESPECIALES</t>
    </r>
  </si>
  <si>
    <r>
      <rPr>
        <sz val="10"/>
        <rFont val="Segoe UI"/>
        <family val="2"/>
      </rPr>
      <t>Disponible</t>
    </r>
  </si>
  <si>
    <r>
      <rPr>
        <sz val="10"/>
        <rFont val="Segoe UI"/>
        <family val="2"/>
      </rPr>
      <t>Otros activos</t>
    </r>
  </si>
  <si>
    <r>
      <rPr>
        <sz val="10"/>
        <rFont val="Segoe UI"/>
        <family val="2"/>
      </rPr>
      <t>OTRAS CUENTAS DE ORDEN DEUDORAS</t>
    </r>
  </si>
  <si>
    <r>
      <rPr>
        <sz val="10"/>
        <rFont val="Segoe UI"/>
        <family val="2"/>
      </rPr>
      <t>Activo fijo depreciado</t>
    </r>
  </si>
  <si>
    <r>
      <rPr>
        <sz val="10"/>
        <rFont val="Segoe UI"/>
        <family val="2"/>
      </rPr>
      <t>Bienes no depreciables</t>
    </r>
  </si>
  <si>
    <r>
      <rPr>
        <sz val="10"/>
        <rFont val="Segoe UI"/>
        <family val="2"/>
      </rPr>
      <t>Útiles de oficina</t>
    </r>
  </si>
  <si>
    <r>
      <rPr>
        <sz val="10"/>
        <rFont val="Segoe UI"/>
        <family val="2"/>
      </rPr>
      <t>Reclamos en trámite</t>
    </r>
  </si>
  <si>
    <r>
      <rPr>
        <sz val="10"/>
        <rFont val="Segoe UI"/>
        <family val="2"/>
      </rPr>
      <t>Líneas de crédito a favor de la Coopac no utilizada - país</t>
    </r>
  </si>
  <si>
    <r>
      <rPr>
        <sz val="10"/>
        <rFont val="Segoe UI"/>
        <family val="2"/>
      </rPr>
      <t>Líneas de crédito a favor de la Coopac no utilizada - exterior</t>
    </r>
  </si>
  <si>
    <r>
      <rPr>
        <sz val="10"/>
        <rFont val="Segoe UI"/>
        <family val="2"/>
      </rPr>
      <t>Cobertura de seguros</t>
    </r>
  </si>
  <si>
    <r>
      <rPr>
        <sz val="10"/>
        <rFont val="Segoe UI"/>
        <family val="2"/>
      </rPr>
      <t>Documentos descontados</t>
    </r>
  </si>
  <si>
    <r>
      <rPr>
        <sz val="10"/>
        <rFont val="Segoe UI"/>
        <family val="2"/>
      </rPr>
      <t>Créditos condonados</t>
    </r>
  </si>
  <si>
    <r>
      <rPr>
        <sz val="10"/>
        <rFont val="Segoe UI"/>
        <family val="2"/>
      </rPr>
      <t>Créditos Reprogramados por efectos climáticos</t>
    </r>
  </si>
  <si>
    <r>
      <rPr>
        <sz val="10"/>
        <rFont val="Segoe UI"/>
        <family val="2"/>
      </rPr>
      <t>Créditos bajo esquema del financiamiento FAE - MYPE 1</t>
    </r>
  </si>
  <si>
    <r>
      <rPr>
        <sz val="10"/>
        <rFont val="Segoe UI"/>
        <family val="2"/>
      </rPr>
      <t>Créditos Vigentes - Microempresas</t>
    </r>
  </si>
  <si>
    <r>
      <rPr>
        <sz val="10"/>
        <rFont val="Segoe UI"/>
        <family val="2"/>
      </rPr>
      <t>Créditos con garantía del FAE - MYPE</t>
    </r>
  </si>
  <si>
    <r>
      <rPr>
        <sz val="10"/>
        <rFont val="Segoe UI"/>
        <family val="2"/>
      </rPr>
      <t>Créditos sin garantía del FAE - MYPE</t>
    </r>
  </si>
  <si>
    <r>
      <rPr>
        <sz val="10"/>
        <rFont val="Segoe UI"/>
        <family val="2"/>
      </rPr>
      <t>Créditos Vigentes - Pequeñas empresas</t>
    </r>
  </si>
  <si>
    <r>
      <rPr>
        <sz val="10"/>
        <rFont val="Segoe UI"/>
        <family val="2"/>
      </rPr>
      <t>Créditos Vigentes - Medianas empresas</t>
    </r>
  </si>
  <si>
    <r>
      <rPr>
        <sz val="10"/>
        <rFont val="Segoe UI"/>
        <family val="2"/>
      </rPr>
      <t>Créditos Vencidos - Microempresas</t>
    </r>
  </si>
  <si>
    <r>
      <rPr>
        <sz val="10"/>
        <rFont val="Segoe UI"/>
        <family val="2"/>
      </rPr>
      <t>Créditos Vencidos - Pequeñas empresas</t>
    </r>
  </si>
  <si>
    <r>
      <rPr>
        <sz val="10"/>
        <rFont val="Segoe UI"/>
        <family val="2"/>
      </rPr>
      <t>Créditos Vencidos - Medianas empresas</t>
    </r>
  </si>
  <si>
    <r>
      <rPr>
        <sz val="10"/>
        <rFont val="Segoe UI"/>
        <family val="2"/>
      </rPr>
      <t>Créditos Refinanciados - Microempresas</t>
    </r>
  </si>
  <si>
    <r>
      <rPr>
        <sz val="10"/>
        <rFont val="Segoe UI"/>
        <family val="2"/>
      </rPr>
      <t>Créditos Refinanciados - Pequeñas empresas</t>
    </r>
  </si>
  <si>
    <r>
      <rPr>
        <sz val="10"/>
        <rFont val="Segoe UI"/>
        <family val="2"/>
      </rPr>
      <t>Créditos Refinanciados - Medianas empresas</t>
    </r>
  </si>
  <si>
    <r>
      <rPr>
        <sz val="10"/>
        <rFont val="Segoe UI"/>
        <family val="2"/>
      </rPr>
      <t>Rendimientos - Créditos a Microempresas</t>
    </r>
  </si>
  <si>
    <r>
      <rPr>
        <sz val="10"/>
        <rFont val="Segoe UI"/>
        <family val="2"/>
      </rPr>
      <t>Criterio devengado</t>
    </r>
  </si>
  <si>
    <r>
      <rPr>
        <sz val="10"/>
        <rFont val="Segoe UI"/>
        <family val="2"/>
      </rPr>
      <t>Criterio percibido</t>
    </r>
  </si>
  <si>
    <r>
      <rPr>
        <sz val="10"/>
        <rFont val="Segoe UI"/>
        <family val="2"/>
      </rPr>
      <t>Rendimientos - Créditos a Pequeñas empresas</t>
    </r>
  </si>
  <si>
    <r>
      <rPr>
        <sz val="10"/>
        <rFont val="Segoe UI"/>
        <family val="2"/>
      </rPr>
      <t>Rendimientos - Créditos a Medianas empresas</t>
    </r>
  </si>
  <si>
    <r>
      <rPr>
        <sz val="10"/>
        <rFont val="Segoe UI"/>
        <family val="2"/>
      </rPr>
      <t>Créditos bajo esquema del financiamiento FAE - MYPE 2</t>
    </r>
  </si>
  <si>
    <r>
      <rPr>
        <sz val="10"/>
        <rFont val="Segoe UI"/>
        <family val="2"/>
      </rPr>
      <t>CONTRA CUENTA DE CUENTAS DE ORDEN DEUDORAS</t>
    </r>
  </si>
  <si>
    <r>
      <rPr>
        <sz val="10"/>
        <rFont val="Segoe UI"/>
        <family val="2"/>
      </rPr>
      <t>CONTRA CUENTA DE CUENTAS DE ORDEN ACREEDORAS</t>
    </r>
  </si>
  <si>
    <r>
      <rPr>
        <sz val="10"/>
        <rFont val="Segoe UI"/>
        <family val="2"/>
      </rPr>
      <t>CUENTAS DE ORDEN ACREEDORAS</t>
    </r>
  </si>
  <si>
    <r>
      <rPr>
        <sz val="10"/>
        <rFont val="Segoe UI"/>
        <family val="2"/>
      </rPr>
      <t>VALORES Y BIENES RECIBIDOS EN CUSTODIA</t>
    </r>
  </si>
  <si>
    <r>
      <rPr>
        <sz val="10"/>
        <rFont val="Segoe UI"/>
        <family val="2"/>
      </rPr>
      <t>Valores y bienes de clientes</t>
    </r>
  </si>
  <si>
    <r>
      <rPr>
        <sz val="10"/>
        <rFont val="Segoe UI"/>
        <family val="2"/>
      </rPr>
      <t>VALORES RECIBIDOS EN COBRANZA PAÍS</t>
    </r>
  </si>
  <si>
    <r>
      <rPr>
        <sz val="10"/>
        <rFont val="Segoe UI"/>
        <family val="2"/>
      </rPr>
      <t>Valores recibidos en cobranza oficina principal</t>
    </r>
  </si>
  <si>
    <r>
      <rPr>
        <sz val="10"/>
        <rFont val="Segoe UI"/>
        <family val="2"/>
      </rPr>
      <t>Valores recibidos en cobranza agencias</t>
    </r>
  </si>
  <si>
    <r>
      <rPr>
        <sz val="10"/>
        <rFont val="Segoe UI"/>
        <family val="2"/>
      </rPr>
      <t>GARANTÍAS RECIBIDAS POR OPERACIONES DE CRÉDITO</t>
    </r>
  </si>
  <si>
    <r>
      <rPr>
        <sz val="10"/>
        <rFont val="Segoe UI"/>
        <family val="2"/>
      </rPr>
      <t>Garantías preferidas de muy rápida realización</t>
    </r>
  </si>
  <si>
    <r>
      <rPr>
        <sz val="10"/>
        <rFont val="Segoe UI"/>
        <family val="2"/>
      </rPr>
      <t xml:space="preserve">Primera garantía mobiliaria sobre instrumentos representativos de
</t>
    </r>
    <r>
      <rPr>
        <sz val="10"/>
        <rFont val="Segoe UI"/>
        <family val="2"/>
      </rPr>
      <t>deuda pública externa o de obligaciones del BCRP</t>
    </r>
  </si>
  <si>
    <r>
      <rPr>
        <sz val="10"/>
        <rFont val="Arial Narrow"/>
        <family val="2"/>
      </rPr>
      <t xml:space="preserve">Primera garantía mobiliaria sobre instrumentos representativos de deuda con grado
</t>
    </r>
    <r>
      <rPr>
        <sz val="10"/>
        <rFont val="Arial Narrow"/>
        <family val="2"/>
      </rPr>
      <t>de inversión emitidos por gobiernos centrales o bancos centrales</t>
    </r>
  </si>
  <si>
    <r>
      <rPr>
        <sz val="10"/>
        <rFont val="Arial Narrow"/>
        <family val="2"/>
      </rPr>
      <t xml:space="preserve">Primera garantía mobiliaria sobre valores mobiliarios incluidos en el Listado que
</t>
    </r>
    <r>
      <rPr>
        <sz val="10"/>
        <rFont val="Arial Narrow"/>
        <family val="2"/>
      </rPr>
      <t>publica la SBS, con excepción de los emitidos por empresas deudora y acreedora</t>
    </r>
  </si>
  <si>
    <r>
      <rPr>
        <sz val="10"/>
        <rFont val="Segoe UI"/>
        <family val="2"/>
      </rPr>
      <t>Primera garantía mobiliaria sobre warrants de commodities</t>
    </r>
  </si>
  <si>
    <r>
      <rPr>
        <sz val="10"/>
        <rFont val="Segoe UI"/>
        <family val="2"/>
      </rPr>
      <t xml:space="preserve">Primera garantía mobiliaria sobre los valores mobiliarios incluidos en
</t>
    </r>
    <r>
      <rPr>
        <sz val="10"/>
        <rFont val="Segoe UI"/>
        <family val="2"/>
      </rPr>
      <t>el Índice Selectivo de la Bolsa de Valores de Lima</t>
    </r>
  </si>
  <si>
    <r>
      <rPr>
        <sz val="10"/>
        <rFont val="Segoe UI"/>
        <family val="2"/>
      </rPr>
      <t xml:space="preserve">Fideicomiso en garantía bienes considerados como garantías
</t>
    </r>
    <r>
      <rPr>
        <sz val="10"/>
        <rFont val="Segoe UI"/>
        <family val="2"/>
      </rPr>
      <t>preferidas de muy rápida realización</t>
    </r>
  </si>
  <si>
    <r>
      <rPr>
        <sz val="10"/>
        <rFont val="Segoe UI"/>
        <family val="2"/>
      </rPr>
      <t>Garantías preferidas</t>
    </r>
  </si>
  <si>
    <r>
      <rPr>
        <sz val="10"/>
        <rFont val="Segoe UI"/>
        <family val="2"/>
      </rPr>
      <t xml:space="preserve">Primera garantía mobiliaria sobre instrumentos representativos de
</t>
    </r>
    <r>
      <rPr>
        <sz val="10"/>
        <rFont val="Segoe UI"/>
        <family val="2"/>
      </rPr>
      <t>deuda no subordinada</t>
    </r>
  </si>
  <si>
    <r>
      <rPr>
        <sz val="10"/>
        <rFont val="Segoe UI"/>
        <family val="2"/>
      </rPr>
      <t>Empresas del sistema financiero y sistema de seguros del país</t>
    </r>
  </si>
  <si>
    <r>
      <rPr>
        <sz val="10"/>
        <rFont val="Segoe UI"/>
        <family val="2"/>
      </rPr>
      <t xml:space="preserve">Empresas del sistema financiero y de seguros del exterior de primer
</t>
    </r>
    <r>
      <rPr>
        <sz val="10"/>
        <rFont val="Segoe UI"/>
        <family val="2"/>
      </rPr>
      <t>nivel</t>
    </r>
  </si>
  <si>
    <r>
      <rPr>
        <sz val="10"/>
        <rFont val="Segoe UI"/>
        <family val="2"/>
      </rPr>
      <t>Bancos e instituciones multilaterales de desarrollo</t>
    </r>
  </si>
  <si>
    <r>
      <rPr>
        <sz val="10"/>
        <rFont val="Segoe UI"/>
        <family val="2"/>
      </rPr>
      <t xml:space="preserve">Primera garantía mobiliaria sobre instrumentos representativos de
</t>
    </r>
    <r>
      <rPr>
        <sz val="10"/>
        <rFont val="Segoe UI"/>
        <family val="2"/>
      </rPr>
      <t>deuda</t>
    </r>
  </si>
  <si>
    <r>
      <rPr>
        <sz val="10"/>
        <rFont val="Segoe UI"/>
        <family val="2"/>
      </rPr>
      <t>Cotizados en mecanismos centralizados de negociación del país</t>
    </r>
  </si>
  <si>
    <r>
      <rPr>
        <sz val="10"/>
        <rFont val="Segoe UI"/>
        <family val="2"/>
      </rPr>
      <t>Cotizados en mecanismos centralizados de negociación del exterior</t>
    </r>
  </si>
  <si>
    <r>
      <rPr>
        <sz val="10"/>
        <rFont val="Segoe UI"/>
        <family val="2"/>
      </rPr>
      <t xml:space="preserve">Primera garantía mobiliaria sobre instrumentos representativos de
</t>
    </r>
    <r>
      <rPr>
        <sz val="10"/>
        <rFont val="Segoe UI"/>
        <family val="2"/>
      </rPr>
      <t>capital</t>
    </r>
  </si>
  <si>
    <r>
      <rPr>
        <sz val="10"/>
        <rFont val="Segoe UI"/>
        <family val="2"/>
      </rPr>
      <t>Negociados en mecanismos centralizados de negociación del país</t>
    </r>
  </si>
  <si>
    <r>
      <rPr>
        <sz val="10"/>
        <rFont val="Segoe UI"/>
        <family val="2"/>
      </rPr>
      <t xml:space="preserve">Considerados en índices de mecanismos centralizados de
</t>
    </r>
    <r>
      <rPr>
        <sz val="10"/>
        <rFont val="Segoe UI"/>
        <family val="2"/>
      </rPr>
      <t>negociación del exterior</t>
    </r>
  </si>
  <si>
    <r>
      <rPr>
        <sz val="10"/>
        <rFont val="Segoe UI"/>
        <family val="2"/>
      </rPr>
      <t>Primera garantía mobiliaria sobre certificados de participación</t>
    </r>
  </si>
  <si>
    <r>
      <rPr>
        <sz val="10"/>
        <rFont val="Segoe UI"/>
        <family val="2"/>
      </rPr>
      <t>Fondos mutuos</t>
    </r>
  </si>
  <si>
    <r>
      <rPr>
        <sz val="10"/>
        <rFont val="Segoe UI"/>
        <family val="2"/>
      </rPr>
      <t>Fondos de inversión</t>
    </r>
  </si>
  <si>
    <r>
      <rPr>
        <sz val="10"/>
        <rFont val="Segoe UI"/>
        <family val="2"/>
      </rPr>
      <t>Primera garantía mobiliaria sobre joyas y metales preciosos</t>
    </r>
  </si>
  <si>
    <r>
      <rPr>
        <sz val="10"/>
        <rFont val="Segoe UI"/>
        <family val="2"/>
      </rPr>
      <t xml:space="preserve">Primera garantía mobiliaria sobre conocimientos de embarque y
</t>
    </r>
    <r>
      <rPr>
        <sz val="10"/>
        <rFont val="Segoe UI"/>
        <family val="2"/>
      </rPr>
      <t>cartas de porte</t>
    </r>
  </si>
  <si>
    <r>
      <rPr>
        <sz val="10"/>
        <rFont val="Segoe UI"/>
        <family val="2"/>
      </rPr>
      <t xml:space="preserve">Primera garantía mobiliaria sobre bienes de fácil realización
</t>
    </r>
    <r>
      <rPr>
        <sz val="10"/>
        <rFont val="Segoe UI"/>
        <family val="2"/>
      </rPr>
      <t>destinados a la explotación agropecuaria, industrial y minera</t>
    </r>
  </si>
  <si>
    <r>
      <rPr>
        <sz val="10"/>
        <rFont val="Segoe UI"/>
        <family val="2"/>
      </rPr>
      <t xml:space="preserve">Primera garantía mobiliaria sobre medios de transporte terrestre,
</t>
    </r>
    <r>
      <rPr>
        <sz val="10"/>
        <rFont val="Segoe UI"/>
        <family val="2"/>
      </rPr>
      <t>naves y aeronaves destinados a la explotación agropecuaria, industrial y minera</t>
    </r>
  </si>
  <si>
    <r>
      <rPr>
        <sz val="10"/>
        <rFont val="Segoe UI"/>
        <family val="2"/>
      </rPr>
      <t xml:space="preserve">Productos y mercaderías de fácil realización, afectados mediante
</t>
    </r>
    <r>
      <rPr>
        <sz val="10"/>
        <rFont val="Segoe UI"/>
        <family val="2"/>
      </rPr>
      <t>warrants endosados conforme a Ley</t>
    </r>
  </si>
  <si>
    <r>
      <rPr>
        <sz val="10"/>
        <rFont val="Segoe UI"/>
        <family val="2"/>
      </rPr>
      <t>Fideicomiso en garantía constituido sobre garantías preferidas</t>
    </r>
  </si>
  <si>
    <r>
      <rPr>
        <sz val="10"/>
        <rFont val="Segoe UI"/>
        <family val="2"/>
      </rPr>
      <t>Cartas fianzas que respaldan futura constitución de hipoteca</t>
    </r>
  </si>
  <si>
    <r>
      <rPr>
        <sz val="10"/>
        <rFont val="Segoe UI"/>
        <family val="2"/>
      </rPr>
      <t>Otras que determine la SBS</t>
    </r>
  </si>
  <si>
    <r>
      <rPr>
        <sz val="10"/>
        <rFont val="Arial Narrow"/>
        <family val="2"/>
      </rPr>
      <t>Fondo Hipotecario de Promoción de la Vivienda - Mi Vivienda</t>
    </r>
  </si>
  <si>
    <r>
      <rPr>
        <sz val="10"/>
        <rFont val="Segoe UI"/>
        <family val="2"/>
      </rPr>
      <t>Garantías preferidas autoliquidables</t>
    </r>
  </si>
  <si>
    <r>
      <rPr>
        <sz val="10"/>
        <rFont val="Segoe UI"/>
        <family val="2"/>
      </rPr>
      <t xml:space="preserve">Depósitos en efectivo en moneda nacional y moneda extranjera
</t>
    </r>
    <r>
      <rPr>
        <sz val="10"/>
        <rFont val="Segoe UI"/>
        <family val="2"/>
      </rPr>
      <t>constituidos en la Coopac prestamista</t>
    </r>
  </si>
  <si>
    <r>
      <rPr>
        <sz val="10"/>
        <rFont val="Segoe UI"/>
        <family val="2"/>
      </rPr>
      <t xml:space="preserve">Cartas de crédito stand by u otras similares, irrevocables, con
</t>
    </r>
    <r>
      <rPr>
        <sz val="10"/>
        <rFont val="Segoe UI"/>
        <family val="2"/>
      </rPr>
      <t>documentos negociados sin discrepancias, pendientes de cobro del banco emisor cuando este sea una empresa del sistema financiero del exterior de primer nivel</t>
    </r>
  </si>
  <si>
    <r>
      <rPr>
        <sz val="10"/>
        <rFont val="Arial Narrow"/>
        <family val="2"/>
      </rPr>
      <t>Oro en lingotes en custodia de la Coopac prestamista</t>
    </r>
  </si>
  <si>
    <r>
      <rPr>
        <sz val="10"/>
        <rFont val="Segoe UI"/>
        <family val="2"/>
      </rPr>
      <t>Cobertura de riesgo provista por el Fondo MiVivienda S.A.</t>
    </r>
  </si>
  <si>
    <r>
      <rPr>
        <sz val="10"/>
        <rFont val="Segoe UI"/>
        <family val="2"/>
      </rPr>
      <t>Sustitución de contra-parte crediticia</t>
    </r>
  </si>
  <si>
    <r>
      <rPr>
        <sz val="10"/>
        <rFont val="Segoe UI"/>
        <family val="2"/>
      </rPr>
      <t>Cartas fianzas solidarias</t>
    </r>
  </si>
  <si>
    <r>
      <rPr>
        <sz val="10"/>
        <rFont val="Arial Narrow"/>
        <family val="2"/>
      </rPr>
      <t>Avales</t>
    </r>
  </si>
  <si>
    <r>
      <rPr>
        <sz val="10"/>
        <rFont val="Segoe UI"/>
        <family val="2"/>
      </rPr>
      <t>Cartas de crédito, cartas de crédito stand by u otras similares</t>
    </r>
  </si>
  <si>
    <r>
      <rPr>
        <sz val="10"/>
        <rFont val="Arial Narrow"/>
        <family val="2"/>
      </rPr>
      <t>Aceptaciones bancarias</t>
    </r>
  </si>
  <si>
    <r>
      <rPr>
        <sz val="10"/>
        <rFont val="Arial Narrow"/>
        <family val="2"/>
      </rPr>
      <t>Seguro de crédito a la exportación</t>
    </r>
  </si>
  <si>
    <r>
      <rPr>
        <sz val="10"/>
        <rFont val="Arial Narrow"/>
        <family val="2"/>
      </rPr>
      <t>Derivados crediticios (total return swap y credit default swap)</t>
    </r>
  </si>
  <si>
    <r>
      <rPr>
        <sz val="10"/>
        <rFont val="Arial Narrow"/>
        <family val="2"/>
      </rPr>
      <t>Cobertura de seguro de crédito extendida por un patrimonio de seguro de crédito</t>
    </r>
  </si>
  <si>
    <r>
      <rPr>
        <sz val="10"/>
        <rFont val="Segoe UI"/>
        <family val="2"/>
      </rPr>
      <t>Derivados crediticios (total return swap y credit default swap)</t>
    </r>
  </si>
  <si>
    <r>
      <rPr>
        <sz val="10"/>
        <rFont val="Segoe UI"/>
        <family val="2"/>
      </rPr>
      <t>Cobertura de riesgo del Fondo MIVIVIENDA</t>
    </r>
  </si>
  <si>
    <r>
      <rPr>
        <sz val="10"/>
        <rFont val="Segoe UI"/>
        <family val="2"/>
      </rPr>
      <t>Garantías del FAE - MYPE 1</t>
    </r>
  </si>
  <si>
    <r>
      <rPr>
        <sz val="10"/>
        <rFont val="Segoe UI"/>
        <family val="2"/>
      </rPr>
      <t>Garantías del FAE - MYPE 2</t>
    </r>
  </si>
  <si>
    <r>
      <rPr>
        <sz val="10"/>
        <rFont val="Segoe UI"/>
        <family val="2"/>
      </rPr>
      <t>Garantías no preferidas</t>
    </r>
  </si>
  <si>
    <r>
      <rPr>
        <sz val="10"/>
        <rFont val="Segoe UI"/>
        <family val="2"/>
      </rPr>
      <t>GARANTÍAS RECIBIDAS POR SERVICIOS</t>
    </r>
  </si>
  <si>
    <r>
      <rPr>
        <sz val="10"/>
        <rFont val="Segoe UI"/>
        <family val="2"/>
      </rPr>
      <t>Hipoteca sobre inmuebles</t>
    </r>
  </si>
  <si>
    <r>
      <rPr>
        <sz val="10"/>
        <rFont val="Segoe UI"/>
        <family val="2"/>
      </rPr>
      <t>Garantía mobiliaria sobre valores y títulos mobiliarios</t>
    </r>
  </si>
  <si>
    <r>
      <rPr>
        <sz val="10"/>
        <rFont val="Segoe UI"/>
        <family val="2"/>
      </rPr>
      <t xml:space="preserve">Garantía mobiliaria sobre medios de transporte terrestre, naves y
</t>
    </r>
    <r>
      <rPr>
        <sz val="10"/>
        <rFont val="Segoe UI"/>
        <family val="2"/>
      </rPr>
      <t>aeronaves destinados a la explotación agropecuaria, industrial y minera</t>
    </r>
  </si>
  <si>
    <r>
      <rPr>
        <sz val="10"/>
        <rFont val="Segoe UI"/>
        <family val="2"/>
      </rPr>
      <t xml:space="preserve">Garantía mobiliaria sobre bienes de fácil realización destinados a la
</t>
    </r>
    <r>
      <rPr>
        <sz val="10"/>
        <rFont val="Segoe UI"/>
        <family val="2"/>
      </rPr>
      <t>explotación agropecuaria, industrial y minera</t>
    </r>
  </si>
  <si>
    <r>
      <rPr>
        <sz val="10"/>
        <rFont val="Segoe UI"/>
        <family val="2"/>
      </rPr>
      <t xml:space="preserve">Depósitos en efectivo en moneda nacional y moneda extranjera
</t>
    </r>
    <r>
      <rPr>
        <sz val="10"/>
        <rFont val="Segoe UI"/>
        <family val="2"/>
      </rPr>
      <t>constituidos en las Coopac y empresas del sistema financiero</t>
    </r>
  </si>
  <si>
    <r>
      <rPr>
        <sz val="10"/>
        <rFont val="Segoe UI"/>
        <family val="2"/>
      </rPr>
      <t>Fideicomiso en garantía</t>
    </r>
  </si>
  <si>
    <r>
      <rPr>
        <sz val="10"/>
        <rFont val="Segoe UI"/>
        <family val="2"/>
      </rPr>
      <t>Otras garantías</t>
    </r>
  </si>
  <si>
    <r>
      <rPr>
        <sz val="10"/>
        <rFont val="Segoe UI"/>
        <family val="2"/>
      </rPr>
      <t>CONSIGNACIONES RECIBIDAS</t>
    </r>
  </si>
  <si>
    <r>
      <rPr>
        <sz val="10"/>
        <rFont val="Segoe UI"/>
        <family val="2"/>
      </rPr>
      <t>Cheques de viajero</t>
    </r>
  </si>
  <si>
    <r>
      <rPr>
        <sz val="10"/>
        <rFont val="Segoe UI"/>
        <family val="2"/>
      </rPr>
      <t>Valores recibidos en consignación</t>
    </r>
  </si>
  <si>
    <r>
      <rPr>
        <sz val="10"/>
        <rFont val="Segoe UI"/>
        <family val="2"/>
      </rPr>
      <t>Bienes recibidos en consignación</t>
    </r>
  </si>
  <si>
    <r>
      <rPr>
        <sz val="10"/>
        <rFont val="Segoe UI"/>
        <family val="2"/>
      </rPr>
      <t>OTRAS CUENTAS DE ORDEN ACREEDORAS</t>
    </r>
  </si>
  <si>
    <r>
      <rPr>
        <sz val="10"/>
        <rFont val="Segoe UI"/>
        <family val="2"/>
      </rPr>
      <t>Bienes vendidos por entregar</t>
    </r>
  </si>
  <si>
    <r>
      <rPr>
        <sz val="10"/>
        <rFont val="Segoe UI"/>
        <family val="2"/>
      </rPr>
      <t>Seguros contratados</t>
    </r>
  </si>
  <si>
    <r>
      <rPr>
        <sz val="10"/>
        <rFont val="Segoe UI"/>
        <family val="2"/>
      </rPr>
      <t>Cajas de seguridad</t>
    </r>
  </si>
  <si>
    <r>
      <rPr>
        <sz val="10"/>
        <rFont val="Arial Narrow"/>
        <family val="2"/>
      </rPr>
      <t>FIDEICOMISOS Y COMISIONES DE CONFIANZA DEUDORAS</t>
    </r>
  </si>
  <si>
    <r>
      <rPr>
        <sz val="10"/>
        <rFont val="Arial Narrow"/>
        <family val="2"/>
      </rPr>
      <t>ACTIVOS DE FIDEICOMISO</t>
    </r>
  </si>
  <si>
    <r>
      <rPr>
        <sz val="10"/>
        <rFont val="Arial Narrow"/>
        <family val="2"/>
      </rPr>
      <t>GASTOS DE FIDEICOMISO</t>
    </r>
  </si>
  <si>
    <r>
      <rPr>
        <sz val="10"/>
        <rFont val="Arial Narrow"/>
        <family val="2"/>
      </rPr>
      <t>COMISIONES DE CONFIANZA</t>
    </r>
  </si>
  <si>
    <r>
      <rPr>
        <sz val="10"/>
        <rFont val="Arial Narrow"/>
        <family val="2"/>
      </rPr>
      <t>FIDEICOMISOS - ACREEDORAS POR EL CONTRARIO</t>
    </r>
  </si>
  <si>
    <r>
      <rPr>
        <sz val="10"/>
        <rFont val="Arial Narrow"/>
        <family val="2"/>
      </rPr>
      <t>Pasivo del fideicomiso</t>
    </r>
  </si>
  <si>
    <r>
      <rPr>
        <sz val="10"/>
        <rFont val="Arial Narrow"/>
        <family val="2"/>
      </rPr>
      <t>Patrimonio del fideicomiso</t>
    </r>
  </si>
  <si>
    <r>
      <rPr>
        <sz val="10"/>
        <rFont val="Arial Narrow"/>
        <family val="2"/>
      </rPr>
      <t>Ingresos del fideicomiso</t>
    </r>
  </si>
  <si>
    <r>
      <rPr>
        <sz val="10"/>
        <rFont val="Arial Narrow"/>
        <family val="2"/>
      </rPr>
      <t>FIDEICOMISOS Y COMISIONES DE CONFIANZA ACREEDORAS</t>
    </r>
  </si>
  <si>
    <r>
      <rPr>
        <sz val="10"/>
        <rFont val="Arial Narrow"/>
        <family val="2"/>
      </rPr>
      <t>PASIVOS DE FIDEICOMISO</t>
    </r>
  </si>
  <si>
    <r>
      <rPr>
        <sz val="10"/>
        <rFont val="Arial Narrow"/>
        <family val="2"/>
      </rPr>
      <t>PATRIMONIO DE FIDEICOMISO</t>
    </r>
  </si>
  <si>
    <r>
      <rPr>
        <sz val="10"/>
        <rFont val="Arial Narrow"/>
        <family val="2"/>
      </rPr>
      <t>INGRESOS DE FIDEICOMISO</t>
    </r>
  </si>
  <si>
    <r>
      <rPr>
        <sz val="10"/>
        <rFont val="Arial Narrow"/>
        <family val="2"/>
      </rPr>
      <t>FIDEICOMISOS - DEUDORAS POR EL CONTRARIO</t>
    </r>
  </si>
  <si>
    <r>
      <rPr>
        <sz val="10"/>
        <rFont val="Arial Narrow"/>
        <family val="2"/>
      </rPr>
      <t>Activos del fideicomiso</t>
    </r>
  </si>
  <si>
    <r>
      <rPr>
        <sz val="10"/>
        <rFont val="Arial Narrow"/>
        <family val="2"/>
      </rPr>
      <t>Gastos del fideicomiso</t>
    </r>
  </si>
  <si>
    <r>
      <rPr>
        <sz val="10"/>
        <rFont val="Segoe UI"/>
        <family val="2"/>
      </rPr>
      <t>PATRIMONIOS AUTÓNOMOS - DEUDORAS</t>
    </r>
  </si>
  <si>
    <r>
      <rPr>
        <sz val="10"/>
        <rFont val="Segoe UI"/>
        <family val="2"/>
      </rPr>
      <t>ACTIVOS DEL PATRIMONIO AUTÓNOMO</t>
    </r>
  </si>
  <si>
    <r>
      <rPr>
        <sz val="10"/>
        <rFont val="Segoe UI"/>
        <family val="2"/>
      </rPr>
      <t>GASTOS DEL PATRIMONIO AUTÓNOMO</t>
    </r>
  </si>
  <si>
    <r>
      <rPr>
        <sz val="10"/>
        <rFont val="Segoe UI"/>
        <family val="2"/>
      </rPr>
      <t>PATRIMONIOS AUTÓNOMOS - ACREEDORAS POR EL CONTRARIO</t>
    </r>
  </si>
  <si>
    <r>
      <rPr>
        <sz val="10"/>
        <rFont val="Segoe UI"/>
        <family val="2"/>
      </rPr>
      <t>Pasivo del patrimonio autónomo</t>
    </r>
  </si>
  <si>
    <r>
      <rPr>
        <sz val="10"/>
        <rFont val="Segoe UI"/>
        <family val="2"/>
      </rPr>
      <t>Patrimonio del patrimonio autónomo</t>
    </r>
  </si>
  <si>
    <r>
      <rPr>
        <sz val="10"/>
        <rFont val="Segoe UI"/>
        <family val="2"/>
      </rPr>
      <t>Ingresos del patrimonio autónomo</t>
    </r>
  </si>
  <si>
    <r>
      <rPr>
        <sz val="10"/>
        <rFont val="Segoe UI"/>
        <family val="2"/>
      </rPr>
      <t>PATRIMONIOS AUTÓNOMOS - ACREEDORAS</t>
    </r>
  </si>
  <si>
    <r>
      <rPr>
        <sz val="10"/>
        <rFont val="Segoe UI"/>
        <family val="2"/>
      </rPr>
      <t>PASIVO DEL PATRIMONIO AUTÓNOMO</t>
    </r>
  </si>
  <si>
    <r>
      <rPr>
        <sz val="10"/>
        <rFont val="Segoe UI"/>
        <family val="2"/>
      </rPr>
      <t>PATRIMONIO DEL PATRIMONIO AUTÓNOMO</t>
    </r>
  </si>
  <si>
    <r>
      <rPr>
        <sz val="10"/>
        <rFont val="Segoe UI"/>
        <family val="2"/>
      </rPr>
      <t>INGRESOS DEL PATRIMONIO AUTÓNOMO</t>
    </r>
  </si>
  <si>
    <r>
      <rPr>
        <sz val="10"/>
        <rFont val="Segoe UI"/>
        <family val="2"/>
      </rPr>
      <t>PATRIMONIOS AUTÓNOMOS - DEUDORAS POR EL CONTRARIO</t>
    </r>
  </si>
  <si>
    <r>
      <rPr>
        <sz val="10"/>
        <rFont val="Segoe UI"/>
        <family val="2"/>
      </rPr>
      <t>Activos del patrimonio autónomo</t>
    </r>
  </si>
  <si>
    <r>
      <rPr>
        <sz val="10"/>
        <rFont val="Segoe UI"/>
        <family val="2"/>
      </rPr>
      <t>Gastos del patrimonio autónomo</t>
    </r>
  </si>
  <si>
    <t>BANCOS, OTRAS EMPRESAS DEL SISTEMA FINANCIERO DEL PAÍS Y COOPAC</t>
  </si>
  <si>
    <t>Supervisados por la oficina matriz sujeta a supervisión de organismos similares a la SBS</t>
  </si>
  <si>
    <t>11010101</t>
  </si>
  <si>
    <t>Caja Oficina Principal  Soles</t>
  </si>
  <si>
    <t>11010205</t>
  </si>
  <si>
    <t>Caja Playa Carabaya</t>
  </si>
  <si>
    <t>11010208</t>
  </si>
  <si>
    <t>Caja Tarapoto Hotel</t>
  </si>
  <si>
    <t>11010209</t>
  </si>
  <si>
    <t>Caja Playa Barranco</t>
  </si>
  <si>
    <t>11010210</t>
  </si>
  <si>
    <t>Caja Hotel Piura</t>
  </si>
  <si>
    <t>11010901</t>
  </si>
  <si>
    <t>Remesa en Transito</t>
  </si>
  <si>
    <t>Bco Nación Cta Cte</t>
  </si>
  <si>
    <t>1103010102</t>
  </si>
  <si>
    <t>Bco Nación Cta Cte 00-010-092779 - Detracciones</t>
  </si>
  <si>
    <t>1103010301</t>
  </si>
  <si>
    <t>BCP Cta Cte</t>
  </si>
  <si>
    <t>1103010321</t>
  </si>
  <si>
    <t>BCP Cta Cte 001473503177-96</t>
  </si>
  <si>
    <t>1103010401</t>
  </si>
  <si>
    <t>Bco. Interbank 115-300135290-0</t>
  </si>
  <si>
    <t>1103010421</t>
  </si>
  <si>
    <t>Bco. Interbank 115-300135291-8</t>
  </si>
  <si>
    <t>1103010501</t>
  </si>
  <si>
    <t>Bco Scotiabank CtaCte 000-0152536</t>
  </si>
  <si>
    <t>1103010601</t>
  </si>
  <si>
    <t>BVVA Cta Cte 11-114-0100013991-63</t>
  </si>
  <si>
    <t>1103010621</t>
  </si>
  <si>
    <t>BBVA Cta Cte 11-0114-0100022893-60</t>
  </si>
  <si>
    <t>1103010801</t>
  </si>
  <si>
    <t>Bco Comercio Cta.Cte. 110-01-0442262</t>
  </si>
  <si>
    <t>1103060211</t>
  </si>
  <si>
    <t>Coopac Credicoop DPF</t>
  </si>
  <si>
    <t>11070101</t>
  </si>
  <si>
    <t>Fondo Fijo - OEP Arequipa</t>
  </si>
  <si>
    <t>11070102</t>
  </si>
  <si>
    <t>Fondo Fijo - OEP Piura</t>
  </si>
  <si>
    <t>11070103</t>
  </si>
  <si>
    <t>Fondo Fijo - OEP Iquitos</t>
  </si>
  <si>
    <t>11070104</t>
  </si>
  <si>
    <t>Fondo Fijo - OEP Ayacucho</t>
  </si>
  <si>
    <t>11070105</t>
  </si>
  <si>
    <t>Fondo Fijo - Hotel Tarapoto</t>
  </si>
  <si>
    <t>11070106</t>
  </si>
  <si>
    <t>Fondo Fijo - OEP Tarapoto</t>
  </si>
  <si>
    <t>11070107</t>
  </si>
  <si>
    <t>Fondo Fijo - Hotel Piura</t>
  </si>
  <si>
    <t>11070108</t>
  </si>
  <si>
    <t>Fondo Fijo - Caja Chica Caseta</t>
  </si>
  <si>
    <t>11070109</t>
  </si>
  <si>
    <t>Fondo Fijo - OEP Huancayo</t>
  </si>
  <si>
    <t>1303130101</t>
  </si>
  <si>
    <t>Central CAC Caja Central Ltda</t>
  </si>
  <si>
    <t>1303130102</t>
  </si>
  <si>
    <t>Central Cooperativa de Servicios - Serviperu</t>
  </si>
  <si>
    <t>1303130103</t>
  </si>
  <si>
    <t>Coopac Sata Maria Magdalena</t>
  </si>
  <si>
    <t>1303130104</t>
  </si>
  <si>
    <t>Coopac La Florida</t>
  </si>
  <si>
    <t>1303130105</t>
  </si>
  <si>
    <t>Coopac Credicoop</t>
  </si>
  <si>
    <t>1309031301</t>
  </si>
  <si>
    <t>Prov Deterioro Aportes</t>
  </si>
  <si>
    <t>1401030603</t>
  </si>
  <si>
    <t>Prést Vigente Consumo No Revolv para libre disponibilidad</t>
  </si>
  <si>
    <t>1404039902</t>
  </si>
  <si>
    <t>Créd Vig Refinanc No revolventes</t>
  </si>
  <si>
    <t>1405030603</t>
  </si>
  <si>
    <t>Prést Vencido Consumo No Revolv para libre disponibilidad</t>
  </si>
  <si>
    <t>1405031906</t>
  </si>
  <si>
    <t>Prést Refinanc Venc no revolventes</t>
  </si>
  <si>
    <t>1408030106</t>
  </si>
  <si>
    <t>Rend Deveng Crédito consumo - Préstamo</t>
  </si>
  <si>
    <t>14090301</t>
  </si>
  <si>
    <t>Prov Específica Créd Consumo</t>
  </si>
  <si>
    <t>1409030201</t>
  </si>
  <si>
    <t>Prov Gener Cred Consumo Componente Fijo</t>
  </si>
  <si>
    <t>14091901</t>
  </si>
  <si>
    <t>Provisión voluntaria por reasignación de provisiones</t>
  </si>
  <si>
    <t>15070101</t>
  </si>
  <si>
    <t>Reclamos a Terceros</t>
  </si>
  <si>
    <t>15070201</t>
  </si>
  <si>
    <t>Adelanto de sueldo</t>
  </si>
  <si>
    <t>15070202</t>
  </si>
  <si>
    <t>Adelanto de Vacaciones</t>
  </si>
  <si>
    <t>15070203</t>
  </si>
  <si>
    <t>Cuentas por Cobrar al Personal</t>
  </si>
  <si>
    <t>15070204</t>
  </si>
  <si>
    <t>Adelanto de Gratificación</t>
  </si>
  <si>
    <t>15071901</t>
  </si>
  <si>
    <t>Rimac Seguros</t>
  </si>
  <si>
    <t>15071902</t>
  </si>
  <si>
    <t>Comercializ y Distribuidora Bolognesi - Refin SUNAT</t>
  </si>
  <si>
    <t>15071903</t>
  </si>
  <si>
    <t>Club Crl. Francisco Bolognesi</t>
  </si>
  <si>
    <t>15071905</t>
  </si>
  <si>
    <t>Serviperú</t>
  </si>
  <si>
    <t>15071907</t>
  </si>
  <si>
    <t>Garantia por Adelanto Alquiler</t>
  </si>
  <si>
    <t>15071908</t>
  </si>
  <si>
    <t>Por Cobrar Terceros</t>
  </si>
  <si>
    <t>15071909</t>
  </si>
  <si>
    <t>Comercializ y Distribuidora Bolognesi</t>
  </si>
  <si>
    <t>15071910</t>
  </si>
  <si>
    <t>Otras Cuentas por Cobrar</t>
  </si>
  <si>
    <t>15071911</t>
  </si>
  <si>
    <t>Por Cobrar Aval - Prev. Social</t>
  </si>
  <si>
    <t>15071912</t>
  </si>
  <si>
    <t>Adelanto Devolución -  Socio</t>
  </si>
  <si>
    <t>15071913</t>
  </si>
  <si>
    <t>Subsidios por Cobrar</t>
  </si>
  <si>
    <t>15071915</t>
  </si>
  <si>
    <t>Cuenta por Cobrar - Capital Trabajo Cafetin</t>
  </si>
  <si>
    <t>15071916</t>
  </si>
  <si>
    <t>Por Cobrar - Socio</t>
  </si>
  <si>
    <t>15071917</t>
  </si>
  <si>
    <t>Por Cobrar Fondo del Sorteo</t>
  </si>
  <si>
    <t>15071918</t>
  </si>
  <si>
    <t>Por Cobrar Fenacrep</t>
  </si>
  <si>
    <t>15071919</t>
  </si>
  <si>
    <t>Por Cobrar Socios Ap.</t>
  </si>
  <si>
    <t>15071961</t>
  </si>
  <si>
    <t>DITELE</t>
  </si>
  <si>
    <t>15071962</t>
  </si>
  <si>
    <t>DINI</t>
  </si>
  <si>
    <t>15071963</t>
  </si>
  <si>
    <t>Caja Pensiones Militar Policia</t>
  </si>
  <si>
    <t>15071964</t>
  </si>
  <si>
    <t>Comando Conjunto FFAA</t>
  </si>
  <si>
    <t>15071965</t>
  </si>
  <si>
    <t>F.A.P.</t>
  </si>
  <si>
    <t>15071966</t>
  </si>
  <si>
    <t>MARINA</t>
  </si>
  <si>
    <t>15071967</t>
  </si>
  <si>
    <t>Coopac Bolognesi - Préstamos al Personal</t>
  </si>
  <si>
    <t>15071968</t>
  </si>
  <si>
    <t>OPREFA</t>
  </si>
  <si>
    <t>1509071901</t>
  </si>
  <si>
    <t>Prov para Cuentas por Cobrar Diversas</t>
  </si>
  <si>
    <t>1509071902</t>
  </si>
  <si>
    <t>Prov Cuenta por Cobrar  Dv Créd por Cobrar</t>
  </si>
  <si>
    <t>17010206</t>
  </si>
  <si>
    <t>Comercializadora y Distribuidora</t>
  </si>
  <si>
    <t>17010207</t>
  </si>
  <si>
    <t>Proyecto Policlinico</t>
  </si>
  <si>
    <t>17010208</t>
  </si>
  <si>
    <t>Rumbo Inversiones Crl. Francisco bolognesi Ltda.</t>
  </si>
  <si>
    <t>18010101</t>
  </si>
  <si>
    <t>Terreno Av. Bolognesi N   238 - Barranco</t>
  </si>
  <si>
    <t>18010102</t>
  </si>
  <si>
    <t>Terreno Av. Bolognesi N. 202 - Barranco</t>
  </si>
  <si>
    <t>18010103</t>
  </si>
  <si>
    <t>Terreno Arequipa</t>
  </si>
  <si>
    <t>18010104</t>
  </si>
  <si>
    <t>Terreno Piura</t>
  </si>
  <si>
    <t>18010105</t>
  </si>
  <si>
    <t>Terreno Iquitos</t>
  </si>
  <si>
    <t>18010106</t>
  </si>
  <si>
    <t>Terreno Ayacucho</t>
  </si>
  <si>
    <t>18010107</t>
  </si>
  <si>
    <t>Terreno Tarapoto</t>
  </si>
  <si>
    <t>18010108</t>
  </si>
  <si>
    <t>Terreno AV. Bolognesi 230 Barranco</t>
  </si>
  <si>
    <t>18010109</t>
  </si>
  <si>
    <t>"San Miguel - Av. Los Patriotas Nro. 240 – 242 – 244</t>
  </si>
  <si>
    <t>18010110</t>
  </si>
  <si>
    <t>Terreno Jr. Carabaya Nº 1012 - Lima</t>
  </si>
  <si>
    <t>18010111</t>
  </si>
  <si>
    <t>Terreno La Planicie Piura III Etapa Mz. D-3 Lt.19</t>
  </si>
  <si>
    <t>18010112</t>
  </si>
  <si>
    <t>Terreno La Planicie Piura III Etapa Mz. D-3 Lt.21</t>
  </si>
  <si>
    <t>18010113</t>
  </si>
  <si>
    <t>Terreno La Planicie Piura III Etapa Mz. D-3 Lt.22</t>
  </si>
  <si>
    <t>18010114</t>
  </si>
  <si>
    <t>Terreno La Planicie Piura III Etapa Mz. D-3 Lt.23</t>
  </si>
  <si>
    <t>18010115</t>
  </si>
  <si>
    <t>Terreno La Planicie Piura III Etapa Mz. D-3 Lt.24</t>
  </si>
  <si>
    <t>18010116</t>
  </si>
  <si>
    <t>Terreno La Planicie Piura III Etapa Mz. D-3 Lt.20</t>
  </si>
  <si>
    <t>18020101</t>
  </si>
  <si>
    <t>Edificio Jr. Carabaya</t>
  </si>
  <si>
    <t>18020102</t>
  </si>
  <si>
    <t>Edificio Av Bolognesi N° 238 - Barranco</t>
  </si>
  <si>
    <t>18020103</t>
  </si>
  <si>
    <t>Edificio Arequipa</t>
  </si>
  <si>
    <t>18020104</t>
  </si>
  <si>
    <t>Edificio Piura</t>
  </si>
  <si>
    <t>18020105</t>
  </si>
  <si>
    <t>Edificio Iquitos</t>
  </si>
  <si>
    <t>18020106</t>
  </si>
  <si>
    <t>Edificio  Ayacucho</t>
  </si>
  <si>
    <t>18020107</t>
  </si>
  <si>
    <t>Edificio Tarapoto</t>
  </si>
  <si>
    <t>18020201</t>
  </si>
  <si>
    <t>Instalaciones Jr Carabaya N° 1012 - Lima</t>
  </si>
  <si>
    <t>18020202</t>
  </si>
  <si>
    <t>Instalaciones Av Bolognesi N° 238 - Lima</t>
  </si>
  <si>
    <t>18030101</t>
  </si>
  <si>
    <t>Mobiliario de Oficina</t>
  </si>
  <si>
    <t>18030201</t>
  </si>
  <si>
    <t>Equipo de Cómputo</t>
  </si>
  <si>
    <t>18030901</t>
  </si>
  <si>
    <t>Equipos de Oficina</t>
  </si>
  <si>
    <t>18030902</t>
  </si>
  <si>
    <t>Otros Bienes de Oficina</t>
  </si>
  <si>
    <t>18030903</t>
  </si>
  <si>
    <t>Equipos de Comunicación</t>
  </si>
  <si>
    <t>18030904</t>
  </si>
  <si>
    <t>Otros Equipos Diversos</t>
  </si>
  <si>
    <t>18030905</t>
  </si>
  <si>
    <t>Equipo Area Medicina Física y Rehabilitación</t>
  </si>
  <si>
    <t>18030906</t>
  </si>
  <si>
    <t>Equipo Diversos Área Peluquería</t>
  </si>
  <si>
    <t>18030907</t>
  </si>
  <si>
    <t>Equipos Diversos Cafetería Bolognesi 238 Barranco</t>
  </si>
  <si>
    <t>18040101</t>
  </si>
  <si>
    <t>Vehículos</t>
  </si>
  <si>
    <t>180601010101</t>
  </si>
  <si>
    <t>Av. Bolognesi Nº 202 - Barranco</t>
  </si>
  <si>
    <t>180601010102</t>
  </si>
  <si>
    <t>Av. Ayacucho, Dist Morales Prov Tarapoto</t>
  </si>
  <si>
    <t>180601010103</t>
  </si>
  <si>
    <t>Av. Bolognesi Nº 230 - Barranco</t>
  </si>
  <si>
    <t>180601010104</t>
  </si>
  <si>
    <t>Av.Los Patriotas N° 240-242-244 Urb. Maranga 2da Etapa - San Miguel</t>
  </si>
  <si>
    <t>180601010105</t>
  </si>
  <si>
    <t>Ca.Lima 1016  In.01 Cent.Piua-Piura</t>
  </si>
  <si>
    <t>180601010106</t>
  </si>
  <si>
    <t>Jr Carabaya Nº     - Playa Carabaya</t>
  </si>
  <si>
    <t>180601010107</t>
  </si>
  <si>
    <t>Av. Bolognesi N° 238 - Barranco</t>
  </si>
  <si>
    <t>1809020101</t>
  </si>
  <si>
    <t>Deprec Acum Edif Jr Carabaya Nº 1012</t>
  </si>
  <si>
    <t>1809020102</t>
  </si>
  <si>
    <t>Deprec Acum Edif Av Bolognesi Nº 238</t>
  </si>
  <si>
    <t>1809020103</t>
  </si>
  <si>
    <t>Deprec Acum Edif Arequipa</t>
  </si>
  <si>
    <t>1809020104</t>
  </si>
  <si>
    <t>Deprec Acum Edif Piura</t>
  </si>
  <si>
    <t>1809020105</t>
  </si>
  <si>
    <t>Deprec Acum Edif Iquitos</t>
  </si>
  <si>
    <t>1809020106</t>
  </si>
  <si>
    <t>Deprec Acum Edif Ayacucho</t>
  </si>
  <si>
    <t>1809020107</t>
  </si>
  <si>
    <t>Deprec Acum Edif Tarapoto</t>
  </si>
  <si>
    <t>1809020201</t>
  </si>
  <si>
    <t>Deprec Acum Instalac Jr Carabaya Nº 1012</t>
  </si>
  <si>
    <t>1809020202</t>
  </si>
  <si>
    <t>Deprec Acum Instalac Av Bolognesi Nº 238</t>
  </si>
  <si>
    <t>18090301</t>
  </si>
  <si>
    <t>Deprec Acum Mobiliario de Oficina</t>
  </si>
  <si>
    <t>18090302</t>
  </si>
  <si>
    <t>Deprec Acum Equipo de Cómputo</t>
  </si>
  <si>
    <t>18090303</t>
  </si>
  <si>
    <t>Deprec Acum Equipo de Oficina</t>
  </si>
  <si>
    <t>18090304</t>
  </si>
  <si>
    <t>Deprec Acum Otros Bienes de Oficina</t>
  </si>
  <si>
    <t>18090305</t>
  </si>
  <si>
    <t>Deprec Acum Equipos de Comunicación</t>
  </si>
  <si>
    <t>18090306</t>
  </si>
  <si>
    <t>Deprec Acum Otros Equipos Diversos</t>
  </si>
  <si>
    <t>18090307</t>
  </si>
  <si>
    <t>Deprec Acum Equipo Ar Médica y Rehabilitac</t>
  </si>
  <si>
    <t>18090308</t>
  </si>
  <si>
    <t>Deprec Acum Equipo Divers Peluquería</t>
  </si>
  <si>
    <t>18090309</t>
  </si>
  <si>
    <t>Deprec Acum Equipo Divers Cafetería</t>
  </si>
  <si>
    <t>1809090401</t>
  </si>
  <si>
    <t>Deprec Acum Vehiculos</t>
  </si>
  <si>
    <t>19010601</t>
  </si>
  <si>
    <t>Entregas a Rendir Cuenta - Administrac Lima</t>
  </si>
  <si>
    <t>19010602</t>
  </si>
  <si>
    <t>Entregas a Rendir Cuenta - Consejos y Comités</t>
  </si>
  <si>
    <t>19010603</t>
  </si>
  <si>
    <t>Entregas a Rendir Cuenta - Campañas</t>
  </si>
  <si>
    <t>19010604</t>
  </si>
  <si>
    <t>Entregas a Rendir Cuenta - Día de la Madre</t>
  </si>
  <si>
    <t>19010605</t>
  </si>
  <si>
    <t>Entregas a Rendir Cuenta - Fiestas Navideña</t>
  </si>
  <si>
    <t>19010607</t>
  </si>
  <si>
    <t>Entregas a Rendir - Asesores y Funcionarios</t>
  </si>
  <si>
    <t>19010609</t>
  </si>
  <si>
    <t>Entregas a Rendir Cuenta - Administrac Provincia</t>
  </si>
  <si>
    <t>19010613</t>
  </si>
  <si>
    <t>Entregas a Rendir Cuenta - Teceros</t>
  </si>
  <si>
    <t>19010614</t>
  </si>
  <si>
    <t>Entregas a Rendir Cuenta - Fiestas Patrias</t>
  </si>
  <si>
    <t>19010701</t>
  </si>
  <si>
    <t>Suministros - Utiles de Oficina</t>
  </si>
  <si>
    <t>19010704</t>
  </si>
  <si>
    <t>Suministros - Diversos</t>
  </si>
  <si>
    <t>19010705</t>
  </si>
  <si>
    <t>Suministros - Bazar Merchandising</t>
  </si>
  <si>
    <t>1903020201</t>
  </si>
  <si>
    <t>Pagos a Cuenta del Impuesto a la Renta</t>
  </si>
  <si>
    <t>1903020202</t>
  </si>
  <si>
    <t>Impuesto Temporal Activos Netos - ITAN</t>
  </si>
  <si>
    <t>19040301</t>
  </si>
  <si>
    <t>Software - Globalsof playa estacionamientos</t>
  </si>
  <si>
    <t>19040903</t>
  </si>
  <si>
    <t>(Amortización y deterioro acumulado de software)</t>
  </si>
  <si>
    <t>1907090101</t>
  </si>
  <si>
    <t>1907090102</t>
  </si>
  <si>
    <t>Suministros - Medicamentos</t>
  </si>
  <si>
    <t>1907090103</t>
  </si>
  <si>
    <t>Suministros - Computo Electronico</t>
  </si>
  <si>
    <t>1907090104</t>
  </si>
  <si>
    <t>Suministros - Utiles de Aseo</t>
  </si>
  <si>
    <t>1907090106</t>
  </si>
  <si>
    <t>Suministros - Institucional</t>
  </si>
  <si>
    <t>1907090107</t>
  </si>
  <si>
    <t>1907090108</t>
  </si>
  <si>
    <t>1907090109</t>
  </si>
  <si>
    <t>Suministros - Prevención Covid</t>
  </si>
  <si>
    <t>19080101</t>
  </si>
  <si>
    <t>Cheques Rechazados</t>
  </si>
  <si>
    <t>19080501</t>
  </si>
  <si>
    <t>Diferencias por regularizar</t>
  </si>
  <si>
    <t>19080601</t>
  </si>
  <si>
    <t>Adelanto a Proveedores - Servicios</t>
  </si>
  <si>
    <t>19080602</t>
  </si>
  <si>
    <t>Adelanto de Honorarios</t>
  </si>
  <si>
    <t>19080710</t>
  </si>
  <si>
    <t>Operaciones por Liquidar</t>
  </si>
  <si>
    <t>19080711</t>
  </si>
  <si>
    <t>Operaciones por liquidar - Prestamo</t>
  </si>
  <si>
    <t>19080712</t>
  </si>
  <si>
    <t>Por Liquidar - Terreno Piura</t>
  </si>
  <si>
    <t>19080713</t>
  </si>
  <si>
    <t>Por Liquidar - Software Integrado IGIM F/ IGIM C</t>
  </si>
  <si>
    <t>19080714</t>
  </si>
  <si>
    <t>Por Liquidar - Software Integrado CODERS FREE</t>
  </si>
  <si>
    <t>19090101</t>
  </si>
  <si>
    <t>Oficina Lima</t>
  </si>
  <si>
    <t>19090102</t>
  </si>
  <si>
    <t>Oficina Piura</t>
  </si>
  <si>
    <t>19090103</t>
  </si>
  <si>
    <t>Oficina Iquitos</t>
  </si>
  <si>
    <t>19090104</t>
  </si>
  <si>
    <t>Oficina Ayacucho</t>
  </si>
  <si>
    <t>19090105</t>
  </si>
  <si>
    <t>Oficina Arequipa</t>
  </si>
  <si>
    <t>19090106</t>
  </si>
  <si>
    <t>Oficina Carabaya</t>
  </si>
  <si>
    <t>19090107</t>
  </si>
  <si>
    <t>Oficina Tarapoto</t>
  </si>
  <si>
    <t>19090108</t>
  </si>
  <si>
    <t>Oficina Huancayo</t>
  </si>
  <si>
    <t>19090109</t>
  </si>
  <si>
    <t>Oficina Tarapoto - Hotel</t>
  </si>
  <si>
    <t>19090110</t>
  </si>
  <si>
    <t>Oficina Playa Barranco</t>
  </si>
  <si>
    <t>19090111</t>
  </si>
  <si>
    <t>Oficina Piura - Hotel</t>
  </si>
  <si>
    <t>21020101</t>
  </si>
  <si>
    <t>Dep Ahorro Activo, pers natur y jurid sin fines lucro</t>
  </si>
  <si>
    <t>21020201</t>
  </si>
  <si>
    <t>Dep Ahorro Inactivo, pers natur y jurid sin fines lucro</t>
  </si>
  <si>
    <t>21030301</t>
  </si>
  <si>
    <t>Personas naturales y jurídicas privadas sin fines de lucro</t>
  </si>
  <si>
    <t>2103030101</t>
  </si>
  <si>
    <t>Depósito Plazo  90 Días</t>
  </si>
  <si>
    <t>2103030102</t>
  </si>
  <si>
    <t>Depósito Plazo 180 Días</t>
  </si>
  <si>
    <t>2103030104</t>
  </si>
  <si>
    <t>Depósito Plazo 360 Días</t>
  </si>
  <si>
    <t>2103030105</t>
  </si>
  <si>
    <t>Depósito Plazo &gt; 360 Días</t>
  </si>
  <si>
    <t>21080301</t>
  </si>
  <si>
    <t>2108030101</t>
  </si>
  <si>
    <t>Int x Pagar Depósito a Plazo     90 Días</t>
  </si>
  <si>
    <t>2108030102</t>
  </si>
  <si>
    <t>Int x Pagar Depósito a Plazo   180 Días</t>
  </si>
  <si>
    <t>2108030104</t>
  </si>
  <si>
    <t>Int x Pagar Depósito a Plazo   360 Días</t>
  </si>
  <si>
    <t>2108030105</t>
  </si>
  <si>
    <t>Int x Pagar Depósito a Plazo &gt; 360 Días</t>
  </si>
  <si>
    <t>25041901</t>
  </si>
  <si>
    <t>Seguros por Cuenta de Prestatarios - Desgravamen</t>
  </si>
  <si>
    <t>25041902</t>
  </si>
  <si>
    <t>Garantías por alquileres</t>
  </si>
  <si>
    <t>25041903</t>
  </si>
  <si>
    <t>Fondo de  Sorteo</t>
  </si>
  <si>
    <t>25041904</t>
  </si>
  <si>
    <t>Fondo Club Deportivo Bolognesi</t>
  </si>
  <si>
    <t>25041908</t>
  </si>
  <si>
    <t>Cta x Pagar Conv - Transporte Cruz del Sur</t>
  </si>
  <si>
    <t>25041912</t>
  </si>
  <si>
    <t>Cta x Pagar Covn. - VACARO MOTOR SRL.</t>
  </si>
  <si>
    <t>25041915</t>
  </si>
  <si>
    <t>Cta x Pagar / Rimac Seguros</t>
  </si>
  <si>
    <t>25041920</t>
  </si>
  <si>
    <t>Cuenta por Pagar Ex-Socio</t>
  </si>
  <si>
    <t>25041921</t>
  </si>
  <si>
    <t>Cta x Pagar - FAP</t>
  </si>
  <si>
    <t>25041922</t>
  </si>
  <si>
    <t>Cta. x Pagar - Cafeteria Colabadores</t>
  </si>
  <si>
    <t>25041923</t>
  </si>
  <si>
    <t>Cta x Pagar - Colaborador</t>
  </si>
  <si>
    <t>25041925</t>
  </si>
  <si>
    <t>Cta x Pagar - DINI</t>
  </si>
  <si>
    <t>25041926</t>
  </si>
  <si>
    <t>Cta x Pagar - Prestamo Colaboradores</t>
  </si>
  <si>
    <t>25041927</t>
  </si>
  <si>
    <t>CtaxPagar - Cuota Cero</t>
  </si>
  <si>
    <t>25041928</t>
  </si>
  <si>
    <t>Cta.xPagar - DITELE</t>
  </si>
  <si>
    <t>25041929</t>
  </si>
  <si>
    <t>Cta x Pagar - Impuesto por Pagar</t>
  </si>
  <si>
    <t>25041930</t>
  </si>
  <si>
    <t>Cta x Pagar - RANA Y MAS ASOC.</t>
  </si>
  <si>
    <t>25041931</t>
  </si>
  <si>
    <t>Cta x Pagar - Clientes Varios</t>
  </si>
  <si>
    <t>25050201</t>
  </si>
  <si>
    <t>Compensación por tiempo de servicios</t>
  </si>
  <si>
    <t>25050401</t>
  </si>
  <si>
    <t>Remuneraciones por Pagar</t>
  </si>
  <si>
    <t>25050402</t>
  </si>
  <si>
    <t>Gratificaciones por Pagar</t>
  </si>
  <si>
    <t>25050403</t>
  </si>
  <si>
    <t>Vacaciones por Pagar</t>
  </si>
  <si>
    <t>25050404</t>
  </si>
  <si>
    <t>Descuento en Remuneraciones</t>
  </si>
  <si>
    <t>25050501</t>
  </si>
  <si>
    <t>Honorarios por Pagar</t>
  </si>
  <si>
    <t>25060101</t>
  </si>
  <si>
    <t>Proveedores de Bienes</t>
  </si>
  <si>
    <t>25060201</t>
  </si>
  <si>
    <t>Proveedores de servicios por pagar</t>
  </si>
  <si>
    <t>25070302</t>
  </si>
  <si>
    <t>Impuesto General a las Ventas</t>
  </si>
  <si>
    <t>2507030301</t>
  </si>
  <si>
    <t>ESSALUD</t>
  </si>
  <si>
    <t>25070501</t>
  </si>
  <si>
    <t>Retención Renta 4ta Categoria</t>
  </si>
  <si>
    <t>25070502</t>
  </si>
  <si>
    <t>Retención Renta 5ta Categoria</t>
  </si>
  <si>
    <t>25070503</t>
  </si>
  <si>
    <t>O.N.P.</t>
  </si>
  <si>
    <t>25070504</t>
  </si>
  <si>
    <t>AFP Retenciones</t>
  </si>
  <si>
    <t>25070601</t>
  </si>
  <si>
    <t>Detracciones</t>
  </si>
  <si>
    <t>2703040101</t>
  </si>
  <si>
    <t>Fondo Previsión Social</t>
  </si>
  <si>
    <t>2703040102</t>
  </si>
  <si>
    <t>Seguro Préstamo</t>
  </si>
  <si>
    <t>2703040105</t>
  </si>
  <si>
    <t>Servicio Socio y Familiar - Odontología</t>
  </si>
  <si>
    <t>2703040107</t>
  </si>
  <si>
    <t>Servicio Socio y Familiar - Terapia Fisica</t>
  </si>
  <si>
    <t>29010201</t>
  </si>
  <si>
    <t>Interés cobrado por anticip créditos vigentes</t>
  </si>
  <si>
    <t>29080601</t>
  </si>
  <si>
    <t>Entrega por Identificar - Bco Nación</t>
  </si>
  <si>
    <t>29080602</t>
  </si>
  <si>
    <t>Entrega por Identificar - Bco Crédito</t>
  </si>
  <si>
    <t>29080604</t>
  </si>
  <si>
    <t>Entrega por Identificar - Bco BVVA</t>
  </si>
  <si>
    <t>29080605</t>
  </si>
  <si>
    <t>Entrega por Identificar - Bco Comercio</t>
  </si>
  <si>
    <t>29080606</t>
  </si>
  <si>
    <t>Entrega por Identificar - Bco Interbank</t>
  </si>
  <si>
    <t>2908070101</t>
  </si>
  <si>
    <t>Operac x Liquidar</t>
  </si>
  <si>
    <t>2908070103</t>
  </si>
  <si>
    <t>Operaciones por Liquidar - Créditos</t>
  </si>
  <si>
    <t>2908070104</t>
  </si>
  <si>
    <t>Por revisar</t>
  </si>
  <si>
    <t>2908070201</t>
  </si>
  <si>
    <t>Otras Cuentas por Liquidar - Bco Nacion</t>
  </si>
  <si>
    <t>2908070202</t>
  </si>
  <si>
    <t>Otras Cuentas por Liquidar - Bco Credito</t>
  </si>
  <si>
    <t>2908070204</t>
  </si>
  <si>
    <t>Otras Cuentas por Liquidar - Bco BBVA</t>
  </si>
  <si>
    <t>2908070205</t>
  </si>
  <si>
    <t>Otras Cuentas por Liquidar - Bco Scotiabank</t>
  </si>
  <si>
    <t>2908070206</t>
  </si>
  <si>
    <t>Otras Cuentas por Liquidar - Bco Interbank</t>
  </si>
  <si>
    <t>2908070207</t>
  </si>
  <si>
    <t>Otras Cuentas por Liquidar - Bco Nacion (Detracción)</t>
  </si>
  <si>
    <t>29080704</t>
  </si>
  <si>
    <t>Por liquidar - Prestamos</t>
  </si>
  <si>
    <t>29080901</t>
  </si>
  <si>
    <t>Tranf. Internas - Operaciones Colocaciones</t>
  </si>
  <si>
    <t>29080902</t>
  </si>
  <si>
    <t>Tranf. Internas - Devoluciones</t>
  </si>
  <si>
    <t>29080903</t>
  </si>
  <si>
    <t>Tranf. Internas - Ahorro Cafeteria</t>
  </si>
  <si>
    <t>29080904</t>
  </si>
  <si>
    <t>Tranf. Internas - Cafateria SNACKS</t>
  </si>
  <si>
    <t>29080905</t>
  </si>
  <si>
    <t>Tranf. Internas - Recaudación cobranzas</t>
  </si>
  <si>
    <t>31010101</t>
  </si>
  <si>
    <t>Aporte Ordinario</t>
  </si>
  <si>
    <t>33010201</t>
  </si>
  <si>
    <t>Reserva por Remanentes</t>
  </si>
  <si>
    <t>3301090101</t>
  </si>
  <si>
    <t>Otras Reservas</t>
  </si>
  <si>
    <t>38020101</t>
  </si>
  <si>
    <t>Pérdida Acumulada</t>
  </si>
  <si>
    <t>41010201</t>
  </si>
  <si>
    <t>Interes Depósito Ahorro Activos</t>
  </si>
  <si>
    <t>41010303</t>
  </si>
  <si>
    <t>Interés Deposito Plazo Fijo</t>
  </si>
  <si>
    <t>4101030301</t>
  </si>
  <si>
    <t>41010309</t>
  </si>
  <si>
    <t>Otras obligaciones con los socios por cuentas a plazo.</t>
  </si>
  <si>
    <t>41010704</t>
  </si>
  <si>
    <t>Depósitos en garantía</t>
  </si>
  <si>
    <t>41080101</t>
  </si>
  <si>
    <t>Diferencia de cambio por operaciones spot de moneda extranjera</t>
  </si>
  <si>
    <t>41080409</t>
  </si>
  <si>
    <t>Dif Cambio Otros</t>
  </si>
  <si>
    <t>41090501</t>
  </si>
  <si>
    <t>Primas para Fondo de Seguro Depósitos</t>
  </si>
  <si>
    <t>42020101</t>
  </si>
  <si>
    <t>Mantenimiento de Cuentas</t>
  </si>
  <si>
    <t>42021201</t>
  </si>
  <si>
    <t>Prosegur - Remesas</t>
  </si>
  <si>
    <t>42022901</t>
  </si>
  <si>
    <t>Comisión Serv Bancarios</t>
  </si>
  <si>
    <t>4301010313</t>
  </si>
  <si>
    <t>Valores y títulos emitidos por Coopac</t>
  </si>
  <si>
    <t>43020301</t>
  </si>
  <si>
    <t>Créd Consumo Provisión específica</t>
  </si>
  <si>
    <t>4302030201</t>
  </si>
  <si>
    <t>Créd Consumo Prov Gen Componente Fijo</t>
  </si>
  <si>
    <t>43030109</t>
  </si>
  <si>
    <t>Provisión para incobrabilidad de otras cuentas por cobrar</t>
  </si>
  <si>
    <t>4401020101</t>
  </si>
  <si>
    <t>Deprec Edif Jr Carabaya</t>
  </si>
  <si>
    <t>4401020102</t>
  </si>
  <si>
    <t>Deprec Edif Av Bolognesi Nº 238</t>
  </si>
  <si>
    <t>4401020103</t>
  </si>
  <si>
    <t>Deprec Edif Arequipa</t>
  </si>
  <si>
    <t>4401020104</t>
  </si>
  <si>
    <t>Deprec Edif Piura</t>
  </si>
  <si>
    <t>4401020105</t>
  </si>
  <si>
    <t>Deprec Edif Iquitos</t>
  </si>
  <si>
    <t>4401020106</t>
  </si>
  <si>
    <t>Deprec Edif Ayacucho</t>
  </si>
  <si>
    <t>4401020107</t>
  </si>
  <si>
    <t>Deprec Edif Tarapoto</t>
  </si>
  <si>
    <t>4401020201</t>
  </si>
  <si>
    <t>Deprec Instalac Jr Carabaya Nº 1012</t>
  </si>
  <si>
    <t>4401020202</t>
  </si>
  <si>
    <t>Deprec Instalac Av Bolognesi Nº 238</t>
  </si>
  <si>
    <t>44010301</t>
  </si>
  <si>
    <t>Deprec. Mobliario de Oficina</t>
  </si>
  <si>
    <t>44010302</t>
  </si>
  <si>
    <t>Deprec. Equipo de Computo</t>
  </si>
  <si>
    <t>44010303</t>
  </si>
  <si>
    <t>Deprec. Equipo de Oficina</t>
  </si>
  <si>
    <t>44010304</t>
  </si>
  <si>
    <t>Deprec. Otros Bienes de Oficina</t>
  </si>
  <si>
    <t>44010305</t>
  </si>
  <si>
    <t>44010306</t>
  </si>
  <si>
    <t>Deprec. Equipo de Comunicacion</t>
  </si>
  <si>
    <t>44010307</t>
  </si>
  <si>
    <t>Deprec. Otr Equipos Diversos</t>
  </si>
  <si>
    <t>44010308</t>
  </si>
  <si>
    <t>Deprec Equip Area Medicina Fis y Reha</t>
  </si>
  <si>
    <t>44010309</t>
  </si>
  <si>
    <t>Deprec Equip Divers Area Peluqueria</t>
  </si>
  <si>
    <t>44010310</t>
  </si>
  <si>
    <t>Deprec Equip Divers Cafeteria</t>
  </si>
  <si>
    <t>440303</t>
  </si>
  <si>
    <t>Amortización de gastos por software</t>
  </si>
  <si>
    <t>44010401</t>
  </si>
  <si>
    <t>Depreciacion de Vehiculos</t>
  </si>
  <si>
    <t>440401</t>
  </si>
  <si>
    <t>Deterioro de valor de terrenos</t>
  </si>
  <si>
    <t>45010101</t>
  </si>
  <si>
    <t>Básica</t>
  </si>
  <si>
    <t>4501010202</t>
  </si>
  <si>
    <t>Bonificación al Cargo</t>
  </si>
  <si>
    <t>4501010203</t>
  </si>
  <si>
    <t>Bonificación por Riesgo de Caja</t>
  </si>
  <si>
    <t>4501010204</t>
  </si>
  <si>
    <t>Bonificación Extraordinaria Ley 29351</t>
  </si>
  <si>
    <t>4501010205</t>
  </si>
  <si>
    <t>Otras Bonificaciones</t>
  </si>
  <si>
    <t>4501010301</t>
  </si>
  <si>
    <t>Gratificaciones Ordinarias</t>
  </si>
  <si>
    <t>4501010401</t>
  </si>
  <si>
    <t>Asignación Familiar</t>
  </si>
  <si>
    <t>45010105</t>
  </si>
  <si>
    <t>Horas extras</t>
  </si>
  <si>
    <t>45010201</t>
  </si>
  <si>
    <t>Compensación Vacacional</t>
  </si>
  <si>
    <t>45010301</t>
  </si>
  <si>
    <t>Seguro Vida Ley  DL 688</t>
  </si>
  <si>
    <t>4501040101</t>
  </si>
  <si>
    <t>45010402</t>
  </si>
  <si>
    <t>AFP .</t>
  </si>
  <si>
    <t>45010501</t>
  </si>
  <si>
    <t>Compensación por Tiempo de Servicios</t>
  </si>
  <si>
    <t>45010901</t>
  </si>
  <si>
    <t>Refrigerio de Personal</t>
  </si>
  <si>
    <t>45010902</t>
  </si>
  <si>
    <t>Uniformes</t>
  </si>
  <si>
    <t>45010903</t>
  </si>
  <si>
    <t>Asistencia médica</t>
  </si>
  <si>
    <t>45010904</t>
  </si>
  <si>
    <t>Capacitación</t>
  </si>
  <si>
    <t>45010906</t>
  </si>
  <si>
    <t>Atenciones al Personal</t>
  </si>
  <si>
    <t>4501090901</t>
  </si>
  <si>
    <t>Otros Gastos del Personal</t>
  </si>
  <si>
    <t>4501090908</t>
  </si>
  <si>
    <t>Indemnizaciones Laborales</t>
  </si>
  <si>
    <t>4501090909</t>
  </si>
  <si>
    <t>Indemnización Vacaciones no Gozadas</t>
  </si>
  <si>
    <t>4501090910</t>
  </si>
  <si>
    <t>Abono a Titulo Gratuito D.S. 001-97 Tr.57</t>
  </si>
  <si>
    <t>45020301</t>
  </si>
  <si>
    <t>Gastos de atenciones</t>
  </si>
  <si>
    <t>45020302</t>
  </si>
  <si>
    <t>Gastos de representación</t>
  </si>
  <si>
    <t>45020601</t>
  </si>
  <si>
    <t>Viáticos Consejo de Administración</t>
  </si>
  <si>
    <t>45020602</t>
  </si>
  <si>
    <t>Viáticos Consejo de Vigilancia</t>
  </si>
  <si>
    <t>45020603</t>
  </si>
  <si>
    <t>Viáticos Comité de Educación</t>
  </si>
  <si>
    <t>45020604</t>
  </si>
  <si>
    <t>Viáticos Comité Electoral</t>
  </si>
  <si>
    <t>45020701</t>
  </si>
  <si>
    <t>Pasajes Consejo de Administración</t>
  </si>
  <si>
    <t>45020702</t>
  </si>
  <si>
    <t>Pasajes Consejo de Vigilancia</t>
  </si>
  <si>
    <t>45020703</t>
  </si>
  <si>
    <t>Pasajes Comité de Educación</t>
  </si>
  <si>
    <t>45020704</t>
  </si>
  <si>
    <t>Pasajes Comité Electoral</t>
  </si>
  <si>
    <t>45020801</t>
  </si>
  <si>
    <t>Capacitación a Directivos</t>
  </si>
  <si>
    <t>45020901</t>
  </si>
  <si>
    <t>Refrigerio Consejo Administración</t>
  </si>
  <si>
    <t>45020902</t>
  </si>
  <si>
    <t>Refrigerio Consejo Vigilancia</t>
  </si>
  <si>
    <t>45020903</t>
  </si>
  <si>
    <t>Refrigerio Comité Educación</t>
  </si>
  <si>
    <t>45020906</t>
  </si>
  <si>
    <t>Otros Gst Direc - Utiles Oficina</t>
  </si>
  <si>
    <t>45020907</t>
  </si>
  <si>
    <t>Otros Gst Direc - Combustible</t>
  </si>
  <si>
    <t>45020908</t>
  </si>
  <si>
    <t>Movilidad Delegados</t>
  </si>
  <si>
    <t>45020909</t>
  </si>
  <si>
    <t>Otros Gastos Delegados</t>
  </si>
  <si>
    <t>45020910</t>
  </si>
  <si>
    <t>Otros Gastos Directivos</t>
  </si>
  <si>
    <t>45030101</t>
  </si>
  <si>
    <t>Transporte</t>
  </si>
  <si>
    <t>4503010101</t>
  </si>
  <si>
    <t>Transporte Local</t>
  </si>
  <si>
    <t>4503010102</t>
  </si>
  <si>
    <t>Transporte Nacional</t>
  </si>
  <si>
    <t>4503010104</t>
  </si>
  <si>
    <t>Peaje</t>
  </si>
  <si>
    <t>4503010105</t>
  </si>
  <si>
    <t>Combustible - Diversos</t>
  </si>
  <si>
    <t>45030102</t>
  </si>
  <si>
    <t>Reparación y mantenimiento</t>
  </si>
  <si>
    <t>4503010201</t>
  </si>
  <si>
    <t>Rep. Mant Edif y Construcción</t>
  </si>
  <si>
    <t>4503010202</t>
  </si>
  <si>
    <t>Rep. Mant Equi Ofic y Cómputo</t>
  </si>
  <si>
    <t>4503010203</t>
  </si>
  <si>
    <t>Rep. Mant Equi Diversos</t>
  </si>
  <si>
    <t>4503010204</t>
  </si>
  <si>
    <t>Rep. Mant Unid Transporte</t>
  </si>
  <si>
    <t>45030103</t>
  </si>
  <si>
    <t>Vigilancia y protección</t>
  </si>
  <si>
    <t>45030104</t>
  </si>
  <si>
    <t>Trabajos eventuales</t>
  </si>
  <si>
    <t>4503010401</t>
  </si>
  <si>
    <t>Servicios Administrativos</t>
  </si>
  <si>
    <t>4503010402</t>
  </si>
  <si>
    <t>Servicios Administrativos - TIC</t>
  </si>
  <si>
    <t>45030105</t>
  </si>
  <si>
    <t>Publicidad</t>
  </si>
  <si>
    <t>4503010601</t>
  </si>
  <si>
    <t>Energia Eléctrica</t>
  </si>
  <si>
    <t>4503010602</t>
  </si>
  <si>
    <t>Agua</t>
  </si>
  <si>
    <t>45030107</t>
  </si>
  <si>
    <t>Comunicaciones</t>
  </si>
  <si>
    <t>4503010701</t>
  </si>
  <si>
    <t>Teléfono</t>
  </si>
  <si>
    <t>4503010702</t>
  </si>
  <si>
    <t>Internet / Cable</t>
  </si>
  <si>
    <t>4503010703</t>
  </si>
  <si>
    <t>Central de Riesgos Comerciales</t>
  </si>
  <si>
    <t>4503010704</t>
  </si>
  <si>
    <t>Correspondencia</t>
  </si>
  <si>
    <t>4503010801</t>
  </si>
  <si>
    <t>Contador Publico</t>
  </si>
  <si>
    <t>4503010803</t>
  </si>
  <si>
    <t>Asesor Legal</t>
  </si>
  <si>
    <t>4503010809</t>
  </si>
  <si>
    <t>Otras Asesorías</t>
  </si>
  <si>
    <t>4503010902</t>
  </si>
  <si>
    <t>Seguro Vehicular - SOAT</t>
  </si>
  <si>
    <t>4503011001</t>
  </si>
  <si>
    <t>Alquiler de Oficina</t>
  </si>
  <si>
    <t>4503011002</t>
  </si>
  <si>
    <t>Hospedaje</t>
  </si>
  <si>
    <t>4503011003</t>
  </si>
  <si>
    <t>Alquiler y comisiones POS - IZIPAY SAC</t>
  </si>
  <si>
    <t>4503011101</t>
  </si>
  <si>
    <t>Utiles de Oficina</t>
  </si>
  <si>
    <t>4503011102</t>
  </si>
  <si>
    <t>Impresos y Formularios</t>
  </si>
  <si>
    <t>4503011103</t>
  </si>
  <si>
    <t>Suministros de Cómputo</t>
  </si>
  <si>
    <t>4503011104</t>
  </si>
  <si>
    <t>Utiles de Limpieza y Aseo</t>
  </si>
  <si>
    <t>4503011105</t>
  </si>
  <si>
    <t>Tipeo, Copia y Anillados</t>
  </si>
  <si>
    <t>4503011106</t>
  </si>
  <si>
    <t>Agua Mineral</t>
  </si>
  <si>
    <t>4503011107</t>
  </si>
  <si>
    <t>Activo de Menor Cuantía</t>
  </si>
  <si>
    <t>4503011108</t>
  </si>
  <si>
    <t>Suministros de Ferreteria</t>
  </si>
  <si>
    <t>4503011109</t>
  </si>
  <si>
    <t>4503011110</t>
  </si>
  <si>
    <t>Suministros Prevención COVID</t>
  </si>
  <si>
    <t>4503011111</t>
  </si>
  <si>
    <t>Suministros - Prev. Social Diversos</t>
  </si>
  <si>
    <t>4503011112</t>
  </si>
  <si>
    <t>Suministros-Merchandising</t>
  </si>
  <si>
    <t>45030112</t>
  </si>
  <si>
    <t>45030113</t>
  </si>
  <si>
    <t>Gastos notariales y de registro</t>
  </si>
  <si>
    <t>4503011301</t>
  </si>
  <si>
    <t>Gastos Notariales</t>
  </si>
  <si>
    <t>4503011302</t>
  </si>
  <si>
    <t>Gastos Registrales</t>
  </si>
  <si>
    <t>4503011401</t>
  </si>
  <si>
    <t>Gastos Judiciales Administrativos</t>
  </si>
  <si>
    <t>4503011402</t>
  </si>
  <si>
    <t>Gastos Judiciales Colocaciones</t>
  </si>
  <si>
    <t>45030115</t>
  </si>
  <si>
    <t>Suscripciones y cotizaciones</t>
  </si>
  <si>
    <t>4503011501</t>
  </si>
  <si>
    <t>RENIEC - Consultas Online</t>
  </si>
  <si>
    <t>4503011503</t>
  </si>
  <si>
    <t>Otras suscripciones</t>
  </si>
  <si>
    <t>45030117</t>
  </si>
  <si>
    <t>Limpieza</t>
  </si>
  <si>
    <t>4503011701</t>
  </si>
  <si>
    <t>Limpieza Oficina</t>
  </si>
  <si>
    <t>45030118</t>
  </si>
  <si>
    <t>Procesamiento electrónico</t>
  </si>
  <si>
    <t>45030120</t>
  </si>
  <si>
    <t>Gastos de Viaje</t>
  </si>
  <si>
    <t>4503012001</t>
  </si>
  <si>
    <t>Gastos de Viaje - Funcionarios / Empleados</t>
  </si>
  <si>
    <t>4503012002</t>
  </si>
  <si>
    <t>Gastos de Viaje - Asesores</t>
  </si>
  <si>
    <t>45030121</t>
  </si>
  <si>
    <t>Estudios y proyectos</t>
  </si>
  <si>
    <t>45030122</t>
  </si>
  <si>
    <t>Consultorías</t>
  </si>
  <si>
    <t>4503012303</t>
  </si>
  <si>
    <t>Sociedades Auditoria - Audi. Externa</t>
  </si>
  <si>
    <t>4503012901</t>
  </si>
  <si>
    <t>Otros servicios de Terceros</t>
  </si>
  <si>
    <t>4503012902</t>
  </si>
  <si>
    <t>Otros gastos varios</t>
  </si>
  <si>
    <t>4503012903</t>
  </si>
  <si>
    <t>Implementación Software Global</t>
  </si>
  <si>
    <t>4503012904</t>
  </si>
  <si>
    <t>Celebraciones Diversas</t>
  </si>
  <si>
    <t>4503012905</t>
  </si>
  <si>
    <t>Gastos Gestion Créditos/Cobranza MN</t>
  </si>
  <si>
    <t>4503012907</t>
  </si>
  <si>
    <t>4503012908</t>
  </si>
  <si>
    <t>Rendondeo Bancos</t>
  </si>
  <si>
    <t>4503012909</t>
  </si>
  <si>
    <t>Gastos Campaña Captación - Colocacion</t>
  </si>
  <si>
    <t>4503012910</t>
  </si>
  <si>
    <t>Prev. Social - Suministros Diversos</t>
  </si>
  <si>
    <t>4503012911</t>
  </si>
  <si>
    <t>Atencion a Terceros</t>
  </si>
  <si>
    <t>4503012913</t>
  </si>
  <si>
    <t>Recarga OLO</t>
  </si>
  <si>
    <t>4503012915</t>
  </si>
  <si>
    <t>Alquiler Software Globalsoft</t>
  </si>
  <si>
    <t>4503012916</t>
  </si>
  <si>
    <t>Implementación Windows Server</t>
  </si>
  <si>
    <t>4503012917</t>
  </si>
  <si>
    <t>Celebración Diversa - Día de la Madre</t>
  </si>
  <si>
    <t>4503012920</t>
  </si>
  <si>
    <t>Atención a Socios</t>
  </si>
  <si>
    <t>4503012921</t>
  </si>
  <si>
    <t>Arreglo Floral</t>
  </si>
  <si>
    <t>4503012922</t>
  </si>
  <si>
    <t>Celebración Diversa - Día del Padre</t>
  </si>
  <si>
    <t>4503012924</t>
  </si>
  <si>
    <t>Redondeo Caja - Operaciones</t>
  </si>
  <si>
    <t>4503012925</t>
  </si>
  <si>
    <t>Celebración Diversa - Día del Niño</t>
  </si>
  <si>
    <t>4503012926</t>
  </si>
  <si>
    <t>Donaciones</t>
  </si>
  <si>
    <t>4503012927</t>
  </si>
  <si>
    <t>Implementación Software IGIM</t>
  </si>
  <si>
    <t>Rendondeo Compras - SUNAT</t>
  </si>
  <si>
    <t>45030202</t>
  </si>
  <si>
    <t>45030204</t>
  </si>
  <si>
    <t>45030208</t>
  </si>
  <si>
    <t>Honorarios profesionales</t>
  </si>
  <si>
    <t>45030211</t>
  </si>
  <si>
    <t>Suministros diversos</t>
  </si>
  <si>
    <t>45030214</t>
  </si>
  <si>
    <t>Gastos judiciales</t>
  </si>
  <si>
    <t>45030218</t>
  </si>
  <si>
    <t>45030220</t>
  </si>
  <si>
    <t>45040101</t>
  </si>
  <si>
    <t>45040301</t>
  </si>
  <si>
    <t>Impuesto Patrimonio Predial</t>
  </si>
  <si>
    <t>45040302</t>
  </si>
  <si>
    <t>Arbitrios Municipales</t>
  </si>
  <si>
    <t>45040303</t>
  </si>
  <si>
    <t>Otros Impuestos y Arbitrios Municipales</t>
  </si>
  <si>
    <t>45040304</t>
  </si>
  <si>
    <t>Impuesto Patrimonio Vehicular</t>
  </si>
  <si>
    <t>45040401</t>
  </si>
  <si>
    <t>Contribución a la SBS</t>
  </si>
  <si>
    <t>45040501</t>
  </si>
  <si>
    <t>Supervisión FENACREP</t>
  </si>
  <si>
    <t>45040901</t>
  </si>
  <si>
    <t>Imp Transacc Financieras - ITF</t>
  </si>
  <si>
    <t>45040902</t>
  </si>
  <si>
    <t>Papeletas de transporte</t>
  </si>
  <si>
    <t>45040903</t>
  </si>
  <si>
    <t>Multa Tributaria - SUNAT</t>
  </si>
  <si>
    <t>45040904</t>
  </si>
  <si>
    <t>Infracciones -SAT</t>
  </si>
  <si>
    <t>45040906</t>
  </si>
  <si>
    <t>Multa  SBS</t>
  </si>
  <si>
    <t>45050101</t>
  </si>
  <si>
    <t>Gastos de Elecciones - Impresos</t>
  </si>
  <si>
    <t>45050102</t>
  </si>
  <si>
    <t>Gastos de Elecciones - Comunicaciones</t>
  </si>
  <si>
    <t>45050103</t>
  </si>
  <si>
    <t>Gastos de Elecciones - Refrigerio y Atenciones</t>
  </si>
  <si>
    <t>45050109</t>
  </si>
  <si>
    <t>Gastos de Elecciones - Otros Gastos</t>
  </si>
  <si>
    <t>45050201</t>
  </si>
  <si>
    <t>Gastos Asamblea General - Impresos</t>
  </si>
  <si>
    <t>45050202</t>
  </si>
  <si>
    <t>Gastos Asamblea General - Comunicaciones</t>
  </si>
  <si>
    <t>45050203</t>
  </si>
  <si>
    <t>Gastos Asamblea General - Refrigerios y atenciones</t>
  </si>
  <si>
    <t>45050204</t>
  </si>
  <si>
    <t>Gastos Asamblea General - Alquiler de local y equipos</t>
  </si>
  <si>
    <t>45050205</t>
  </si>
  <si>
    <t>Gastos Asamblea General -Movilidad y Viaticos</t>
  </si>
  <si>
    <t>45050209</t>
  </si>
  <si>
    <t>Gastos Asamblea General - Otros Gastos</t>
  </si>
  <si>
    <t>46060101</t>
  </si>
  <si>
    <t>Perdidas no Cubiertas por Seguros</t>
  </si>
  <si>
    <t>46070101</t>
  </si>
  <si>
    <t>46090105</t>
  </si>
  <si>
    <t>Otros gastos de ejercicios anteriores</t>
  </si>
  <si>
    <t>46090106</t>
  </si>
  <si>
    <t>Ahorro No Migrado</t>
  </si>
  <si>
    <t>46090107</t>
  </si>
  <si>
    <t>Condonación de Intereses Moratorio y Compensatorio</t>
  </si>
  <si>
    <t>46090108</t>
  </si>
  <si>
    <t>Servicio Socio y Familiar - Peluqueria</t>
  </si>
  <si>
    <t>46090109</t>
  </si>
  <si>
    <t>Actividades Educativas y Deportivas con Asociados</t>
  </si>
  <si>
    <t>46090112</t>
  </si>
  <si>
    <t>Otros Gastos diversos de gestión</t>
  </si>
  <si>
    <t>51010306</t>
  </si>
  <si>
    <t>Cooperativas de Ahorro y Crédito</t>
  </si>
  <si>
    <t>5104010306</t>
  </si>
  <si>
    <t>Créd Consumo Préstamos no revolventes</t>
  </si>
  <si>
    <t>51040403</t>
  </si>
  <si>
    <t>Créd Refinanc Créditos de consumo</t>
  </si>
  <si>
    <t>51040503</t>
  </si>
  <si>
    <t>Créd Venc Créditos de consumo</t>
  </si>
  <si>
    <t>51080101</t>
  </si>
  <si>
    <t>51080409</t>
  </si>
  <si>
    <t>Otros - Ajuste contable Niv Tipo Cambio</t>
  </si>
  <si>
    <t>510809</t>
  </si>
  <si>
    <t>Otros</t>
  </si>
  <si>
    <t>52022901</t>
  </si>
  <si>
    <t>Otro Ingreso - Multa Elecciones</t>
  </si>
  <si>
    <t>52022903</t>
  </si>
  <si>
    <t>Curso Basico Coop,</t>
  </si>
  <si>
    <t>52022906</t>
  </si>
  <si>
    <t>Otros Ingresos Servicios</t>
  </si>
  <si>
    <t>52022909</t>
  </si>
  <si>
    <t>Otros Ingresos - Gimnasio Training</t>
  </si>
  <si>
    <t>52022911</t>
  </si>
  <si>
    <t>Curso Avanzado Coop.</t>
  </si>
  <si>
    <t>52022912</t>
  </si>
  <si>
    <t>Otros Ingresos - Por Redondeo</t>
  </si>
  <si>
    <t>52022914</t>
  </si>
  <si>
    <t>Otros Ingresos - Terapia Fisica</t>
  </si>
  <si>
    <t>5302020101</t>
  </si>
  <si>
    <t>Edificios e instalaciones</t>
  </si>
  <si>
    <t>530203</t>
  </si>
  <si>
    <t>Mobiliario y equipo</t>
  </si>
  <si>
    <t>5302030101</t>
  </si>
  <si>
    <t>54040101</t>
  </si>
  <si>
    <t>Reversión Provisión Crédito Directos</t>
  </si>
  <si>
    <t>54050101</t>
  </si>
  <si>
    <t>Reversión por Provis Cuentas por Cobrar</t>
  </si>
  <si>
    <t>56090101</t>
  </si>
  <si>
    <t>Otros Ingresos</t>
  </si>
  <si>
    <t>57020101</t>
  </si>
  <si>
    <t>Servicios Playa Estacionamiento - Carabaya</t>
  </si>
  <si>
    <t>57020102</t>
  </si>
  <si>
    <t>Servicio Playa Estacionamiento - Barranco</t>
  </si>
  <si>
    <t>57020103</t>
  </si>
  <si>
    <t>Servicio Ingreso - Hotel Tarapoto</t>
  </si>
  <si>
    <t>57020104</t>
  </si>
  <si>
    <t>Servicio Ingreso - Hotel Piura</t>
  </si>
  <si>
    <t>81020101</t>
  </si>
  <si>
    <t>Pagares Propios en Cobranz Ofic Princ</t>
  </si>
  <si>
    <t>810402</t>
  </si>
  <si>
    <t>Rendimiento de créditos vencidos en suspenso</t>
  </si>
  <si>
    <t>81040206</t>
  </si>
  <si>
    <t>Rend Créd Vencen en suspenso Consumo</t>
  </si>
  <si>
    <t>81090201</t>
  </si>
  <si>
    <t>Activos de Menor Cuantía</t>
  </si>
  <si>
    <t>810924</t>
  </si>
  <si>
    <t>Créditos - OM N°11162-2020</t>
  </si>
  <si>
    <t>81092901</t>
  </si>
  <si>
    <t>Aporte Club Bolognesi</t>
  </si>
  <si>
    <t>81092902</t>
  </si>
  <si>
    <t>Previsión Social</t>
  </si>
  <si>
    <t>81092903</t>
  </si>
  <si>
    <t>Fondo de Sorteo</t>
  </si>
  <si>
    <t>81092912</t>
  </si>
  <si>
    <t>Cuentas por Cobrar DV</t>
  </si>
  <si>
    <t>82020000</t>
  </si>
  <si>
    <t>Contra Cuenta Valores Propios en Cobranza</t>
  </si>
  <si>
    <t>82040000</t>
  </si>
  <si>
    <t>Contra Cuenta Rend Crédito y Rentas en Suspenso</t>
  </si>
  <si>
    <t>82090000</t>
  </si>
  <si>
    <t>Contra Cuenta Cuentas de Orden Deudoras</t>
  </si>
  <si>
    <t>83040000</t>
  </si>
  <si>
    <t>Contra Cuenta Garantias Recibidas por Operaciones de Credito</t>
  </si>
  <si>
    <t>83090000</t>
  </si>
  <si>
    <t>Contra Cuenta de Otras Cuentas de Orden Acreedoras</t>
  </si>
  <si>
    <t>84040201</t>
  </si>
  <si>
    <t>Primeras hipotecas sobre inmuebles</t>
  </si>
  <si>
    <t>84091901</t>
  </si>
  <si>
    <t>Socios Ganadores de Sorteo</t>
  </si>
  <si>
    <t>84091902</t>
  </si>
  <si>
    <t>Devolución Multa Socio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</si>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</sst>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10"/>
      <name val="Arial Narrow"/>
    </font>
    <font>
      <sz val="10"/>
      <color rgb="FF000000"/>
      <name val="Segoe UI"/>
      <family val="2"/>
    </font>
    <font>
      <sz val="10"/>
      <name val="Segoe UI"/>
    </font>
    <font>
      <sz val="10"/>
      <color rgb="FF000000"/>
      <name val="Arial Narrow"/>
      <family val="2"/>
    </font>
    <font>
      <sz val="10"/>
      <name val="Arial Narrow"/>
    </font>
    <font>
      <b/>
      <sz val="10"/>
      <name val="Arial Narrow"/>
      <family val="2"/>
    </font>
    <font>
      <sz val="10"/>
      <name val="Segoe UI"/>
      <family val="2"/>
    </font>
    <font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shrinkToFit="1"/>
    </xf>
    <xf numFmtId="0" fontId="5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center" vertical="top" wrapText="1"/>
    </xf>
    <xf numFmtId="14" fontId="7" fillId="0" borderId="1" xfId="0" applyNumberFormat="1" applyFont="1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center" vertical="top" wrapText="1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1" fontId="2" fillId="0" borderId="3" xfId="0" applyNumberFormat="1" applyFont="1" applyBorder="1" applyAlignment="1">
      <alignment horizontal="left" vertical="top" shrinkToFit="1"/>
    </xf>
    <xf numFmtId="1" fontId="2" fillId="0" borderId="4" xfId="0" applyNumberFormat="1" applyFont="1" applyBorder="1" applyAlignment="1">
      <alignment horizontal="left" vertical="top" shrinkToFit="1"/>
    </xf>
    <xf numFmtId="1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4" fontId="3" fillId="0" borderId="2" xfId="0" applyNumberFormat="1" applyFont="1" applyBorder="1" applyAlignment="1">
      <alignment horizontal="right" vertical="top" wrapText="1"/>
    </xf>
    <xf numFmtId="0" fontId="7" fillId="0" borderId="2" xfId="0" applyFont="1" applyBorder="1" applyAlignment="1">
      <alignment horizontal="left" vertical="top" wrapText="1"/>
    </xf>
    <xf numFmtId="4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left" vertical="top"/>
    </xf>
    <xf numFmtId="4" fontId="3" fillId="0" borderId="2" xfId="0" applyNumberFormat="1" applyFont="1" applyFill="1" applyBorder="1" applyAlignment="1">
      <alignment horizontal="right" vertical="top" wrapText="1"/>
    </xf>
    <xf numFmtId="1" fontId="2" fillId="2" borderId="1" xfId="0" applyNumberFormat="1" applyFont="1" applyFill="1" applyBorder="1" applyAlignment="1">
      <alignment horizontal="left" vertical="top" shrinkToFit="1"/>
    </xf>
    <xf numFmtId="0" fontId="3" fillId="2" borderId="1" xfId="0" applyFont="1" applyFill="1" applyBorder="1" applyAlignment="1">
      <alignment horizontal="left" vertical="top" wrapText="1"/>
    </xf>
    <xf numFmtId="4" fontId="3" fillId="2" borderId="2" xfId="0" applyNumberFormat="1" applyFont="1" applyFill="1" applyBorder="1" applyAlignment="1">
      <alignment horizontal="right" vertical="top" wrapText="1"/>
    </xf>
    <xf numFmtId="4" fontId="3" fillId="0" borderId="2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50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7" sqref="B7"/>
    </sheetView>
  </sheetViews>
  <sheetFormatPr baseColWidth="10" defaultColWidth="8.77734375" defaultRowHeight="13.2" x14ac:dyDescent="0.25"/>
  <cols>
    <col min="1" max="1" width="15.109375" bestFit="1" customWidth="1"/>
    <col min="2" max="2" width="75.109375" customWidth="1"/>
    <col min="3" max="3" width="16.44140625" style="13" bestFit="1" customWidth="1"/>
    <col min="4" max="4" width="17.6640625" customWidth="1"/>
  </cols>
  <sheetData>
    <row r="1" spans="1:3" s="14" customFormat="1" ht="13.8" x14ac:dyDescent="0.25">
      <c r="A1" s="1" t="s">
        <v>0</v>
      </c>
      <c r="B1" s="1" t="s">
        <v>1</v>
      </c>
      <c r="C1" s="8" t="s">
        <v>2154</v>
      </c>
    </row>
    <row r="2" spans="1:3" ht="15" x14ac:dyDescent="0.25">
      <c r="A2" s="25">
        <v>1</v>
      </c>
      <c r="B2" s="26" t="s">
        <v>2</v>
      </c>
      <c r="C2" s="27">
        <f t="shared" ref="C2" si="0">+C3+C61+C66+C544+C1574+C1671+C1708+C1718+C1821</f>
        <v>137827230.02999997</v>
      </c>
    </row>
    <row r="3" spans="1:3" ht="15" x14ac:dyDescent="0.25">
      <c r="A3" s="2">
        <v>11</v>
      </c>
      <c r="B3" s="3" t="s">
        <v>3</v>
      </c>
      <c r="C3" s="20">
        <f t="shared" ref="C3" si="1">+C4+C15+C44</f>
        <v>25978053.009999998</v>
      </c>
    </row>
    <row r="4" spans="1:3" ht="15" x14ac:dyDescent="0.25">
      <c r="A4" s="2">
        <v>1101</v>
      </c>
      <c r="B4" s="3" t="s">
        <v>4</v>
      </c>
      <c r="C4" s="20">
        <f t="shared" ref="C4" si="2">+C5+C7</f>
        <v>1385104.0599999998</v>
      </c>
    </row>
    <row r="5" spans="1:3" ht="15" x14ac:dyDescent="0.25">
      <c r="A5" s="16">
        <v>110101</v>
      </c>
      <c r="B5" s="3" t="s">
        <v>5</v>
      </c>
      <c r="C5" s="20">
        <f t="shared" ref="C5" si="3">+C6</f>
        <v>1350915.38</v>
      </c>
    </row>
    <row r="6" spans="1:3" s="15" customFormat="1" ht="15" x14ac:dyDescent="0.25">
      <c r="A6" s="18" t="s">
        <v>1194</v>
      </c>
      <c r="B6" s="3" t="s">
        <v>1195</v>
      </c>
      <c r="C6" s="20">
        <v>1350915.38</v>
      </c>
    </row>
    <row r="7" spans="1:3" ht="15" x14ac:dyDescent="0.25">
      <c r="A7" s="17">
        <v>110102</v>
      </c>
      <c r="B7" s="3" t="s">
        <v>6</v>
      </c>
      <c r="C7" s="20">
        <f t="shared" ref="C7" si="4">SUM(C8:C11)</f>
        <v>34188.68</v>
      </c>
    </row>
    <row r="8" spans="1:3" s="15" customFormat="1" ht="15" x14ac:dyDescent="0.25">
      <c r="A8" s="18" t="s">
        <v>1196</v>
      </c>
      <c r="B8" s="3" t="s">
        <v>1197</v>
      </c>
      <c r="C8" s="20">
        <v>3830.3</v>
      </c>
    </row>
    <row r="9" spans="1:3" s="15" customFormat="1" ht="15" x14ac:dyDescent="0.25">
      <c r="A9" s="18" t="s">
        <v>1198</v>
      </c>
      <c r="B9" s="3" t="s">
        <v>1199</v>
      </c>
      <c r="C9" s="20">
        <v>20398.310000000001</v>
      </c>
    </row>
    <row r="10" spans="1:3" s="15" customFormat="1" ht="15" x14ac:dyDescent="0.25">
      <c r="A10" s="18" t="s">
        <v>1200</v>
      </c>
      <c r="B10" s="3" t="s">
        <v>1201</v>
      </c>
      <c r="C10" s="20">
        <v>2425.08</v>
      </c>
    </row>
    <row r="11" spans="1:3" s="15" customFormat="1" ht="15" x14ac:dyDescent="0.25">
      <c r="A11" s="18" t="s">
        <v>1202</v>
      </c>
      <c r="B11" s="3" t="s">
        <v>1203</v>
      </c>
      <c r="C11" s="20">
        <v>7534.99</v>
      </c>
    </row>
    <row r="12" spans="1:3" ht="15" x14ac:dyDescent="0.25">
      <c r="A12" s="2">
        <v>110103</v>
      </c>
      <c r="B12" s="3" t="s">
        <v>7</v>
      </c>
      <c r="C12" s="9"/>
    </row>
    <row r="13" spans="1:3" ht="15" x14ac:dyDescent="0.25">
      <c r="A13" s="2">
        <v>110109</v>
      </c>
      <c r="B13" s="3" t="s">
        <v>8</v>
      </c>
      <c r="C13" s="20">
        <f t="shared" ref="C13" si="5">+C14</f>
        <v>0</v>
      </c>
    </row>
    <row r="14" spans="1:3" s="15" customFormat="1" ht="15" x14ac:dyDescent="0.25">
      <c r="A14" s="18" t="s">
        <v>1204</v>
      </c>
      <c r="B14" s="3" t="s">
        <v>1205</v>
      </c>
      <c r="C14" s="20">
        <v>0</v>
      </c>
    </row>
    <row r="15" spans="1:3" ht="15" x14ac:dyDescent="0.25">
      <c r="A15" s="2">
        <v>1103</v>
      </c>
      <c r="B15" s="7" t="s">
        <v>1192</v>
      </c>
      <c r="C15" s="20">
        <f t="shared" ref="C15" si="6">+C16+C30</f>
        <v>24587569.27</v>
      </c>
    </row>
    <row r="16" spans="1:3" ht="15" x14ac:dyDescent="0.25">
      <c r="A16" s="2">
        <v>110301</v>
      </c>
      <c r="B16" s="3" t="s">
        <v>9</v>
      </c>
      <c r="C16" s="20">
        <f t="shared" ref="C16" si="7">SUM(C17:C26)</f>
        <v>24587569.27</v>
      </c>
    </row>
    <row r="17" spans="1:3" s="15" customFormat="1" ht="15" x14ac:dyDescent="0.25">
      <c r="A17" s="18">
        <v>1103010101</v>
      </c>
      <c r="B17" s="19" t="s">
        <v>1206</v>
      </c>
      <c r="C17" s="20">
        <v>2784583.27</v>
      </c>
    </row>
    <row r="18" spans="1:3" s="15" customFormat="1" ht="15" x14ac:dyDescent="0.25">
      <c r="A18" s="18" t="s">
        <v>1207</v>
      </c>
      <c r="B18" s="19" t="s">
        <v>1208</v>
      </c>
      <c r="C18" s="20">
        <v>22079</v>
      </c>
    </row>
    <row r="19" spans="1:3" s="15" customFormat="1" ht="15" x14ac:dyDescent="0.25">
      <c r="A19" s="18" t="s">
        <v>1209</v>
      </c>
      <c r="B19" s="19" t="s">
        <v>1210</v>
      </c>
      <c r="C19" s="20">
        <v>63521.83</v>
      </c>
    </row>
    <row r="20" spans="1:3" s="15" customFormat="1" ht="15" x14ac:dyDescent="0.25">
      <c r="A20" s="18" t="s">
        <v>1211</v>
      </c>
      <c r="B20" s="19" t="s">
        <v>1212</v>
      </c>
      <c r="C20" s="20">
        <v>2427795.2200000002</v>
      </c>
    </row>
    <row r="21" spans="1:3" s="15" customFormat="1" ht="15" x14ac:dyDescent="0.25">
      <c r="A21" s="18" t="s">
        <v>1213</v>
      </c>
      <c r="B21" s="19" t="s">
        <v>1214</v>
      </c>
      <c r="C21" s="20">
        <v>513921.54</v>
      </c>
    </row>
    <row r="22" spans="1:3" s="15" customFormat="1" ht="15" x14ac:dyDescent="0.25">
      <c r="A22" s="18" t="s">
        <v>1215</v>
      </c>
      <c r="B22" s="19" t="s">
        <v>1216</v>
      </c>
      <c r="C22" s="20">
        <v>143499.42000000001</v>
      </c>
    </row>
    <row r="23" spans="1:3" s="15" customFormat="1" ht="15" x14ac:dyDescent="0.25">
      <c r="A23" s="18" t="s">
        <v>1217</v>
      </c>
      <c r="B23" s="19" t="s">
        <v>1218</v>
      </c>
      <c r="C23" s="20"/>
    </row>
    <row r="24" spans="1:3" s="15" customFormat="1" ht="15" x14ac:dyDescent="0.25">
      <c r="A24" s="18" t="s">
        <v>1219</v>
      </c>
      <c r="B24" s="19" t="s">
        <v>1220</v>
      </c>
      <c r="C24" s="20">
        <v>16518923.23</v>
      </c>
    </row>
    <row r="25" spans="1:3" s="15" customFormat="1" ht="15" x14ac:dyDescent="0.25">
      <c r="A25" s="18" t="s">
        <v>1221</v>
      </c>
      <c r="B25" s="19" t="s">
        <v>1222</v>
      </c>
      <c r="C25" s="20">
        <v>356971.83</v>
      </c>
    </row>
    <row r="26" spans="1:3" s="15" customFormat="1" ht="15" x14ac:dyDescent="0.25">
      <c r="A26" s="18" t="s">
        <v>1223</v>
      </c>
      <c r="B26" s="19" t="s">
        <v>1224</v>
      </c>
      <c r="C26" s="20">
        <v>1756273.93</v>
      </c>
    </row>
    <row r="27" spans="1:3" ht="15" x14ac:dyDescent="0.25">
      <c r="A27" s="2">
        <v>110302</v>
      </c>
      <c r="B27" s="3" t="s">
        <v>10</v>
      </c>
      <c r="C27" s="9"/>
    </row>
    <row r="28" spans="1:3" ht="15" x14ac:dyDescent="0.25">
      <c r="A28" s="2">
        <v>110303</v>
      </c>
      <c r="B28" s="3" t="s">
        <v>11</v>
      </c>
      <c r="C28" s="9"/>
    </row>
    <row r="29" spans="1:3" ht="15" x14ac:dyDescent="0.25">
      <c r="A29" s="2">
        <v>110304</v>
      </c>
      <c r="B29" s="3" t="s">
        <v>12</v>
      </c>
      <c r="C29" s="9"/>
    </row>
    <row r="30" spans="1:3" ht="15" x14ac:dyDescent="0.25">
      <c r="A30" s="2">
        <v>110306</v>
      </c>
      <c r="B30" s="3" t="s">
        <v>13</v>
      </c>
      <c r="C30" s="9"/>
    </row>
    <row r="31" spans="1:3" s="15" customFormat="1" ht="15" x14ac:dyDescent="0.25">
      <c r="A31" s="18" t="s">
        <v>1225</v>
      </c>
      <c r="B31" s="19" t="s">
        <v>1226</v>
      </c>
      <c r="C31" s="20"/>
    </row>
    <row r="32" spans="1:3" ht="15" x14ac:dyDescent="0.25">
      <c r="A32" s="2">
        <v>110307</v>
      </c>
      <c r="B32" s="3" t="s">
        <v>14</v>
      </c>
      <c r="C32" s="9"/>
    </row>
    <row r="33" spans="1:3" ht="15" x14ac:dyDescent="0.25">
      <c r="A33" s="2">
        <v>110309</v>
      </c>
      <c r="B33" s="3" t="s">
        <v>15</v>
      </c>
      <c r="C33" s="9"/>
    </row>
    <row r="34" spans="1:3" ht="15" x14ac:dyDescent="0.25">
      <c r="A34" s="2">
        <v>1104</v>
      </c>
      <c r="B34" s="3" t="s">
        <v>16</v>
      </c>
      <c r="C34" s="9"/>
    </row>
    <row r="35" spans="1:3" ht="15" x14ac:dyDescent="0.25">
      <c r="A35" s="2">
        <v>110401</v>
      </c>
      <c r="B35" s="3" t="s">
        <v>17</v>
      </c>
      <c r="C35" s="9"/>
    </row>
    <row r="36" spans="1:3" ht="15" x14ac:dyDescent="0.25">
      <c r="A36" s="2">
        <v>110402</v>
      </c>
      <c r="B36" s="3" t="s">
        <v>18</v>
      </c>
      <c r="C36" s="9"/>
    </row>
    <row r="37" spans="1:3" ht="30" x14ac:dyDescent="0.25">
      <c r="A37" s="2">
        <v>110403</v>
      </c>
      <c r="B37" s="7" t="s">
        <v>1193</v>
      </c>
      <c r="C37" s="10"/>
    </row>
    <row r="38" spans="1:3" ht="15" x14ac:dyDescent="0.25">
      <c r="A38" s="2">
        <v>110409</v>
      </c>
      <c r="B38" s="3" t="s">
        <v>20</v>
      </c>
      <c r="C38" s="9"/>
    </row>
    <row r="39" spans="1:3" ht="15" x14ac:dyDescent="0.25">
      <c r="A39" s="2">
        <v>1106</v>
      </c>
      <c r="B39" s="3" t="s">
        <v>21</v>
      </c>
      <c r="C39" s="9"/>
    </row>
    <row r="40" spans="1:3" ht="15" x14ac:dyDescent="0.25">
      <c r="A40" s="2">
        <v>110601</v>
      </c>
      <c r="B40" s="3" t="s">
        <v>22</v>
      </c>
      <c r="C40" s="9"/>
    </row>
    <row r="41" spans="1:3" ht="15" x14ac:dyDescent="0.25">
      <c r="A41" s="2">
        <v>110602</v>
      </c>
      <c r="B41" s="3" t="s">
        <v>23</v>
      </c>
      <c r="C41" s="9"/>
    </row>
    <row r="42" spans="1:3" ht="15" x14ac:dyDescent="0.25">
      <c r="A42" s="2">
        <v>110603</v>
      </c>
      <c r="B42" s="3" t="s">
        <v>24</v>
      </c>
      <c r="C42" s="9"/>
    </row>
    <row r="43" spans="1:3" ht="15" x14ac:dyDescent="0.25">
      <c r="A43" s="2">
        <v>110609</v>
      </c>
      <c r="B43" s="3" t="s">
        <v>25</v>
      </c>
      <c r="C43" s="9"/>
    </row>
    <row r="44" spans="1:3" ht="15" x14ac:dyDescent="0.25">
      <c r="A44" s="2">
        <v>1107</v>
      </c>
      <c r="B44" s="3" t="s">
        <v>26</v>
      </c>
      <c r="C44" s="20">
        <f t="shared" ref="C44" si="8">+C45</f>
        <v>5379.6799999999994</v>
      </c>
    </row>
    <row r="45" spans="1:3" ht="15" x14ac:dyDescent="0.25">
      <c r="A45" s="2">
        <v>110701</v>
      </c>
      <c r="B45" s="3" t="s">
        <v>27</v>
      </c>
      <c r="C45" s="20">
        <f t="shared" ref="C45" si="9">SUM(C46:C54)</f>
        <v>5379.6799999999994</v>
      </c>
    </row>
    <row r="46" spans="1:3" s="15" customFormat="1" ht="15" x14ac:dyDescent="0.25">
      <c r="A46" s="18" t="s">
        <v>1227</v>
      </c>
      <c r="B46" s="19" t="s">
        <v>1228</v>
      </c>
      <c r="C46" s="20">
        <v>274.8</v>
      </c>
    </row>
    <row r="47" spans="1:3" s="15" customFormat="1" ht="15" x14ac:dyDescent="0.25">
      <c r="A47" s="18" t="s">
        <v>1229</v>
      </c>
      <c r="B47" s="19" t="s">
        <v>1230</v>
      </c>
      <c r="C47" s="20">
        <v>2000</v>
      </c>
    </row>
    <row r="48" spans="1:3" s="15" customFormat="1" ht="15" x14ac:dyDescent="0.25">
      <c r="A48" s="18" t="s">
        <v>1231</v>
      </c>
      <c r="B48" s="19" t="s">
        <v>1232</v>
      </c>
      <c r="C48" s="20">
        <v>1342.5</v>
      </c>
    </row>
    <row r="49" spans="1:3" s="15" customFormat="1" ht="15" x14ac:dyDescent="0.25">
      <c r="A49" s="18" t="s">
        <v>1233</v>
      </c>
      <c r="B49" s="19" t="s">
        <v>1234</v>
      </c>
      <c r="C49" s="20">
        <v>837.77</v>
      </c>
    </row>
    <row r="50" spans="1:3" s="15" customFormat="1" ht="15" x14ac:dyDescent="0.25">
      <c r="A50" s="18" t="s">
        <v>1235</v>
      </c>
      <c r="B50" s="19" t="s">
        <v>1236</v>
      </c>
      <c r="C50" s="20">
        <v>1.48</v>
      </c>
    </row>
    <row r="51" spans="1:3" s="15" customFormat="1" ht="15" x14ac:dyDescent="0.25">
      <c r="A51" s="18" t="s">
        <v>1237</v>
      </c>
      <c r="B51" s="19" t="s">
        <v>1238</v>
      </c>
      <c r="C51" s="20">
        <v>247</v>
      </c>
    </row>
    <row r="52" spans="1:3" s="15" customFormat="1" ht="15" x14ac:dyDescent="0.25">
      <c r="A52" s="18" t="s">
        <v>1239</v>
      </c>
      <c r="B52" s="19" t="s">
        <v>1240</v>
      </c>
      <c r="C52" s="20">
        <v>33.630000000000003</v>
      </c>
    </row>
    <row r="53" spans="1:3" s="15" customFormat="1" ht="15" x14ac:dyDescent="0.25">
      <c r="A53" s="18" t="s">
        <v>1241</v>
      </c>
      <c r="B53" s="19" t="s">
        <v>1242</v>
      </c>
      <c r="C53" s="20">
        <v>200</v>
      </c>
    </row>
    <row r="54" spans="1:3" s="15" customFormat="1" ht="15" x14ac:dyDescent="0.25">
      <c r="A54" s="18" t="s">
        <v>1243</v>
      </c>
      <c r="B54" s="19" t="s">
        <v>1244</v>
      </c>
      <c r="C54" s="20">
        <v>442.5</v>
      </c>
    </row>
    <row r="55" spans="1:3" ht="15" x14ac:dyDescent="0.25">
      <c r="A55" s="2">
        <v>110702</v>
      </c>
      <c r="B55" s="3" t="s">
        <v>28</v>
      </c>
      <c r="C55" s="9"/>
    </row>
    <row r="56" spans="1:3" ht="15" x14ac:dyDescent="0.25">
      <c r="A56" s="2">
        <v>110709</v>
      </c>
      <c r="B56" s="3" t="s">
        <v>29</v>
      </c>
      <c r="C56" s="9"/>
    </row>
    <row r="57" spans="1:3" ht="15" x14ac:dyDescent="0.25">
      <c r="A57" s="2">
        <v>1108</v>
      </c>
      <c r="B57" s="3" t="s">
        <v>30</v>
      </c>
      <c r="C57" s="9"/>
    </row>
    <row r="58" spans="1:3" ht="15" x14ac:dyDescent="0.25">
      <c r="A58" s="2">
        <v>110803</v>
      </c>
      <c r="B58" s="3" t="s">
        <v>31</v>
      </c>
      <c r="C58" s="9"/>
    </row>
    <row r="59" spans="1:3" ht="15" x14ac:dyDescent="0.25">
      <c r="A59" s="2">
        <v>110804</v>
      </c>
      <c r="B59" s="3" t="s">
        <v>32</v>
      </c>
      <c r="C59" s="9"/>
    </row>
    <row r="60" spans="1:3" ht="15" x14ac:dyDescent="0.25">
      <c r="A60" s="2">
        <v>110807</v>
      </c>
      <c r="B60" s="3" t="s">
        <v>33</v>
      </c>
      <c r="C60" s="9"/>
    </row>
    <row r="61" spans="1:3" ht="15" x14ac:dyDescent="0.25">
      <c r="A61" s="2">
        <v>12</v>
      </c>
      <c r="B61" s="3" t="s">
        <v>34</v>
      </c>
      <c r="C61" s="9"/>
    </row>
    <row r="62" spans="1:3" ht="15" x14ac:dyDescent="0.25">
      <c r="A62" s="2">
        <v>1201</v>
      </c>
      <c r="B62" s="3" t="s">
        <v>34</v>
      </c>
      <c r="C62" s="9"/>
    </row>
    <row r="63" spans="1:3" ht="15" x14ac:dyDescent="0.25">
      <c r="A63" s="2">
        <v>120107</v>
      </c>
      <c r="B63" s="3" t="s">
        <v>35</v>
      </c>
      <c r="C63" s="9"/>
    </row>
    <row r="64" spans="1:3" ht="15" x14ac:dyDescent="0.25">
      <c r="A64" s="2">
        <v>1208</v>
      </c>
      <c r="B64" s="3" t="s">
        <v>36</v>
      </c>
      <c r="C64" s="9"/>
    </row>
    <row r="65" spans="1:3" ht="15" x14ac:dyDescent="0.25">
      <c r="A65" s="2">
        <v>120807</v>
      </c>
      <c r="B65" s="3" t="s">
        <v>35</v>
      </c>
      <c r="C65" s="9"/>
    </row>
    <row r="66" spans="1:3" ht="15" x14ac:dyDescent="0.25">
      <c r="A66" s="2">
        <v>13</v>
      </c>
      <c r="B66" s="3" t="s">
        <v>37</v>
      </c>
      <c r="C66" s="20">
        <f t="shared" ref="C66" si="10">+C172+C391</f>
        <v>131609.55000000005</v>
      </c>
    </row>
    <row r="67" spans="1:3" ht="30" x14ac:dyDescent="0.25">
      <c r="A67" s="2">
        <v>1301</v>
      </c>
      <c r="B67" s="4" t="s">
        <v>38</v>
      </c>
      <c r="C67" s="11"/>
    </row>
    <row r="68" spans="1:3" ht="15" x14ac:dyDescent="0.25">
      <c r="A68" s="2">
        <v>130105</v>
      </c>
      <c r="B68" s="3" t="s">
        <v>39</v>
      </c>
      <c r="C68" s="9"/>
    </row>
    <row r="69" spans="1:3" ht="15" x14ac:dyDescent="0.25">
      <c r="A69" s="2">
        <v>13010501</v>
      </c>
      <c r="B69" s="3" t="s">
        <v>40</v>
      </c>
      <c r="C69" s="9"/>
    </row>
    <row r="70" spans="1:3" ht="15" x14ac:dyDescent="0.25">
      <c r="A70" s="2">
        <v>13010519</v>
      </c>
      <c r="B70" s="3" t="s">
        <v>41</v>
      </c>
      <c r="C70" s="9"/>
    </row>
    <row r="71" spans="1:3" ht="15" x14ac:dyDescent="0.25">
      <c r="A71" s="2">
        <v>130106</v>
      </c>
      <c r="B71" s="3" t="s">
        <v>42</v>
      </c>
      <c r="C71" s="9"/>
    </row>
    <row r="72" spans="1:3" ht="15" x14ac:dyDescent="0.25">
      <c r="A72" s="2">
        <v>13010601</v>
      </c>
      <c r="B72" s="3" t="s">
        <v>40</v>
      </c>
      <c r="C72" s="9"/>
    </row>
    <row r="73" spans="1:3" ht="15" x14ac:dyDescent="0.25">
      <c r="A73" s="2">
        <v>13010619</v>
      </c>
      <c r="B73" s="3" t="s">
        <v>41</v>
      </c>
      <c r="C73" s="9"/>
    </row>
    <row r="74" spans="1:3" ht="15" x14ac:dyDescent="0.25">
      <c r="A74" s="2">
        <v>130107</v>
      </c>
      <c r="B74" s="3" t="s">
        <v>43</v>
      </c>
      <c r="C74" s="9"/>
    </row>
    <row r="75" spans="1:3" ht="15" x14ac:dyDescent="0.25">
      <c r="A75" s="2">
        <v>13010701</v>
      </c>
      <c r="B75" s="3" t="s">
        <v>40</v>
      </c>
      <c r="C75" s="9"/>
    </row>
    <row r="76" spans="1:3" ht="15" x14ac:dyDescent="0.25">
      <c r="A76" s="2">
        <v>13010702</v>
      </c>
      <c r="B76" s="3" t="s">
        <v>44</v>
      </c>
      <c r="C76" s="9"/>
    </row>
    <row r="77" spans="1:3" ht="15" x14ac:dyDescent="0.25">
      <c r="A77" s="2">
        <v>13010705</v>
      </c>
      <c r="B77" s="3" t="s">
        <v>45</v>
      </c>
      <c r="C77" s="9"/>
    </row>
    <row r="78" spans="1:3" ht="15" x14ac:dyDescent="0.25">
      <c r="A78" s="2">
        <v>13010706</v>
      </c>
      <c r="B78" s="3" t="s">
        <v>46</v>
      </c>
      <c r="C78" s="9"/>
    </row>
    <row r="79" spans="1:3" ht="15" x14ac:dyDescent="0.25">
      <c r="A79" s="2">
        <v>13010712</v>
      </c>
      <c r="B79" s="3" t="s">
        <v>47</v>
      </c>
      <c r="C79" s="9"/>
    </row>
    <row r="80" spans="1:3" ht="15" x14ac:dyDescent="0.25">
      <c r="A80" s="2">
        <v>13010719</v>
      </c>
      <c r="B80" s="3" t="s">
        <v>41</v>
      </c>
      <c r="C80" s="9"/>
    </row>
    <row r="81" spans="1:3" ht="30" x14ac:dyDescent="0.25">
      <c r="A81" s="2">
        <v>130110</v>
      </c>
      <c r="B81" s="4" t="s">
        <v>48</v>
      </c>
      <c r="C81" s="11"/>
    </row>
    <row r="82" spans="1:3" ht="15" x14ac:dyDescent="0.25">
      <c r="A82" s="2">
        <v>13011005</v>
      </c>
      <c r="B82" s="3" t="s">
        <v>39</v>
      </c>
      <c r="C82" s="9"/>
    </row>
    <row r="83" spans="1:3" ht="15" x14ac:dyDescent="0.25">
      <c r="A83" s="2">
        <v>13011006</v>
      </c>
      <c r="B83" s="3" t="s">
        <v>42</v>
      </c>
      <c r="C83" s="9"/>
    </row>
    <row r="84" spans="1:3" ht="15" x14ac:dyDescent="0.25">
      <c r="A84" s="2">
        <v>13011007</v>
      </c>
      <c r="B84" s="3" t="s">
        <v>43</v>
      </c>
      <c r="C84" s="9"/>
    </row>
    <row r="85" spans="1:3" ht="15" x14ac:dyDescent="0.25">
      <c r="A85" s="2">
        <v>13011013</v>
      </c>
      <c r="B85" s="3" t="s">
        <v>49</v>
      </c>
      <c r="C85" s="9"/>
    </row>
    <row r="86" spans="1:3" ht="30" x14ac:dyDescent="0.25">
      <c r="A86" s="2">
        <v>130111</v>
      </c>
      <c r="B86" s="4" t="s">
        <v>50</v>
      </c>
      <c r="C86" s="11"/>
    </row>
    <row r="87" spans="1:3" ht="15" x14ac:dyDescent="0.25">
      <c r="A87" s="2">
        <v>13011105</v>
      </c>
      <c r="B87" s="3" t="s">
        <v>39</v>
      </c>
      <c r="C87" s="9"/>
    </row>
    <row r="88" spans="1:3" ht="15" x14ac:dyDescent="0.25">
      <c r="A88" s="2">
        <v>13011106</v>
      </c>
      <c r="B88" s="3" t="s">
        <v>42</v>
      </c>
      <c r="C88" s="9"/>
    </row>
    <row r="89" spans="1:3" ht="15" x14ac:dyDescent="0.25">
      <c r="A89" s="2">
        <v>13011107</v>
      </c>
      <c r="B89" s="3" t="s">
        <v>43</v>
      </c>
      <c r="C89" s="9"/>
    </row>
    <row r="90" spans="1:3" ht="15" x14ac:dyDescent="0.25">
      <c r="A90" s="2">
        <v>13011113</v>
      </c>
      <c r="B90" s="3" t="s">
        <v>49</v>
      </c>
      <c r="C90" s="9"/>
    </row>
    <row r="91" spans="1:3" ht="30" x14ac:dyDescent="0.25">
      <c r="A91" s="2">
        <v>130112</v>
      </c>
      <c r="B91" s="4" t="s">
        <v>51</v>
      </c>
      <c r="C91" s="11"/>
    </row>
    <row r="92" spans="1:3" ht="15" x14ac:dyDescent="0.25">
      <c r="A92" s="2">
        <v>13011205</v>
      </c>
      <c r="B92" s="3" t="s">
        <v>39</v>
      </c>
      <c r="C92" s="9"/>
    </row>
    <row r="93" spans="1:3" ht="15" x14ac:dyDescent="0.25">
      <c r="A93" s="2">
        <v>13011206</v>
      </c>
      <c r="B93" s="3" t="s">
        <v>42</v>
      </c>
      <c r="C93" s="9"/>
    </row>
    <row r="94" spans="1:3" ht="15" x14ac:dyDescent="0.25">
      <c r="A94" s="2">
        <v>13011207</v>
      </c>
      <c r="B94" s="3" t="s">
        <v>43</v>
      </c>
      <c r="C94" s="9"/>
    </row>
    <row r="95" spans="1:3" ht="15" x14ac:dyDescent="0.25">
      <c r="A95" s="2">
        <v>13011213</v>
      </c>
      <c r="B95" s="3" t="s">
        <v>49</v>
      </c>
      <c r="C95" s="9"/>
    </row>
    <row r="96" spans="1:3" ht="15" x14ac:dyDescent="0.25">
      <c r="A96" s="2">
        <v>130113</v>
      </c>
      <c r="B96" s="3" t="s">
        <v>49</v>
      </c>
      <c r="C96" s="9"/>
    </row>
    <row r="97" spans="1:3" ht="15" x14ac:dyDescent="0.25">
      <c r="A97" s="2">
        <v>13011301</v>
      </c>
      <c r="B97" s="3" t="s">
        <v>52</v>
      </c>
      <c r="C97" s="9"/>
    </row>
    <row r="98" spans="1:3" ht="15" x14ac:dyDescent="0.25">
      <c r="A98" s="2">
        <v>130119</v>
      </c>
      <c r="B98" s="3" t="s">
        <v>53</v>
      </c>
      <c r="C98" s="9"/>
    </row>
    <row r="99" spans="1:3" ht="30" x14ac:dyDescent="0.25">
      <c r="A99" s="2">
        <v>1302</v>
      </c>
      <c r="B99" s="4" t="s">
        <v>54</v>
      </c>
      <c r="C99" s="11"/>
    </row>
    <row r="100" spans="1:3" ht="15" x14ac:dyDescent="0.25">
      <c r="A100" s="2">
        <v>130201</v>
      </c>
      <c r="B100" s="3" t="s">
        <v>55</v>
      </c>
      <c r="C100" s="9"/>
    </row>
    <row r="101" spans="1:3" ht="15" x14ac:dyDescent="0.25">
      <c r="A101" s="2">
        <v>13020101</v>
      </c>
      <c r="B101" s="3" t="s">
        <v>56</v>
      </c>
      <c r="C101" s="9"/>
    </row>
    <row r="102" spans="1:3" ht="15" x14ac:dyDescent="0.25">
      <c r="A102" s="2">
        <v>1302010101</v>
      </c>
      <c r="B102" s="3" t="s">
        <v>57</v>
      </c>
      <c r="C102" s="9"/>
    </row>
    <row r="103" spans="1:3" ht="15" x14ac:dyDescent="0.25">
      <c r="A103" s="2">
        <v>1302010102</v>
      </c>
      <c r="B103" s="3" t="s">
        <v>58</v>
      </c>
      <c r="C103" s="9"/>
    </row>
    <row r="104" spans="1:3" ht="15" x14ac:dyDescent="0.25">
      <c r="A104" s="2">
        <v>1302010119</v>
      </c>
      <c r="B104" s="3" t="s">
        <v>59</v>
      </c>
      <c r="C104" s="9"/>
    </row>
    <row r="105" spans="1:3" ht="15" x14ac:dyDescent="0.25">
      <c r="A105" s="2">
        <v>13020109</v>
      </c>
      <c r="B105" s="3" t="s">
        <v>60</v>
      </c>
      <c r="C105" s="9"/>
    </row>
    <row r="106" spans="1:3" ht="15" x14ac:dyDescent="0.25">
      <c r="A106" s="2">
        <v>1302010901</v>
      </c>
      <c r="B106" s="3" t="s">
        <v>57</v>
      </c>
      <c r="C106" s="9"/>
    </row>
    <row r="107" spans="1:3" ht="15" x14ac:dyDescent="0.25">
      <c r="A107" s="2">
        <v>1302010902</v>
      </c>
      <c r="B107" s="3" t="s">
        <v>58</v>
      </c>
      <c r="C107" s="9"/>
    </row>
    <row r="108" spans="1:3" ht="15" x14ac:dyDescent="0.25">
      <c r="A108" s="2">
        <v>1302010919</v>
      </c>
      <c r="B108" s="3" t="s">
        <v>59</v>
      </c>
      <c r="C108" s="9"/>
    </row>
    <row r="109" spans="1:3" ht="15" x14ac:dyDescent="0.25">
      <c r="A109" s="2">
        <v>130202</v>
      </c>
      <c r="B109" s="3" t="s">
        <v>61</v>
      </c>
      <c r="C109" s="9"/>
    </row>
    <row r="110" spans="1:3" ht="15" x14ac:dyDescent="0.25">
      <c r="A110" s="2">
        <v>13020201</v>
      </c>
      <c r="B110" s="3" t="s">
        <v>57</v>
      </c>
      <c r="C110" s="9"/>
    </row>
    <row r="111" spans="1:3" ht="15" x14ac:dyDescent="0.25">
      <c r="A111" s="2">
        <v>13020202</v>
      </c>
      <c r="B111" s="3" t="s">
        <v>58</v>
      </c>
      <c r="C111" s="9"/>
    </row>
    <row r="112" spans="1:3" ht="15" x14ac:dyDescent="0.25">
      <c r="A112" s="2">
        <v>13020219</v>
      </c>
      <c r="B112" s="3" t="s">
        <v>59</v>
      </c>
      <c r="C112" s="9"/>
    </row>
    <row r="113" spans="1:3" ht="15" x14ac:dyDescent="0.25">
      <c r="A113" s="2">
        <v>130203</v>
      </c>
      <c r="B113" s="3" t="s">
        <v>62</v>
      </c>
      <c r="C113" s="9"/>
    </row>
    <row r="114" spans="1:3" ht="15" x14ac:dyDescent="0.25">
      <c r="A114" s="2">
        <v>13020303</v>
      </c>
      <c r="B114" s="3" t="s">
        <v>63</v>
      </c>
      <c r="C114" s="9"/>
    </row>
    <row r="115" spans="1:3" ht="15" x14ac:dyDescent="0.25">
      <c r="A115" s="2">
        <v>13020319</v>
      </c>
      <c r="B115" s="3" t="s">
        <v>64</v>
      </c>
      <c r="C115" s="9"/>
    </row>
    <row r="116" spans="1:3" ht="15" x14ac:dyDescent="0.25">
      <c r="A116" s="2">
        <v>130205</v>
      </c>
      <c r="B116" s="3" t="s">
        <v>39</v>
      </c>
      <c r="C116" s="9"/>
    </row>
    <row r="117" spans="1:3" ht="15" x14ac:dyDescent="0.25">
      <c r="A117" s="2">
        <v>13020503</v>
      </c>
      <c r="B117" s="3" t="s">
        <v>65</v>
      </c>
      <c r="C117" s="9"/>
    </row>
    <row r="118" spans="1:3" ht="15" x14ac:dyDescent="0.25">
      <c r="A118" s="2">
        <v>13020505</v>
      </c>
      <c r="B118" s="3" t="s">
        <v>66</v>
      </c>
      <c r="C118" s="9"/>
    </row>
    <row r="119" spans="1:3" ht="15" x14ac:dyDescent="0.25">
      <c r="A119" s="2">
        <v>13020506</v>
      </c>
      <c r="B119" s="3" t="s">
        <v>67</v>
      </c>
      <c r="C119" s="9"/>
    </row>
    <row r="120" spans="1:3" ht="15" x14ac:dyDescent="0.25">
      <c r="A120" s="2">
        <v>13020507</v>
      </c>
      <c r="B120" s="3" t="s">
        <v>68</v>
      </c>
      <c r="C120" s="9"/>
    </row>
    <row r="121" spans="1:3" ht="15" x14ac:dyDescent="0.25">
      <c r="A121" s="2">
        <v>13020508</v>
      </c>
      <c r="B121" s="3" t="s">
        <v>69</v>
      </c>
      <c r="C121" s="9"/>
    </row>
    <row r="122" spans="1:3" ht="15" x14ac:dyDescent="0.25">
      <c r="A122" s="2">
        <v>13020509</v>
      </c>
      <c r="B122" s="3" t="s">
        <v>70</v>
      </c>
      <c r="C122" s="9"/>
    </row>
    <row r="123" spans="1:3" ht="30" x14ac:dyDescent="0.25">
      <c r="A123" s="2">
        <v>13020510</v>
      </c>
      <c r="B123" s="4" t="s">
        <v>71</v>
      </c>
      <c r="C123" s="11"/>
    </row>
    <row r="124" spans="1:3" ht="15" x14ac:dyDescent="0.25">
      <c r="A124" s="2">
        <v>13020511</v>
      </c>
      <c r="B124" s="3" t="s">
        <v>72</v>
      </c>
      <c r="C124" s="9"/>
    </row>
    <row r="125" spans="1:3" ht="15" x14ac:dyDescent="0.25">
      <c r="A125" s="2">
        <v>13020519</v>
      </c>
      <c r="B125" s="3" t="s">
        <v>41</v>
      </c>
      <c r="C125" s="9"/>
    </row>
    <row r="126" spans="1:3" ht="15" x14ac:dyDescent="0.25">
      <c r="A126" s="2">
        <v>130206</v>
      </c>
      <c r="B126" s="3" t="s">
        <v>42</v>
      </c>
      <c r="C126" s="9"/>
    </row>
    <row r="127" spans="1:3" ht="15" x14ac:dyDescent="0.25">
      <c r="A127" s="2">
        <v>13020608</v>
      </c>
      <c r="B127" s="3" t="s">
        <v>69</v>
      </c>
      <c r="C127" s="9"/>
    </row>
    <row r="128" spans="1:3" ht="15" x14ac:dyDescent="0.25">
      <c r="A128" s="2">
        <v>13020609</v>
      </c>
      <c r="B128" s="3" t="s">
        <v>70</v>
      </c>
      <c r="C128" s="9"/>
    </row>
    <row r="129" spans="1:3" ht="30" x14ac:dyDescent="0.25">
      <c r="A129" s="2">
        <v>13020610</v>
      </c>
      <c r="B129" s="4" t="s">
        <v>71</v>
      </c>
      <c r="C129" s="11"/>
    </row>
    <row r="130" spans="1:3" ht="15" x14ac:dyDescent="0.25">
      <c r="A130" s="2">
        <v>13020611</v>
      </c>
      <c r="B130" s="3" t="s">
        <v>72</v>
      </c>
      <c r="C130" s="9"/>
    </row>
    <row r="131" spans="1:3" ht="15" x14ac:dyDescent="0.25">
      <c r="A131" s="2">
        <v>13020619</v>
      </c>
      <c r="B131" s="3" t="s">
        <v>41</v>
      </c>
      <c r="C131" s="9"/>
    </row>
    <row r="132" spans="1:3" ht="15" x14ac:dyDescent="0.25">
      <c r="A132" s="2">
        <v>130207</v>
      </c>
      <c r="B132" s="3" t="s">
        <v>43</v>
      </c>
      <c r="C132" s="9"/>
    </row>
    <row r="133" spans="1:3" ht="15" x14ac:dyDescent="0.25">
      <c r="A133" s="2">
        <v>13020708</v>
      </c>
      <c r="B133" s="3" t="s">
        <v>69</v>
      </c>
      <c r="C133" s="9"/>
    </row>
    <row r="134" spans="1:3" ht="15" x14ac:dyDescent="0.25">
      <c r="A134" s="2">
        <v>13020709</v>
      </c>
      <c r="B134" s="3" t="s">
        <v>70</v>
      </c>
      <c r="C134" s="9"/>
    </row>
    <row r="135" spans="1:3" ht="30" x14ac:dyDescent="0.25">
      <c r="A135" s="2">
        <v>13020710</v>
      </c>
      <c r="B135" s="4" t="s">
        <v>71</v>
      </c>
      <c r="C135" s="11"/>
    </row>
    <row r="136" spans="1:3" ht="15" x14ac:dyDescent="0.25">
      <c r="A136" s="2">
        <v>13020711</v>
      </c>
      <c r="B136" s="3" t="s">
        <v>72</v>
      </c>
      <c r="C136" s="9"/>
    </row>
    <row r="137" spans="1:3" ht="15" x14ac:dyDescent="0.25">
      <c r="A137" s="2">
        <v>13020712</v>
      </c>
      <c r="B137" s="3" t="s">
        <v>47</v>
      </c>
      <c r="C137" s="9"/>
    </row>
    <row r="138" spans="1:3" ht="15" x14ac:dyDescent="0.25">
      <c r="A138" s="2">
        <v>13020714</v>
      </c>
      <c r="B138" s="3" t="s">
        <v>73</v>
      </c>
      <c r="C138" s="9"/>
    </row>
    <row r="139" spans="1:3" ht="15" x14ac:dyDescent="0.25">
      <c r="A139" s="2">
        <v>13020715</v>
      </c>
      <c r="B139" s="3" t="s">
        <v>74</v>
      </c>
      <c r="C139" s="9"/>
    </row>
    <row r="140" spans="1:3" ht="15" x14ac:dyDescent="0.25">
      <c r="A140" s="2">
        <v>1302071501</v>
      </c>
      <c r="B140" s="3" t="s">
        <v>75</v>
      </c>
      <c r="C140" s="9"/>
    </row>
    <row r="141" spans="1:3" ht="15" x14ac:dyDescent="0.25">
      <c r="A141" s="2">
        <v>1302071502</v>
      </c>
      <c r="B141" s="3" t="s">
        <v>76</v>
      </c>
      <c r="C141" s="9"/>
    </row>
    <row r="142" spans="1:3" ht="15" x14ac:dyDescent="0.25">
      <c r="A142" s="2">
        <v>1302071519</v>
      </c>
      <c r="B142" s="3" t="s">
        <v>41</v>
      </c>
      <c r="C142" s="9"/>
    </row>
    <row r="143" spans="1:3" ht="15" x14ac:dyDescent="0.25">
      <c r="A143" s="2">
        <v>13020719</v>
      </c>
      <c r="B143" s="3" t="s">
        <v>41</v>
      </c>
      <c r="C143" s="9"/>
    </row>
    <row r="144" spans="1:3" ht="30" x14ac:dyDescent="0.25">
      <c r="A144" s="2">
        <v>130210</v>
      </c>
      <c r="B144" s="4" t="s">
        <v>48</v>
      </c>
      <c r="C144" s="11"/>
    </row>
    <row r="145" spans="1:3" ht="15" x14ac:dyDescent="0.25">
      <c r="A145" s="2">
        <v>13021001</v>
      </c>
      <c r="B145" s="3" t="s">
        <v>55</v>
      </c>
      <c r="C145" s="9"/>
    </row>
    <row r="146" spans="1:3" ht="15" x14ac:dyDescent="0.25">
      <c r="A146" s="2">
        <v>13021002</v>
      </c>
      <c r="B146" s="3" t="s">
        <v>61</v>
      </c>
      <c r="C146" s="9"/>
    </row>
    <row r="147" spans="1:3" ht="15" x14ac:dyDescent="0.25">
      <c r="A147" s="2">
        <v>13021003</v>
      </c>
      <c r="B147" s="3" t="s">
        <v>62</v>
      </c>
      <c r="C147" s="9"/>
    </row>
    <row r="148" spans="1:3" ht="15" x14ac:dyDescent="0.25">
      <c r="A148" s="2">
        <v>13021005</v>
      </c>
      <c r="B148" s="3" t="s">
        <v>39</v>
      </c>
      <c r="C148" s="9"/>
    </row>
    <row r="149" spans="1:3" ht="15" x14ac:dyDescent="0.25">
      <c r="A149" s="2">
        <v>13021006</v>
      </c>
      <c r="B149" s="3" t="s">
        <v>42</v>
      </c>
      <c r="C149" s="9"/>
    </row>
    <row r="150" spans="1:3" ht="15" x14ac:dyDescent="0.25">
      <c r="A150" s="2">
        <v>13021007</v>
      </c>
      <c r="B150" s="3" t="s">
        <v>43</v>
      </c>
      <c r="C150" s="9"/>
    </row>
    <row r="151" spans="1:3" ht="15" x14ac:dyDescent="0.25">
      <c r="A151" s="2">
        <v>13021013</v>
      </c>
      <c r="B151" s="3" t="s">
        <v>49</v>
      </c>
      <c r="C151" s="9"/>
    </row>
    <row r="152" spans="1:3" ht="30" x14ac:dyDescent="0.25">
      <c r="A152" s="2">
        <v>130211</v>
      </c>
      <c r="B152" s="4" t="s">
        <v>50</v>
      </c>
      <c r="C152" s="11"/>
    </row>
    <row r="153" spans="1:3" ht="15" x14ac:dyDescent="0.25">
      <c r="A153" s="2">
        <v>13021101</v>
      </c>
      <c r="B153" s="3" t="s">
        <v>55</v>
      </c>
      <c r="C153" s="9"/>
    </row>
    <row r="154" spans="1:3" ht="15" x14ac:dyDescent="0.25">
      <c r="A154" s="2">
        <v>13021102</v>
      </c>
      <c r="B154" s="3" t="s">
        <v>61</v>
      </c>
      <c r="C154" s="9"/>
    </row>
    <row r="155" spans="1:3" ht="15" x14ac:dyDescent="0.25">
      <c r="A155" s="2">
        <v>13021103</v>
      </c>
      <c r="B155" s="3" t="s">
        <v>62</v>
      </c>
      <c r="C155" s="9"/>
    </row>
    <row r="156" spans="1:3" ht="15" x14ac:dyDescent="0.25">
      <c r="A156" s="2">
        <v>13021105</v>
      </c>
      <c r="B156" s="3" t="s">
        <v>39</v>
      </c>
      <c r="C156" s="9"/>
    </row>
    <row r="157" spans="1:3" ht="15" x14ac:dyDescent="0.25">
      <c r="A157" s="2">
        <v>13021106</v>
      </c>
      <c r="B157" s="3" t="s">
        <v>42</v>
      </c>
      <c r="C157" s="9"/>
    </row>
    <row r="158" spans="1:3" ht="15" x14ac:dyDescent="0.25">
      <c r="A158" s="2">
        <v>13021107</v>
      </c>
      <c r="B158" s="3" t="s">
        <v>43</v>
      </c>
      <c r="C158" s="9"/>
    </row>
    <row r="159" spans="1:3" ht="15" x14ac:dyDescent="0.25">
      <c r="A159" s="2">
        <v>13021113</v>
      </c>
      <c r="B159" s="3" t="s">
        <v>49</v>
      </c>
      <c r="C159" s="9"/>
    </row>
    <row r="160" spans="1:3" ht="30" x14ac:dyDescent="0.25">
      <c r="A160" s="2">
        <v>130212</v>
      </c>
      <c r="B160" s="4" t="s">
        <v>51</v>
      </c>
      <c r="C160" s="11"/>
    </row>
    <row r="161" spans="1:3" ht="15" x14ac:dyDescent="0.25">
      <c r="A161" s="2">
        <v>13021201</v>
      </c>
      <c r="B161" s="3" t="s">
        <v>55</v>
      </c>
      <c r="C161" s="9"/>
    </row>
    <row r="162" spans="1:3" ht="15" x14ac:dyDescent="0.25">
      <c r="A162" s="2">
        <v>13021202</v>
      </c>
      <c r="B162" s="3" t="s">
        <v>61</v>
      </c>
      <c r="C162" s="9"/>
    </row>
    <row r="163" spans="1:3" ht="15" x14ac:dyDescent="0.25">
      <c r="A163" s="2">
        <v>13021203</v>
      </c>
      <c r="B163" s="3" t="s">
        <v>62</v>
      </c>
      <c r="C163" s="9"/>
    </row>
    <row r="164" spans="1:3" ht="15" x14ac:dyDescent="0.25">
      <c r="A164" s="2">
        <v>13021205</v>
      </c>
      <c r="B164" s="3" t="s">
        <v>39</v>
      </c>
      <c r="C164" s="9"/>
    </row>
    <row r="165" spans="1:3" ht="15" x14ac:dyDescent="0.25">
      <c r="A165" s="2">
        <v>13021206</v>
      </c>
      <c r="B165" s="3" t="s">
        <v>42</v>
      </c>
      <c r="C165" s="9"/>
    </row>
    <row r="166" spans="1:3" ht="15" x14ac:dyDescent="0.25">
      <c r="A166" s="2">
        <v>13021207</v>
      </c>
      <c r="B166" s="3" t="s">
        <v>43</v>
      </c>
      <c r="C166" s="9"/>
    </row>
    <row r="167" spans="1:3" ht="15" x14ac:dyDescent="0.25">
      <c r="A167" s="2">
        <v>13021213</v>
      </c>
      <c r="B167" s="3" t="s">
        <v>49</v>
      </c>
      <c r="C167" s="9"/>
    </row>
    <row r="168" spans="1:3" ht="15" x14ac:dyDescent="0.25">
      <c r="A168" s="2">
        <v>130213</v>
      </c>
      <c r="B168" s="3" t="s">
        <v>49</v>
      </c>
      <c r="C168" s="9"/>
    </row>
    <row r="169" spans="1:3" ht="30" x14ac:dyDescent="0.25">
      <c r="A169" s="2">
        <v>13021310</v>
      </c>
      <c r="B169" s="4" t="s">
        <v>71</v>
      </c>
      <c r="C169" s="11"/>
    </row>
    <row r="170" spans="1:3" ht="15" x14ac:dyDescent="0.25">
      <c r="A170" s="2">
        <v>13021319</v>
      </c>
      <c r="B170" s="3" t="s">
        <v>41</v>
      </c>
      <c r="C170" s="9"/>
    </row>
    <row r="171" spans="1:3" ht="15" x14ac:dyDescent="0.25">
      <c r="A171" s="2">
        <v>130219</v>
      </c>
      <c r="B171" s="3" t="s">
        <v>59</v>
      </c>
      <c r="C171" s="9"/>
    </row>
    <row r="172" spans="1:3" ht="30" x14ac:dyDescent="0.25">
      <c r="A172" s="2">
        <v>1303</v>
      </c>
      <c r="B172" s="4" t="s">
        <v>77</v>
      </c>
      <c r="C172" s="20">
        <f t="shared" ref="C172" si="11">+C201</f>
        <v>550862.94000000006</v>
      </c>
    </row>
    <row r="173" spans="1:3" ht="15" x14ac:dyDescent="0.25">
      <c r="A173" s="2">
        <v>130305</v>
      </c>
      <c r="B173" s="3" t="s">
        <v>39</v>
      </c>
      <c r="C173" s="9"/>
    </row>
    <row r="174" spans="1:3" ht="15" x14ac:dyDescent="0.25">
      <c r="A174" s="2">
        <v>13030501</v>
      </c>
      <c r="B174" s="3" t="s">
        <v>40</v>
      </c>
      <c r="C174" s="9"/>
    </row>
    <row r="175" spans="1:3" ht="15" x14ac:dyDescent="0.25">
      <c r="A175" s="2">
        <v>13030519</v>
      </c>
      <c r="B175" s="3" t="s">
        <v>41</v>
      </c>
      <c r="C175" s="9"/>
    </row>
    <row r="176" spans="1:3" ht="15" x14ac:dyDescent="0.25">
      <c r="A176" s="2">
        <v>130306</v>
      </c>
      <c r="B176" s="3" t="s">
        <v>42</v>
      </c>
      <c r="C176" s="9"/>
    </row>
    <row r="177" spans="1:3" ht="15" x14ac:dyDescent="0.25">
      <c r="A177" s="2">
        <v>13030601</v>
      </c>
      <c r="B177" s="3" t="s">
        <v>40</v>
      </c>
      <c r="C177" s="9"/>
    </row>
    <row r="178" spans="1:3" ht="15" x14ac:dyDescent="0.25">
      <c r="A178" s="2">
        <v>13030619</v>
      </c>
      <c r="B178" s="3" t="s">
        <v>41</v>
      </c>
      <c r="C178" s="9"/>
    </row>
    <row r="179" spans="1:3" ht="15" x14ac:dyDescent="0.25">
      <c r="A179" s="2">
        <v>130307</v>
      </c>
      <c r="B179" s="3" t="s">
        <v>43</v>
      </c>
      <c r="C179" s="9"/>
    </row>
    <row r="180" spans="1:3" ht="15" x14ac:dyDescent="0.25">
      <c r="A180" s="2">
        <v>13030701</v>
      </c>
      <c r="B180" s="3" t="s">
        <v>40</v>
      </c>
      <c r="C180" s="9"/>
    </row>
    <row r="181" spans="1:3" ht="15" x14ac:dyDescent="0.25">
      <c r="A181" s="2">
        <v>13030702</v>
      </c>
      <c r="B181" s="3" t="s">
        <v>44</v>
      </c>
      <c r="C181" s="9"/>
    </row>
    <row r="182" spans="1:3" ht="15" x14ac:dyDescent="0.25">
      <c r="A182" s="2">
        <v>13030705</v>
      </c>
      <c r="B182" s="3" t="s">
        <v>45</v>
      </c>
      <c r="C182" s="9"/>
    </row>
    <row r="183" spans="1:3" ht="15" x14ac:dyDescent="0.25">
      <c r="A183" s="2">
        <v>13030706</v>
      </c>
      <c r="B183" s="3" t="s">
        <v>46</v>
      </c>
      <c r="C183" s="9"/>
    </row>
    <row r="184" spans="1:3" ht="15" x14ac:dyDescent="0.25">
      <c r="A184" s="2">
        <v>13030712</v>
      </c>
      <c r="B184" s="3" t="s">
        <v>47</v>
      </c>
      <c r="C184" s="9"/>
    </row>
    <row r="185" spans="1:3" ht="15" x14ac:dyDescent="0.25">
      <c r="A185" s="2">
        <v>13030719</v>
      </c>
      <c r="B185" s="3" t="s">
        <v>41</v>
      </c>
      <c r="C185" s="9"/>
    </row>
    <row r="186" spans="1:3" ht="30" x14ac:dyDescent="0.25">
      <c r="A186" s="2">
        <v>130310</v>
      </c>
      <c r="B186" s="4" t="s">
        <v>48</v>
      </c>
      <c r="C186" s="11"/>
    </row>
    <row r="187" spans="1:3" ht="15" x14ac:dyDescent="0.25">
      <c r="A187" s="2">
        <v>13031005</v>
      </c>
      <c r="B187" s="3" t="s">
        <v>39</v>
      </c>
      <c r="C187" s="9"/>
    </row>
    <row r="188" spans="1:3" ht="15" x14ac:dyDescent="0.25">
      <c r="A188" s="2">
        <v>13031006</v>
      </c>
      <c r="B188" s="3" t="s">
        <v>42</v>
      </c>
      <c r="C188" s="9"/>
    </row>
    <row r="189" spans="1:3" ht="15" x14ac:dyDescent="0.25">
      <c r="A189" s="2">
        <v>13031007</v>
      </c>
      <c r="B189" s="3" t="s">
        <v>43</v>
      </c>
      <c r="C189" s="9"/>
    </row>
    <row r="190" spans="1:3" ht="15" x14ac:dyDescent="0.25">
      <c r="A190" s="2">
        <v>13031013</v>
      </c>
      <c r="B190" s="3" t="s">
        <v>49</v>
      </c>
      <c r="C190" s="9"/>
    </row>
    <row r="191" spans="1:3" ht="30" x14ac:dyDescent="0.25">
      <c r="A191" s="2">
        <v>130311</v>
      </c>
      <c r="B191" s="4" t="s">
        <v>50</v>
      </c>
      <c r="C191" s="11"/>
    </row>
    <row r="192" spans="1:3" ht="15" x14ac:dyDescent="0.25">
      <c r="A192" s="2">
        <v>13031105</v>
      </c>
      <c r="B192" s="3" t="s">
        <v>39</v>
      </c>
      <c r="C192" s="9"/>
    </row>
    <row r="193" spans="1:3" ht="15" x14ac:dyDescent="0.25">
      <c r="A193" s="2">
        <v>13031106</v>
      </c>
      <c r="B193" s="3" t="s">
        <v>42</v>
      </c>
      <c r="C193" s="9"/>
    </row>
    <row r="194" spans="1:3" ht="15" x14ac:dyDescent="0.25">
      <c r="A194" s="2">
        <v>13031107</v>
      </c>
      <c r="B194" s="3" t="s">
        <v>43</v>
      </c>
      <c r="C194" s="9"/>
    </row>
    <row r="195" spans="1:3" ht="15" x14ac:dyDescent="0.25">
      <c r="A195" s="2">
        <v>13031113</v>
      </c>
      <c r="B195" s="3" t="s">
        <v>49</v>
      </c>
      <c r="C195" s="9"/>
    </row>
    <row r="196" spans="1:3" ht="30" x14ac:dyDescent="0.25">
      <c r="A196" s="2">
        <v>130312</v>
      </c>
      <c r="B196" s="4" t="s">
        <v>51</v>
      </c>
      <c r="C196" s="11"/>
    </row>
    <row r="197" spans="1:3" ht="15" x14ac:dyDescent="0.25">
      <c r="A197" s="2">
        <v>13031205</v>
      </c>
      <c r="B197" s="3" t="s">
        <v>39</v>
      </c>
      <c r="C197" s="9"/>
    </row>
    <row r="198" spans="1:3" ht="15" x14ac:dyDescent="0.25">
      <c r="A198" s="2">
        <v>13031206</v>
      </c>
      <c r="B198" s="3" t="s">
        <v>42</v>
      </c>
      <c r="C198" s="9"/>
    </row>
    <row r="199" spans="1:3" ht="15" x14ac:dyDescent="0.25">
      <c r="A199" s="2">
        <v>13031207</v>
      </c>
      <c r="B199" s="3" t="s">
        <v>43</v>
      </c>
      <c r="C199" s="9"/>
    </row>
    <row r="200" spans="1:3" ht="15" x14ac:dyDescent="0.25">
      <c r="A200" s="2">
        <v>13031213</v>
      </c>
      <c r="B200" s="3" t="s">
        <v>49</v>
      </c>
      <c r="C200" s="9"/>
    </row>
    <row r="201" spans="1:3" ht="15" x14ac:dyDescent="0.25">
      <c r="A201" s="2">
        <v>130313</v>
      </c>
      <c r="B201" s="3" t="s">
        <v>49</v>
      </c>
      <c r="C201" s="20">
        <f t="shared" ref="C201" si="12">SUM(C203:C207)</f>
        <v>550862.94000000006</v>
      </c>
    </row>
    <row r="202" spans="1:3" ht="15" x14ac:dyDescent="0.25">
      <c r="A202" s="2">
        <v>13031301</v>
      </c>
      <c r="B202" s="3" t="s">
        <v>52</v>
      </c>
      <c r="C202" s="9"/>
    </row>
    <row r="203" spans="1:3" s="15" customFormat="1" ht="15" x14ac:dyDescent="0.25">
      <c r="A203" s="18" t="s">
        <v>1245</v>
      </c>
      <c r="B203" s="19" t="s">
        <v>1246</v>
      </c>
      <c r="C203" s="20">
        <v>418503.39</v>
      </c>
    </row>
    <row r="204" spans="1:3" s="15" customFormat="1" ht="15" x14ac:dyDescent="0.25">
      <c r="A204" s="18" t="s">
        <v>1247</v>
      </c>
      <c r="B204" s="19" t="s">
        <v>1248</v>
      </c>
      <c r="C204" s="20">
        <v>131016.55</v>
      </c>
    </row>
    <row r="205" spans="1:3" s="15" customFormat="1" ht="15" x14ac:dyDescent="0.25">
      <c r="A205" s="18" t="s">
        <v>1249</v>
      </c>
      <c r="B205" s="19" t="s">
        <v>1250</v>
      </c>
      <c r="C205" s="20">
        <v>33</v>
      </c>
    </row>
    <row r="206" spans="1:3" s="15" customFormat="1" ht="15" x14ac:dyDescent="0.25">
      <c r="A206" s="18" t="s">
        <v>1251</v>
      </c>
      <c r="B206" s="19" t="s">
        <v>1252</v>
      </c>
      <c r="C206" s="20">
        <v>750</v>
      </c>
    </row>
    <row r="207" spans="1:3" s="15" customFormat="1" ht="15" x14ac:dyDescent="0.25">
      <c r="A207" s="18" t="s">
        <v>1253</v>
      </c>
      <c r="B207" s="19" t="s">
        <v>1254</v>
      </c>
      <c r="C207" s="20">
        <v>560</v>
      </c>
    </row>
    <row r="208" spans="1:3" ht="15" x14ac:dyDescent="0.25">
      <c r="A208" s="2">
        <v>130318</v>
      </c>
      <c r="B208" s="3" t="s">
        <v>78</v>
      </c>
      <c r="C208" s="9"/>
    </row>
    <row r="209" spans="1:3" ht="15" x14ac:dyDescent="0.25">
      <c r="A209" s="2">
        <v>13031805</v>
      </c>
      <c r="B209" s="3" t="s">
        <v>39</v>
      </c>
      <c r="C209" s="9"/>
    </row>
    <row r="210" spans="1:3" ht="15" x14ac:dyDescent="0.25">
      <c r="A210" s="2">
        <v>13031806</v>
      </c>
      <c r="B210" s="3" t="s">
        <v>42</v>
      </c>
      <c r="C210" s="9"/>
    </row>
    <row r="211" spans="1:3" ht="15" x14ac:dyDescent="0.25">
      <c r="A211" s="2">
        <v>13031807</v>
      </c>
      <c r="B211" s="3" t="s">
        <v>43</v>
      </c>
      <c r="C211" s="9"/>
    </row>
    <row r="212" spans="1:3" ht="15" x14ac:dyDescent="0.25">
      <c r="A212" s="2">
        <v>13031813</v>
      </c>
      <c r="B212" s="3" t="s">
        <v>49</v>
      </c>
      <c r="C212" s="9"/>
    </row>
    <row r="213" spans="1:3" ht="15" x14ac:dyDescent="0.25">
      <c r="A213" s="2">
        <v>130319</v>
      </c>
      <c r="B213" s="3" t="s">
        <v>53</v>
      </c>
      <c r="C213" s="9"/>
    </row>
    <row r="214" spans="1:3" ht="30" x14ac:dyDescent="0.25">
      <c r="A214" s="2">
        <v>1304</v>
      </c>
      <c r="B214" s="4" t="s">
        <v>79</v>
      </c>
      <c r="C214" s="11"/>
    </row>
    <row r="215" spans="1:3" ht="15" x14ac:dyDescent="0.25">
      <c r="A215" s="2">
        <v>130401</v>
      </c>
      <c r="B215" s="3" t="s">
        <v>55</v>
      </c>
      <c r="C215" s="9"/>
    </row>
    <row r="216" spans="1:3" ht="15" x14ac:dyDescent="0.25">
      <c r="A216" s="2">
        <v>13040101</v>
      </c>
      <c r="B216" s="3" t="s">
        <v>56</v>
      </c>
      <c r="C216" s="9"/>
    </row>
    <row r="217" spans="1:3" ht="15" x14ac:dyDescent="0.25">
      <c r="A217" s="2">
        <v>1304010101</v>
      </c>
      <c r="B217" s="3" t="s">
        <v>57</v>
      </c>
      <c r="C217" s="9"/>
    </row>
    <row r="218" spans="1:3" ht="15" x14ac:dyDescent="0.25">
      <c r="A218" s="2">
        <v>1304010102</v>
      </c>
      <c r="B218" s="3" t="s">
        <v>80</v>
      </c>
      <c r="C218" s="9"/>
    </row>
    <row r="219" spans="1:3" ht="15" x14ac:dyDescent="0.25">
      <c r="A219" s="2">
        <v>1304010119</v>
      </c>
      <c r="B219" s="3" t="s">
        <v>59</v>
      </c>
      <c r="C219" s="9"/>
    </row>
    <row r="220" spans="1:3" ht="15" x14ac:dyDescent="0.25">
      <c r="A220" s="2">
        <v>13040109</v>
      </c>
      <c r="B220" s="3" t="s">
        <v>60</v>
      </c>
      <c r="C220" s="9"/>
    </row>
    <row r="221" spans="1:3" ht="15" x14ac:dyDescent="0.25">
      <c r="A221" s="2">
        <v>1304010901</v>
      </c>
      <c r="B221" s="3" t="s">
        <v>57</v>
      </c>
      <c r="C221" s="9"/>
    </row>
    <row r="222" spans="1:3" ht="15" x14ac:dyDescent="0.25">
      <c r="A222" s="2">
        <v>1304010902</v>
      </c>
      <c r="B222" s="3" t="s">
        <v>80</v>
      </c>
      <c r="C222" s="9"/>
    </row>
    <row r="223" spans="1:3" ht="15" x14ac:dyDescent="0.25">
      <c r="A223" s="2">
        <v>1304010919</v>
      </c>
      <c r="B223" s="3" t="s">
        <v>59</v>
      </c>
      <c r="C223" s="9"/>
    </row>
    <row r="224" spans="1:3" ht="15" x14ac:dyDescent="0.25">
      <c r="A224" s="2">
        <v>130402</v>
      </c>
      <c r="B224" s="3" t="s">
        <v>61</v>
      </c>
      <c r="C224" s="9"/>
    </row>
    <row r="225" spans="1:3" ht="15" x14ac:dyDescent="0.25">
      <c r="A225" s="2">
        <v>13040201</v>
      </c>
      <c r="B225" s="3" t="s">
        <v>57</v>
      </c>
      <c r="C225" s="9"/>
    </row>
    <row r="226" spans="1:3" ht="15" x14ac:dyDescent="0.25">
      <c r="A226" s="2">
        <v>13040202</v>
      </c>
      <c r="B226" s="3" t="s">
        <v>58</v>
      </c>
      <c r="C226" s="9"/>
    </row>
    <row r="227" spans="1:3" ht="15" x14ac:dyDescent="0.25">
      <c r="A227" s="2">
        <v>13040219</v>
      </c>
      <c r="B227" s="3" t="s">
        <v>59</v>
      </c>
      <c r="C227" s="9"/>
    </row>
    <row r="228" spans="1:3" ht="15" x14ac:dyDescent="0.25">
      <c r="A228" s="2">
        <v>130403</v>
      </c>
      <c r="B228" s="3" t="s">
        <v>62</v>
      </c>
      <c r="C228" s="9"/>
    </row>
    <row r="229" spans="1:3" ht="15" x14ac:dyDescent="0.25">
      <c r="A229" s="2">
        <v>13040303</v>
      </c>
      <c r="B229" s="3" t="s">
        <v>63</v>
      </c>
      <c r="C229" s="9"/>
    </row>
    <row r="230" spans="1:3" ht="15" x14ac:dyDescent="0.25">
      <c r="A230" s="2">
        <v>13040319</v>
      </c>
      <c r="B230" s="3" t="s">
        <v>64</v>
      </c>
      <c r="C230" s="9"/>
    </row>
    <row r="231" spans="1:3" ht="15" x14ac:dyDescent="0.25">
      <c r="A231" s="2">
        <v>130405</v>
      </c>
      <c r="B231" s="3" t="s">
        <v>39</v>
      </c>
      <c r="C231" s="9"/>
    </row>
    <row r="232" spans="1:3" ht="15" x14ac:dyDescent="0.25">
      <c r="A232" s="2">
        <v>13040503</v>
      </c>
      <c r="B232" s="3" t="s">
        <v>81</v>
      </c>
      <c r="C232" s="9"/>
    </row>
    <row r="233" spans="1:3" ht="15" x14ac:dyDescent="0.25">
      <c r="A233" s="2">
        <v>13040505</v>
      </c>
      <c r="B233" s="3" t="s">
        <v>66</v>
      </c>
      <c r="C233" s="9"/>
    </row>
    <row r="234" spans="1:3" ht="15" x14ac:dyDescent="0.25">
      <c r="A234" s="2">
        <v>13040506</v>
      </c>
      <c r="B234" s="3" t="s">
        <v>67</v>
      </c>
      <c r="C234" s="9"/>
    </row>
    <row r="235" spans="1:3" ht="15" x14ac:dyDescent="0.25">
      <c r="A235" s="2">
        <v>13040507</v>
      </c>
      <c r="B235" s="3" t="s">
        <v>68</v>
      </c>
      <c r="C235" s="9"/>
    </row>
    <row r="236" spans="1:3" ht="15" x14ac:dyDescent="0.25">
      <c r="A236" s="2">
        <v>13040508</v>
      </c>
      <c r="B236" s="3" t="s">
        <v>69</v>
      </c>
      <c r="C236" s="9"/>
    </row>
    <row r="237" spans="1:3" ht="15" x14ac:dyDescent="0.25">
      <c r="A237" s="2">
        <v>13040509</v>
      </c>
      <c r="B237" s="3" t="s">
        <v>70</v>
      </c>
      <c r="C237" s="9"/>
    </row>
    <row r="238" spans="1:3" ht="30" x14ac:dyDescent="0.25">
      <c r="A238" s="2">
        <v>13040510</v>
      </c>
      <c r="B238" s="4" t="s">
        <v>71</v>
      </c>
      <c r="C238" s="11"/>
    </row>
    <row r="239" spans="1:3" ht="15" x14ac:dyDescent="0.25">
      <c r="A239" s="2">
        <v>13040511</v>
      </c>
      <c r="B239" s="3" t="s">
        <v>72</v>
      </c>
      <c r="C239" s="9"/>
    </row>
    <row r="240" spans="1:3" ht="15" x14ac:dyDescent="0.25">
      <c r="A240" s="2">
        <v>13040519</v>
      </c>
      <c r="B240" s="3" t="s">
        <v>41</v>
      </c>
      <c r="C240" s="9"/>
    </row>
    <row r="241" spans="1:3" ht="15" x14ac:dyDescent="0.25">
      <c r="A241" s="2">
        <v>130406</v>
      </c>
      <c r="B241" s="3" t="s">
        <v>42</v>
      </c>
      <c r="C241" s="9"/>
    </row>
    <row r="242" spans="1:3" ht="15" x14ac:dyDescent="0.25">
      <c r="A242" s="2">
        <v>13040608</v>
      </c>
      <c r="B242" s="3" t="s">
        <v>69</v>
      </c>
      <c r="C242" s="9"/>
    </row>
    <row r="243" spans="1:3" ht="15" x14ac:dyDescent="0.25">
      <c r="A243" s="2">
        <v>13040609</v>
      </c>
      <c r="B243" s="3" t="s">
        <v>70</v>
      </c>
      <c r="C243" s="9"/>
    </row>
    <row r="244" spans="1:3" ht="30" x14ac:dyDescent="0.25">
      <c r="A244" s="2">
        <v>13040610</v>
      </c>
      <c r="B244" s="4" t="s">
        <v>71</v>
      </c>
      <c r="C244" s="11"/>
    </row>
    <row r="245" spans="1:3" ht="15" x14ac:dyDescent="0.25">
      <c r="A245" s="2">
        <v>13040611</v>
      </c>
      <c r="B245" s="3" t="s">
        <v>72</v>
      </c>
      <c r="C245" s="9"/>
    </row>
    <row r="246" spans="1:3" ht="15" x14ac:dyDescent="0.25">
      <c r="A246" s="2">
        <v>13040619</v>
      </c>
      <c r="B246" s="3" t="s">
        <v>41</v>
      </c>
      <c r="C246" s="9"/>
    </row>
    <row r="247" spans="1:3" ht="15" x14ac:dyDescent="0.25">
      <c r="A247" s="2">
        <v>130407</v>
      </c>
      <c r="B247" s="3" t="s">
        <v>43</v>
      </c>
      <c r="C247" s="9"/>
    </row>
    <row r="248" spans="1:3" ht="15" x14ac:dyDescent="0.25">
      <c r="A248" s="2">
        <v>13040708</v>
      </c>
      <c r="B248" s="3" t="s">
        <v>69</v>
      </c>
      <c r="C248" s="9"/>
    </row>
    <row r="249" spans="1:3" ht="15" x14ac:dyDescent="0.25">
      <c r="A249" s="2">
        <v>13040709</v>
      </c>
      <c r="B249" s="3" t="s">
        <v>70</v>
      </c>
      <c r="C249" s="9"/>
    </row>
    <row r="250" spans="1:3" ht="30" x14ac:dyDescent="0.25">
      <c r="A250" s="2">
        <v>13040710</v>
      </c>
      <c r="B250" s="4" t="s">
        <v>71</v>
      </c>
      <c r="C250" s="11"/>
    </row>
    <row r="251" spans="1:3" ht="15" x14ac:dyDescent="0.25">
      <c r="A251" s="2">
        <v>13040711</v>
      </c>
      <c r="B251" s="3" t="s">
        <v>72</v>
      </c>
      <c r="C251" s="9"/>
    </row>
    <row r="252" spans="1:3" ht="15" x14ac:dyDescent="0.25">
      <c r="A252" s="2">
        <v>13040712</v>
      </c>
      <c r="B252" s="3" t="s">
        <v>47</v>
      </c>
      <c r="C252" s="9"/>
    </row>
    <row r="253" spans="1:3" ht="15" x14ac:dyDescent="0.25">
      <c r="A253" s="2">
        <v>13040714</v>
      </c>
      <c r="B253" s="3" t="s">
        <v>73</v>
      </c>
      <c r="C253" s="9"/>
    </row>
    <row r="254" spans="1:3" ht="15" x14ac:dyDescent="0.25">
      <c r="A254" s="2">
        <v>13040715</v>
      </c>
      <c r="B254" s="3" t="s">
        <v>74</v>
      </c>
      <c r="C254" s="9"/>
    </row>
    <row r="255" spans="1:3" ht="15" x14ac:dyDescent="0.25">
      <c r="A255" s="2">
        <v>1304071501</v>
      </c>
      <c r="B255" s="3" t="s">
        <v>75</v>
      </c>
      <c r="C255" s="9"/>
    </row>
    <row r="256" spans="1:3" ht="15" x14ac:dyDescent="0.25">
      <c r="A256" s="2">
        <v>1304071502</v>
      </c>
      <c r="B256" s="3" t="s">
        <v>76</v>
      </c>
      <c r="C256" s="9"/>
    </row>
    <row r="257" spans="1:3" ht="15" x14ac:dyDescent="0.25">
      <c r="A257" s="2">
        <v>1304071519</v>
      </c>
      <c r="B257" s="3" t="s">
        <v>41</v>
      </c>
      <c r="C257" s="9"/>
    </row>
    <row r="258" spans="1:3" ht="15" x14ac:dyDescent="0.25">
      <c r="A258" s="2">
        <v>13040719</v>
      </c>
      <c r="B258" s="3" t="s">
        <v>41</v>
      </c>
      <c r="C258" s="9"/>
    </row>
    <row r="259" spans="1:3" ht="30" x14ac:dyDescent="0.25">
      <c r="A259" s="2">
        <v>130410</v>
      </c>
      <c r="B259" s="4" t="s">
        <v>48</v>
      </c>
      <c r="C259" s="11"/>
    </row>
    <row r="260" spans="1:3" ht="15" x14ac:dyDescent="0.25">
      <c r="A260" s="2">
        <v>13041001</v>
      </c>
      <c r="B260" s="3" t="s">
        <v>55</v>
      </c>
      <c r="C260" s="9"/>
    </row>
    <row r="261" spans="1:3" ht="15" x14ac:dyDescent="0.25">
      <c r="A261" s="2">
        <v>13041002</v>
      </c>
      <c r="B261" s="3" t="s">
        <v>61</v>
      </c>
      <c r="C261" s="9"/>
    </row>
    <row r="262" spans="1:3" ht="15" x14ac:dyDescent="0.25">
      <c r="A262" s="2">
        <v>13041003</v>
      </c>
      <c r="B262" s="3" t="s">
        <v>62</v>
      </c>
      <c r="C262" s="9"/>
    </row>
    <row r="263" spans="1:3" ht="15" x14ac:dyDescent="0.25">
      <c r="A263" s="2">
        <v>13041005</v>
      </c>
      <c r="B263" s="3" t="s">
        <v>39</v>
      </c>
      <c r="C263" s="9"/>
    </row>
    <row r="264" spans="1:3" ht="15" x14ac:dyDescent="0.25">
      <c r="A264" s="2">
        <v>13041006</v>
      </c>
      <c r="B264" s="3" t="s">
        <v>42</v>
      </c>
      <c r="C264" s="9"/>
    </row>
    <row r="265" spans="1:3" ht="15" x14ac:dyDescent="0.25">
      <c r="A265" s="2">
        <v>13041007</v>
      </c>
      <c r="B265" s="3" t="s">
        <v>43</v>
      </c>
      <c r="C265" s="9"/>
    </row>
    <row r="266" spans="1:3" ht="15" x14ac:dyDescent="0.25">
      <c r="A266" s="2">
        <v>13041013</v>
      </c>
      <c r="B266" s="3" t="s">
        <v>49</v>
      </c>
      <c r="C266" s="9"/>
    </row>
    <row r="267" spans="1:3" ht="30" x14ac:dyDescent="0.25">
      <c r="A267" s="2">
        <v>130411</v>
      </c>
      <c r="B267" s="4" t="s">
        <v>50</v>
      </c>
      <c r="C267" s="11"/>
    </row>
    <row r="268" spans="1:3" ht="15" x14ac:dyDescent="0.25">
      <c r="A268" s="2">
        <v>13041101</v>
      </c>
      <c r="B268" s="3" t="s">
        <v>55</v>
      </c>
      <c r="C268" s="9"/>
    </row>
    <row r="269" spans="1:3" ht="15" x14ac:dyDescent="0.25">
      <c r="A269" s="2">
        <v>13041102</v>
      </c>
      <c r="B269" s="3" t="s">
        <v>61</v>
      </c>
      <c r="C269" s="9"/>
    </row>
    <row r="270" spans="1:3" ht="15" x14ac:dyDescent="0.25">
      <c r="A270" s="2">
        <v>13041103</v>
      </c>
      <c r="B270" s="3" t="s">
        <v>62</v>
      </c>
      <c r="C270" s="9"/>
    </row>
    <row r="271" spans="1:3" ht="15" x14ac:dyDescent="0.25">
      <c r="A271" s="2">
        <v>13041105</v>
      </c>
      <c r="B271" s="3" t="s">
        <v>39</v>
      </c>
      <c r="C271" s="9"/>
    </row>
    <row r="272" spans="1:3" ht="15" x14ac:dyDescent="0.25">
      <c r="A272" s="2">
        <v>13041106</v>
      </c>
      <c r="B272" s="3" t="s">
        <v>42</v>
      </c>
      <c r="C272" s="9"/>
    </row>
    <row r="273" spans="1:3" ht="15" x14ac:dyDescent="0.25">
      <c r="A273" s="2">
        <v>13041107</v>
      </c>
      <c r="B273" s="3" t="s">
        <v>43</v>
      </c>
      <c r="C273" s="9"/>
    </row>
    <row r="274" spans="1:3" ht="15" x14ac:dyDescent="0.25">
      <c r="A274" s="2">
        <v>13041113</v>
      </c>
      <c r="B274" s="3" t="s">
        <v>49</v>
      </c>
      <c r="C274" s="9"/>
    </row>
    <row r="275" spans="1:3" ht="30" x14ac:dyDescent="0.25">
      <c r="A275" s="2">
        <v>130412</v>
      </c>
      <c r="B275" s="4" t="s">
        <v>51</v>
      </c>
      <c r="C275" s="11"/>
    </row>
    <row r="276" spans="1:3" ht="15" x14ac:dyDescent="0.25">
      <c r="A276" s="2">
        <v>13041201</v>
      </c>
      <c r="B276" s="3" t="s">
        <v>55</v>
      </c>
      <c r="C276" s="9"/>
    </row>
    <row r="277" spans="1:3" ht="15" x14ac:dyDescent="0.25">
      <c r="A277" s="2">
        <v>13041202</v>
      </c>
      <c r="B277" s="3" t="s">
        <v>61</v>
      </c>
      <c r="C277" s="9"/>
    </row>
    <row r="278" spans="1:3" ht="15" x14ac:dyDescent="0.25">
      <c r="A278" s="2">
        <v>13041203</v>
      </c>
      <c r="B278" s="3" t="s">
        <v>62</v>
      </c>
      <c r="C278" s="9"/>
    </row>
    <row r="279" spans="1:3" ht="15" x14ac:dyDescent="0.25">
      <c r="A279" s="2">
        <v>13041205</v>
      </c>
      <c r="B279" s="3" t="s">
        <v>39</v>
      </c>
      <c r="C279" s="9"/>
    </row>
    <row r="280" spans="1:3" ht="15" x14ac:dyDescent="0.25">
      <c r="A280" s="2">
        <v>13041206</v>
      </c>
      <c r="B280" s="3" t="s">
        <v>42</v>
      </c>
      <c r="C280" s="9"/>
    </row>
    <row r="281" spans="1:3" ht="15" x14ac:dyDescent="0.25">
      <c r="A281" s="2">
        <v>13041207</v>
      </c>
      <c r="B281" s="3" t="s">
        <v>43</v>
      </c>
      <c r="C281" s="9"/>
    </row>
    <row r="282" spans="1:3" ht="15" x14ac:dyDescent="0.25">
      <c r="A282" s="2">
        <v>13041213</v>
      </c>
      <c r="B282" s="3" t="s">
        <v>49</v>
      </c>
      <c r="C282" s="9"/>
    </row>
    <row r="283" spans="1:3" ht="15" x14ac:dyDescent="0.25">
      <c r="A283" s="2">
        <v>130413</v>
      </c>
      <c r="B283" s="3" t="s">
        <v>49</v>
      </c>
      <c r="C283" s="9"/>
    </row>
    <row r="284" spans="1:3" ht="30" x14ac:dyDescent="0.25">
      <c r="A284" s="2">
        <v>13041310</v>
      </c>
      <c r="B284" s="4" t="s">
        <v>71</v>
      </c>
      <c r="C284" s="11"/>
    </row>
    <row r="285" spans="1:3" ht="15" x14ac:dyDescent="0.25">
      <c r="A285" s="2">
        <v>13041319</v>
      </c>
      <c r="B285" s="3" t="s">
        <v>41</v>
      </c>
      <c r="C285" s="9"/>
    </row>
    <row r="286" spans="1:3" ht="15" x14ac:dyDescent="0.25">
      <c r="A286" s="2">
        <v>130418</v>
      </c>
      <c r="B286" s="3" t="s">
        <v>78</v>
      </c>
      <c r="C286" s="9"/>
    </row>
    <row r="287" spans="1:3" ht="15" x14ac:dyDescent="0.25">
      <c r="A287" s="2">
        <v>13041801</v>
      </c>
      <c r="B287" s="3" t="s">
        <v>55</v>
      </c>
      <c r="C287" s="9"/>
    </row>
    <row r="288" spans="1:3" ht="15" x14ac:dyDescent="0.25">
      <c r="A288" s="2">
        <v>13041802</v>
      </c>
      <c r="B288" s="3" t="s">
        <v>61</v>
      </c>
      <c r="C288" s="9"/>
    </row>
    <row r="289" spans="1:3" ht="15" x14ac:dyDescent="0.25">
      <c r="A289" s="2">
        <v>13041803</v>
      </c>
      <c r="B289" s="3" t="s">
        <v>62</v>
      </c>
      <c r="C289" s="9"/>
    </row>
    <row r="290" spans="1:3" ht="15" x14ac:dyDescent="0.25">
      <c r="A290" s="2">
        <v>13041805</v>
      </c>
      <c r="B290" s="3" t="s">
        <v>39</v>
      </c>
      <c r="C290" s="9"/>
    </row>
    <row r="291" spans="1:3" ht="15" x14ac:dyDescent="0.25">
      <c r="A291" s="2">
        <v>13041806</v>
      </c>
      <c r="B291" s="3" t="s">
        <v>42</v>
      </c>
      <c r="C291" s="9"/>
    </row>
    <row r="292" spans="1:3" ht="15" x14ac:dyDescent="0.25">
      <c r="A292" s="2">
        <v>13041807</v>
      </c>
      <c r="B292" s="3" t="s">
        <v>43</v>
      </c>
      <c r="C292" s="9"/>
    </row>
    <row r="293" spans="1:3" ht="15" x14ac:dyDescent="0.25">
      <c r="A293" s="2">
        <v>13041813</v>
      </c>
      <c r="B293" s="3" t="s">
        <v>49</v>
      </c>
      <c r="C293" s="9"/>
    </row>
    <row r="294" spans="1:3" ht="15" x14ac:dyDescent="0.25">
      <c r="A294" s="2">
        <v>130419</v>
      </c>
      <c r="B294" s="3" t="s">
        <v>59</v>
      </c>
      <c r="C294" s="9"/>
    </row>
    <row r="295" spans="1:3" ht="15" x14ac:dyDescent="0.25">
      <c r="A295" s="2">
        <v>1305</v>
      </c>
      <c r="B295" s="3" t="s">
        <v>82</v>
      </c>
      <c r="C295" s="9"/>
    </row>
    <row r="296" spans="1:3" ht="15" x14ac:dyDescent="0.25">
      <c r="A296" s="2">
        <v>130501</v>
      </c>
      <c r="B296" s="3" t="s">
        <v>55</v>
      </c>
      <c r="C296" s="9"/>
    </row>
    <row r="297" spans="1:3" ht="15" x14ac:dyDescent="0.25">
      <c r="A297" s="2">
        <v>13050101</v>
      </c>
      <c r="B297" s="3" t="s">
        <v>56</v>
      </c>
      <c r="C297" s="9"/>
    </row>
    <row r="298" spans="1:3" ht="15" x14ac:dyDescent="0.25">
      <c r="A298" s="2">
        <v>1305010101</v>
      </c>
      <c r="B298" s="3" t="s">
        <v>57</v>
      </c>
      <c r="C298" s="9"/>
    </row>
    <row r="299" spans="1:3" ht="15" x14ac:dyDescent="0.25">
      <c r="A299" s="2">
        <v>1305010102</v>
      </c>
      <c r="B299" s="3" t="s">
        <v>58</v>
      </c>
      <c r="C299" s="9"/>
    </row>
    <row r="300" spans="1:3" ht="15" x14ac:dyDescent="0.25">
      <c r="A300" s="2">
        <v>1305010119</v>
      </c>
      <c r="B300" s="3" t="s">
        <v>59</v>
      </c>
      <c r="C300" s="9"/>
    </row>
    <row r="301" spans="1:3" ht="15" x14ac:dyDescent="0.25">
      <c r="A301" s="2">
        <v>13050109</v>
      </c>
      <c r="B301" s="3" t="s">
        <v>60</v>
      </c>
      <c r="C301" s="9"/>
    </row>
    <row r="302" spans="1:3" ht="15" x14ac:dyDescent="0.25">
      <c r="A302" s="2">
        <v>1305010901</v>
      </c>
      <c r="B302" s="3" t="s">
        <v>57</v>
      </c>
      <c r="C302" s="9"/>
    </row>
    <row r="303" spans="1:3" ht="15" x14ac:dyDescent="0.25">
      <c r="A303" s="2">
        <v>1305010919</v>
      </c>
      <c r="B303" s="3" t="s">
        <v>59</v>
      </c>
      <c r="C303" s="9"/>
    </row>
    <row r="304" spans="1:3" ht="15" x14ac:dyDescent="0.25">
      <c r="A304" s="2">
        <v>130502</v>
      </c>
      <c r="B304" s="3" t="s">
        <v>61</v>
      </c>
      <c r="C304" s="9"/>
    </row>
    <row r="305" spans="1:3" ht="15" x14ac:dyDescent="0.25">
      <c r="A305" s="2">
        <v>13050201</v>
      </c>
      <c r="B305" s="3" t="s">
        <v>57</v>
      </c>
      <c r="C305" s="9"/>
    </row>
    <row r="306" spans="1:3" ht="15" x14ac:dyDescent="0.25">
      <c r="A306" s="2">
        <v>13050202</v>
      </c>
      <c r="B306" s="3" t="s">
        <v>58</v>
      </c>
      <c r="C306" s="9"/>
    </row>
    <row r="307" spans="1:3" ht="15" x14ac:dyDescent="0.25">
      <c r="A307" s="2">
        <v>13050219</v>
      </c>
      <c r="B307" s="3" t="s">
        <v>59</v>
      </c>
      <c r="C307" s="9"/>
    </row>
    <row r="308" spans="1:3" ht="15" x14ac:dyDescent="0.25">
      <c r="A308" s="2">
        <v>130503</v>
      </c>
      <c r="B308" s="3" t="s">
        <v>62</v>
      </c>
      <c r="C308" s="9"/>
    </row>
    <row r="309" spans="1:3" ht="15" x14ac:dyDescent="0.25">
      <c r="A309" s="2">
        <v>13050303</v>
      </c>
      <c r="B309" s="3" t="s">
        <v>63</v>
      </c>
      <c r="C309" s="9"/>
    </row>
    <row r="310" spans="1:3" ht="15" x14ac:dyDescent="0.25">
      <c r="A310" s="2">
        <v>13050319</v>
      </c>
      <c r="B310" s="3" t="s">
        <v>64</v>
      </c>
      <c r="C310" s="9"/>
    </row>
    <row r="311" spans="1:3" ht="15" x14ac:dyDescent="0.25">
      <c r="A311" s="2">
        <v>130505</v>
      </c>
      <c r="B311" s="3" t="s">
        <v>39</v>
      </c>
      <c r="C311" s="9"/>
    </row>
    <row r="312" spans="1:3" ht="15" x14ac:dyDescent="0.25">
      <c r="A312" s="2">
        <v>13050503</v>
      </c>
      <c r="B312" s="3" t="s">
        <v>83</v>
      </c>
      <c r="C312" s="9"/>
    </row>
    <row r="313" spans="1:3" ht="15" x14ac:dyDescent="0.25">
      <c r="A313" s="2">
        <v>13050505</v>
      </c>
      <c r="B313" s="3" t="s">
        <v>66</v>
      </c>
      <c r="C313" s="9"/>
    </row>
    <row r="314" spans="1:3" ht="15" x14ac:dyDescent="0.25">
      <c r="A314" s="2">
        <v>13050506</v>
      </c>
      <c r="B314" s="3" t="s">
        <v>67</v>
      </c>
      <c r="C314" s="9"/>
    </row>
    <row r="315" spans="1:3" ht="15" x14ac:dyDescent="0.25">
      <c r="A315" s="2">
        <v>13050507</v>
      </c>
      <c r="B315" s="3" t="s">
        <v>68</v>
      </c>
      <c r="C315" s="9"/>
    </row>
    <row r="316" spans="1:3" ht="15" x14ac:dyDescent="0.25">
      <c r="A316" s="2">
        <v>13050508</v>
      </c>
      <c r="B316" s="3" t="s">
        <v>69</v>
      </c>
      <c r="C316" s="9"/>
    </row>
    <row r="317" spans="1:3" ht="15" x14ac:dyDescent="0.25">
      <c r="A317" s="2">
        <v>13050509</v>
      </c>
      <c r="B317" s="3" t="s">
        <v>70</v>
      </c>
      <c r="C317" s="9"/>
    </row>
    <row r="318" spans="1:3" ht="30" x14ac:dyDescent="0.25">
      <c r="A318" s="2">
        <v>13050510</v>
      </c>
      <c r="B318" s="4" t="s">
        <v>71</v>
      </c>
      <c r="C318" s="11"/>
    </row>
    <row r="319" spans="1:3" ht="15" x14ac:dyDescent="0.25">
      <c r="A319" s="2">
        <v>13050511</v>
      </c>
      <c r="B319" s="3" t="s">
        <v>72</v>
      </c>
      <c r="C319" s="9"/>
    </row>
    <row r="320" spans="1:3" ht="15" x14ac:dyDescent="0.25">
      <c r="A320" s="2">
        <v>13050519</v>
      </c>
      <c r="B320" s="3" t="s">
        <v>41</v>
      </c>
      <c r="C320" s="9"/>
    </row>
    <row r="321" spans="1:3" ht="15" x14ac:dyDescent="0.25">
      <c r="A321" s="2">
        <v>130506</v>
      </c>
      <c r="B321" s="3" t="s">
        <v>42</v>
      </c>
      <c r="C321" s="9"/>
    </row>
    <row r="322" spans="1:3" ht="15" x14ac:dyDescent="0.25">
      <c r="A322" s="2">
        <v>13050608</v>
      </c>
      <c r="B322" s="3" t="s">
        <v>69</v>
      </c>
      <c r="C322" s="9"/>
    </row>
    <row r="323" spans="1:3" ht="15" x14ac:dyDescent="0.25">
      <c r="A323" s="2">
        <v>13050609</v>
      </c>
      <c r="B323" s="3" t="s">
        <v>70</v>
      </c>
      <c r="C323" s="9"/>
    </row>
    <row r="324" spans="1:3" ht="30" x14ac:dyDescent="0.25">
      <c r="A324" s="2">
        <v>13050610</v>
      </c>
      <c r="B324" s="4" t="s">
        <v>71</v>
      </c>
      <c r="C324" s="11"/>
    </row>
    <row r="325" spans="1:3" ht="15" x14ac:dyDescent="0.25">
      <c r="A325" s="2">
        <v>13050611</v>
      </c>
      <c r="B325" s="3" t="s">
        <v>72</v>
      </c>
      <c r="C325" s="9"/>
    </row>
    <row r="326" spans="1:3" ht="15" x14ac:dyDescent="0.25">
      <c r="A326" s="2">
        <v>13050619</v>
      </c>
      <c r="B326" s="3" t="s">
        <v>41</v>
      </c>
      <c r="C326" s="9"/>
    </row>
    <row r="327" spans="1:3" ht="15" x14ac:dyDescent="0.25">
      <c r="A327" s="2">
        <v>130507</v>
      </c>
      <c r="B327" s="3" t="s">
        <v>43</v>
      </c>
      <c r="C327" s="9"/>
    </row>
    <row r="328" spans="1:3" ht="15" x14ac:dyDescent="0.25">
      <c r="A328" s="2">
        <v>13050708</v>
      </c>
      <c r="B328" s="3" t="s">
        <v>69</v>
      </c>
      <c r="C328" s="9"/>
    </row>
    <row r="329" spans="1:3" ht="15" x14ac:dyDescent="0.25">
      <c r="A329" s="2">
        <v>13050709</v>
      </c>
      <c r="B329" s="3" t="s">
        <v>70</v>
      </c>
      <c r="C329" s="9"/>
    </row>
    <row r="330" spans="1:3" ht="30" x14ac:dyDescent="0.25">
      <c r="A330" s="2">
        <v>13050710</v>
      </c>
      <c r="B330" s="4" t="s">
        <v>71</v>
      </c>
      <c r="C330" s="11"/>
    </row>
    <row r="331" spans="1:3" ht="15" x14ac:dyDescent="0.25">
      <c r="A331" s="2">
        <v>13050711</v>
      </c>
      <c r="B331" s="3" t="s">
        <v>72</v>
      </c>
      <c r="C331" s="9"/>
    </row>
    <row r="332" spans="1:3" ht="15" x14ac:dyDescent="0.25">
      <c r="A332" s="2">
        <v>13050712</v>
      </c>
      <c r="B332" s="3" t="s">
        <v>47</v>
      </c>
      <c r="C332" s="9"/>
    </row>
    <row r="333" spans="1:3" ht="15" x14ac:dyDescent="0.25">
      <c r="A333" s="2">
        <v>13050719</v>
      </c>
      <c r="B333" s="3" t="s">
        <v>41</v>
      </c>
      <c r="C333" s="9"/>
    </row>
    <row r="334" spans="1:3" ht="30" x14ac:dyDescent="0.25">
      <c r="A334" s="2">
        <v>130510</v>
      </c>
      <c r="B334" s="4" t="s">
        <v>48</v>
      </c>
      <c r="C334" s="11"/>
    </row>
    <row r="335" spans="1:3" ht="15" x14ac:dyDescent="0.25">
      <c r="A335" s="2">
        <v>13051001</v>
      </c>
      <c r="B335" s="3" t="s">
        <v>55</v>
      </c>
      <c r="C335" s="9"/>
    </row>
    <row r="336" spans="1:3" ht="15" x14ac:dyDescent="0.25">
      <c r="A336" s="2">
        <v>13051002</v>
      </c>
      <c r="B336" s="3" t="s">
        <v>61</v>
      </c>
      <c r="C336" s="9"/>
    </row>
    <row r="337" spans="1:3" ht="15" x14ac:dyDescent="0.25">
      <c r="A337" s="2">
        <v>13051003</v>
      </c>
      <c r="B337" s="3" t="s">
        <v>62</v>
      </c>
      <c r="C337" s="9"/>
    </row>
    <row r="338" spans="1:3" ht="15" x14ac:dyDescent="0.25">
      <c r="A338" s="2">
        <v>13051005</v>
      </c>
      <c r="B338" s="3" t="s">
        <v>39</v>
      </c>
      <c r="C338" s="9"/>
    </row>
    <row r="339" spans="1:3" ht="15" x14ac:dyDescent="0.25">
      <c r="A339" s="2">
        <v>13051006</v>
      </c>
      <c r="B339" s="3" t="s">
        <v>42</v>
      </c>
      <c r="C339" s="9"/>
    </row>
    <row r="340" spans="1:3" ht="15" x14ac:dyDescent="0.25">
      <c r="A340" s="2">
        <v>13051007</v>
      </c>
      <c r="B340" s="3" t="s">
        <v>43</v>
      </c>
      <c r="C340" s="9"/>
    </row>
    <row r="341" spans="1:3" ht="15" x14ac:dyDescent="0.25">
      <c r="A341" s="2">
        <v>13051013</v>
      </c>
      <c r="B341" s="3" t="s">
        <v>49</v>
      </c>
      <c r="C341" s="9"/>
    </row>
    <row r="342" spans="1:3" ht="30" x14ac:dyDescent="0.25">
      <c r="A342" s="2">
        <v>130511</v>
      </c>
      <c r="B342" s="4" t="s">
        <v>50</v>
      </c>
      <c r="C342" s="11"/>
    </row>
    <row r="343" spans="1:3" ht="15" x14ac:dyDescent="0.25">
      <c r="A343" s="2">
        <v>13051101</v>
      </c>
      <c r="B343" s="3" t="s">
        <v>55</v>
      </c>
      <c r="C343" s="9"/>
    </row>
    <row r="344" spans="1:3" ht="15" x14ac:dyDescent="0.25">
      <c r="A344" s="2">
        <v>13051102</v>
      </c>
      <c r="B344" s="3" t="s">
        <v>61</v>
      </c>
      <c r="C344" s="9"/>
    </row>
    <row r="345" spans="1:3" ht="15" x14ac:dyDescent="0.25">
      <c r="A345" s="2">
        <v>13051103</v>
      </c>
      <c r="B345" s="3" t="s">
        <v>62</v>
      </c>
      <c r="C345" s="9"/>
    </row>
    <row r="346" spans="1:3" ht="15" x14ac:dyDescent="0.25">
      <c r="A346" s="2">
        <v>13051105</v>
      </c>
      <c r="B346" s="3" t="s">
        <v>39</v>
      </c>
      <c r="C346" s="9"/>
    </row>
    <row r="347" spans="1:3" ht="15" x14ac:dyDescent="0.25">
      <c r="A347" s="2">
        <v>13051106</v>
      </c>
      <c r="B347" s="3" t="s">
        <v>42</v>
      </c>
      <c r="C347" s="9"/>
    </row>
    <row r="348" spans="1:3" ht="15" x14ac:dyDescent="0.25">
      <c r="A348" s="2">
        <v>13051107</v>
      </c>
      <c r="B348" s="3" t="s">
        <v>43</v>
      </c>
      <c r="C348" s="9"/>
    </row>
    <row r="349" spans="1:3" ht="15" x14ac:dyDescent="0.25">
      <c r="A349" s="2">
        <v>13051113</v>
      </c>
      <c r="B349" s="3" t="s">
        <v>49</v>
      </c>
      <c r="C349" s="9"/>
    </row>
    <row r="350" spans="1:3" ht="30" x14ac:dyDescent="0.25">
      <c r="A350" s="2">
        <v>130512</v>
      </c>
      <c r="B350" s="4" t="s">
        <v>51</v>
      </c>
      <c r="C350" s="11"/>
    </row>
    <row r="351" spans="1:3" ht="15" x14ac:dyDescent="0.25">
      <c r="A351" s="2">
        <v>13051201</v>
      </c>
      <c r="B351" s="3" t="s">
        <v>55</v>
      </c>
      <c r="C351" s="9"/>
    </row>
    <row r="352" spans="1:3" ht="15" x14ac:dyDescent="0.25">
      <c r="A352" s="2">
        <v>13051202</v>
      </c>
      <c r="B352" s="3" t="s">
        <v>61</v>
      </c>
      <c r="C352" s="9"/>
    </row>
    <row r="353" spans="1:3" ht="15" x14ac:dyDescent="0.25">
      <c r="A353" s="2">
        <v>13051203</v>
      </c>
      <c r="B353" s="3" t="s">
        <v>62</v>
      </c>
      <c r="C353" s="9"/>
    </row>
    <row r="354" spans="1:3" ht="15" x14ac:dyDescent="0.25">
      <c r="A354" s="2">
        <v>13051205</v>
      </c>
      <c r="B354" s="3" t="s">
        <v>39</v>
      </c>
      <c r="C354" s="9"/>
    </row>
    <row r="355" spans="1:3" ht="15" x14ac:dyDescent="0.25">
      <c r="A355" s="2">
        <v>13051206</v>
      </c>
      <c r="B355" s="3" t="s">
        <v>42</v>
      </c>
      <c r="C355" s="9"/>
    </row>
    <row r="356" spans="1:3" ht="15" x14ac:dyDescent="0.25">
      <c r="A356" s="2">
        <v>13051207</v>
      </c>
      <c r="B356" s="3" t="s">
        <v>43</v>
      </c>
      <c r="C356" s="9"/>
    </row>
    <row r="357" spans="1:3" ht="15" x14ac:dyDescent="0.25">
      <c r="A357" s="2">
        <v>13051213</v>
      </c>
      <c r="B357" s="3" t="s">
        <v>49</v>
      </c>
      <c r="C357" s="9"/>
    </row>
    <row r="358" spans="1:3" ht="15" x14ac:dyDescent="0.25">
      <c r="A358" s="2">
        <v>130513</v>
      </c>
      <c r="B358" s="3" t="s">
        <v>49</v>
      </c>
      <c r="C358" s="9"/>
    </row>
    <row r="359" spans="1:3" ht="30" x14ac:dyDescent="0.25">
      <c r="A359" s="2">
        <v>13051310</v>
      </c>
      <c r="B359" s="4" t="s">
        <v>71</v>
      </c>
      <c r="C359" s="11"/>
    </row>
    <row r="360" spans="1:3" ht="15" x14ac:dyDescent="0.25">
      <c r="A360" s="2">
        <v>13051319</v>
      </c>
      <c r="B360" s="3" t="s">
        <v>41</v>
      </c>
      <c r="C360" s="9"/>
    </row>
    <row r="361" spans="1:3" ht="15" x14ac:dyDescent="0.25">
      <c r="A361" s="2">
        <v>130518</v>
      </c>
      <c r="B361" s="3" t="s">
        <v>78</v>
      </c>
      <c r="C361" s="9"/>
    </row>
    <row r="362" spans="1:3" ht="15" x14ac:dyDescent="0.25">
      <c r="A362" s="2">
        <v>13051801</v>
      </c>
      <c r="B362" s="3" t="s">
        <v>55</v>
      </c>
      <c r="C362" s="9"/>
    </row>
    <row r="363" spans="1:3" ht="15" x14ac:dyDescent="0.25">
      <c r="A363" s="2">
        <v>13051802</v>
      </c>
      <c r="B363" s="3" t="s">
        <v>61</v>
      </c>
      <c r="C363" s="9"/>
    </row>
    <row r="364" spans="1:3" ht="15" x14ac:dyDescent="0.25">
      <c r="A364" s="2">
        <v>13051803</v>
      </c>
      <c r="B364" s="3" t="s">
        <v>62</v>
      </c>
      <c r="C364" s="9"/>
    </row>
    <row r="365" spans="1:3" ht="15" x14ac:dyDescent="0.25">
      <c r="A365" s="2">
        <v>13051805</v>
      </c>
      <c r="B365" s="3" t="s">
        <v>39</v>
      </c>
      <c r="C365" s="9"/>
    </row>
    <row r="366" spans="1:3" ht="15" x14ac:dyDescent="0.25">
      <c r="A366" s="2">
        <v>13051806</v>
      </c>
      <c r="B366" s="3" t="s">
        <v>42</v>
      </c>
      <c r="C366" s="9"/>
    </row>
    <row r="367" spans="1:3" ht="15" x14ac:dyDescent="0.25">
      <c r="A367" s="2">
        <v>13051807</v>
      </c>
      <c r="B367" s="3" t="s">
        <v>43</v>
      </c>
      <c r="C367" s="9"/>
    </row>
    <row r="368" spans="1:3" ht="15" x14ac:dyDescent="0.25">
      <c r="A368" s="2">
        <v>13051813</v>
      </c>
      <c r="B368" s="3" t="s">
        <v>49</v>
      </c>
      <c r="C368" s="9"/>
    </row>
    <row r="369" spans="1:3" ht="15" x14ac:dyDescent="0.25">
      <c r="A369" s="2">
        <v>130519</v>
      </c>
      <c r="B369" s="3" t="s">
        <v>59</v>
      </c>
      <c r="C369" s="9"/>
    </row>
    <row r="370" spans="1:3" ht="15" x14ac:dyDescent="0.25">
      <c r="A370" s="2">
        <v>1306</v>
      </c>
      <c r="B370" s="3" t="s">
        <v>84</v>
      </c>
      <c r="C370" s="9"/>
    </row>
    <row r="371" spans="1:3" ht="30" x14ac:dyDescent="0.25">
      <c r="A371" s="2">
        <v>1308</v>
      </c>
      <c r="B371" s="4" t="s">
        <v>85</v>
      </c>
      <c r="C371" s="11"/>
    </row>
    <row r="372" spans="1:3" ht="30" x14ac:dyDescent="0.25">
      <c r="A372" s="2">
        <v>130801</v>
      </c>
      <c r="B372" s="4" t="s">
        <v>86</v>
      </c>
      <c r="C372" s="11"/>
    </row>
    <row r="373" spans="1:3" ht="15" x14ac:dyDescent="0.25">
      <c r="A373" s="2">
        <v>13080105</v>
      </c>
      <c r="B373" s="3" t="s">
        <v>39</v>
      </c>
      <c r="C373" s="9"/>
    </row>
    <row r="374" spans="1:3" ht="15" x14ac:dyDescent="0.25">
      <c r="A374" s="2">
        <v>13080106</v>
      </c>
      <c r="B374" s="3" t="s">
        <v>42</v>
      </c>
      <c r="C374" s="9"/>
    </row>
    <row r="375" spans="1:3" ht="15" x14ac:dyDescent="0.25">
      <c r="A375" s="2">
        <v>13080107</v>
      </c>
      <c r="B375" s="3" t="s">
        <v>43</v>
      </c>
      <c r="C375" s="9"/>
    </row>
    <row r="376" spans="1:3" ht="30" x14ac:dyDescent="0.25">
      <c r="A376" s="2">
        <v>13080110</v>
      </c>
      <c r="B376" s="4" t="s">
        <v>48</v>
      </c>
      <c r="C376" s="11"/>
    </row>
    <row r="377" spans="1:3" ht="30" x14ac:dyDescent="0.25">
      <c r="A377" s="2">
        <v>13080111</v>
      </c>
      <c r="B377" s="4" t="s">
        <v>50</v>
      </c>
      <c r="C377" s="11"/>
    </row>
    <row r="378" spans="1:3" ht="30" x14ac:dyDescent="0.25">
      <c r="A378" s="2">
        <v>13080112</v>
      </c>
      <c r="B378" s="4" t="s">
        <v>51</v>
      </c>
      <c r="C378" s="11"/>
    </row>
    <row r="379" spans="1:3" ht="15" x14ac:dyDescent="0.25">
      <c r="A379" s="2">
        <v>13080113</v>
      </c>
      <c r="B379" s="3" t="s">
        <v>49</v>
      </c>
      <c r="C379" s="9"/>
    </row>
    <row r="380" spans="1:3" ht="15" x14ac:dyDescent="0.25">
      <c r="A380" s="2">
        <v>13080119</v>
      </c>
      <c r="B380" s="3" t="s">
        <v>59</v>
      </c>
      <c r="C380" s="9"/>
    </row>
    <row r="381" spans="1:3" ht="30" x14ac:dyDescent="0.25">
      <c r="A381" s="2">
        <v>130803</v>
      </c>
      <c r="B381" s="4" t="s">
        <v>87</v>
      </c>
      <c r="C381" s="11"/>
    </row>
    <row r="382" spans="1:3" ht="15" x14ac:dyDescent="0.25">
      <c r="A382" s="2">
        <v>13080305</v>
      </c>
      <c r="B382" s="3" t="s">
        <v>39</v>
      </c>
      <c r="C382" s="9"/>
    </row>
    <row r="383" spans="1:3" ht="15" x14ac:dyDescent="0.25">
      <c r="A383" s="2">
        <v>13080306</v>
      </c>
      <c r="B383" s="3" t="s">
        <v>42</v>
      </c>
      <c r="C383" s="9"/>
    </row>
    <row r="384" spans="1:3" ht="15" x14ac:dyDescent="0.25">
      <c r="A384" s="2">
        <v>13080307</v>
      </c>
      <c r="B384" s="3" t="s">
        <v>43</v>
      </c>
      <c r="C384" s="9"/>
    </row>
    <row r="385" spans="1:3" ht="30" x14ac:dyDescent="0.25">
      <c r="A385" s="2">
        <v>13080310</v>
      </c>
      <c r="B385" s="4" t="s">
        <v>48</v>
      </c>
      <c r="C385" s="11"/>
    </row>
    <row r="386" spans="1:3" ht="30" x14ac:dyDescent="0.25">
      <c r="A386" s="2">
        <v>13080311</v>
      </c>
      <c r="B386" s="4" t="s">
        <v>50</v>
      </c>
      <c r="C386" s="11"/>
    </row>
    <row r="387" spans="1:3" ht="30" x14ac:dyDescent="0.25">
      <c r="A387" s="2">
        <v>13080312</v>
      </c>
      <c r="B387" s="4" t="s">
        <v>51</v>
      </c>
      <c r="C387" s="11"/>
    </row>
    <row r="388" spans="1:3" ht="15" x14ac:dyDescent="0.25">
      <c r="A388" s="2">
        <v>13080313</v>
      </c>
      <c r="B388" s="3" t="s">
        <v>49</v>
      </c>
      <c r="C388" s="9"/>
    </row>
    <row r="389" spans="1:3" ht="15" x14ac:dyDescent="0.25">
      <c r="A389" s="2">
        <v>13080318</v>
      </c>
      <c r="B389" s="3" t="s">
        <v>78</v>
      </c>
      <c r="C389" s="9"/>
    </row>
    <row r="390" spans="1:3" ht="15" x14ac:dyDescent="0.25">
      <c r="A390" s="2">
        <v>13080319</v>
      </c>
      <c r="B390" s="3" t="s">
        <v>59</v>
      </c>
      <c r="C390" s="9"/>
    </row>
    <row r="391" spans="1:3" ht="30" x14ac:dyDescent="0.25">
      <c r="A391" s="2">
        <v>1309</v>
      </c>
      <c r="B391" s="4" t="s">
        <v>88</v>
      </c>
      <c r="C391" s="20">
        <f t="shared" ref="C391" si="13">+C392</f>
        <v>-419253.39</v>
      </c>
    </row>
    <row r="392" spans="1:3" ht="30" x14ac:dyDescent="0.25">
      <c r="A392" s="2">
        <v>130903</v>
      </c>
      <c r="B392" s="4" t="s">
        <v>87</v>
      </c>
      <c r="C392" s="20">
        <f t="shared" ref="C392" si="14">+C419</f>
        <v>-419253.39</v>
      </c>
    </row>
    <row r="393" spans="1:3" ht="15" x14ac:dyDescent="0.25">
      <c r="A393" s="2">
        <v>13090305</v>
      </c>
      <c r="B393" s="3" t="s">
        <v>39</v>
      </c>
      <c r="C393" s="9"/>
    </row>
    <row r="394" spans="1:3" ht="15" x14ac:dyDescent="0.25">
      <c r="A394" s="2">
        <v>1309030501</v>
      </c>
      <c r="B394" s="3" t="s">
        <v>40</v>
      </c>
      <c r="C394" s="9"/>
    </row>
    <row r="395" spans="1:3" ht="15" x14ac:dyDescent="0.25">
      <c r="A395" s="2">
        <v>1309030519</v>
      </c>
      <c r="B395" s="3" t="s">
        <v>41</v>
      </c>
      <c r="C395" s="9"/>
    </row>
    <row r="396" spans="1:3" ht="15" x14ac:dyDescent="0.25">
      <c r="A396" s="2">
        <v>13090306</v>
      </c>
      <c r="B396" s="3" t="s">
        <v>42</v>
      </c>
      <c r="C396" s="9"/>
    </row>
    <row r="397" spans="1:3" ht="15" x14ac:dyDescent="0.25">
      <c r="A397" s="2">
        <v>1309030601</v>
      </c>
      <c r="B397" s="3" t="s">
        <v>40</v>
      </c>
      <c r="C397" s="9"/>
    </row>
    <row r="398" spans="1:3" ht="15" x14ac:dyDescent="0.25">
      <c r="A398" s="2">
        <v>1309030619</v>
      </c>
      <c r="B398" s="3" t="s">
        <v>41</v>
      </c>
      <c r="C398" s="9"/>
    </row>
    <row r="399" spans="1:3" ht="15" x14ac:dyDescent="0.25">
      <c r="A399" s="2">
        <v>13090307</v>
      </c>
      <c r="B399" s="3" t="s">
        <v>43</v>
      </c>
      <c r="C399" s="9"/>
    </row>
    <row r="400" spans="1:3" ht="15" x14ac:dyDescent="0.25">
      <c r="A400" s="2">
        <v>1309030701</v>
      </c>
      <c r="B400" s="3" t="s">
        <v>40</v>
      </c>
      <c r="C400" s="9"/>
    </row>
    <row r="401" spans="1:3" ht="15" x14ac:dyDescent="0.25">
      <c r="A401" s="2">
        <v>1309030702</v>
      </c>
      <c r="B401" s="3" t="s">
        <v>44</v>
      </c>
      <c r="C401" s="9"/>
    </row>
    <row r="402" spans="1:3" ht="15" x14ac:dyDescent="0.25">
      <c r="A402" s="2">
        <v>1309030705</v>
      </c>
      <c r="B402" s="3" t="s">
        <v>45</v>
      </c>
      <c r="C402" s="9"/>
    </row>
    <row r="403" spans="1:3" ht="15" x14ac:dyDescent="0.25">
      <c r="A403" s="2">
        <v>1309030706</v>
      </c>
      <c r="B403" s="3" t="s">
        <v>46</v>
      </c>
      <c r="C403" s="9"/>
    </row>
    <row r="404" spans="1:3" ht="15" x14ac:dyDescent="0.25">
      <c r="A404" s="2">
        <v>1309030712</v>
      </c>
      <c r="B404" s="3" t="s">
        <v>47</v>
      </c>
      <c r="C404" s="9"/>
    </row>
    <row r="405" spans="1:3" ht="15" x14ac:dyDescent="0.25">
      <c r="A405" s="2">
        <v>1309030719</v>
      </c>
      <c r="B405" s="3" t="s">
        <v>41</v>
      </c>
      <c r="C405" s="9"/>
    </row>
    <row r="406" spans="1:3" ht="30" x14ac:dyDescent="0.25">
      <c r="A406" s="2">
        <v>13090310</v>
      </c>
      <c r="B406" s="4" t="s">
        <v>48</v>
      </c>
      <c r="C406" s="11"/>
    </row>
    <row r="407" spans="1:3" ht="15" x14ac:dyDescent="0.25">
      <c r="A407" s="2">
        <v>1309031005</v>
      </c>
      <c r="B407" s="3" t="s">
        <v>39</v>
      </c>
      <c r="C407" s="9"/>
    </row>
    <row r="408" spans="1:3" ht="15" x14ac:dyDescent="0.25">
      <c r="A408" s="2">
        <v>1309031006</v>
      </c>
      <c r="B408" s="3" t="s">
        <v>42</v>
      </c>
      <c r="C408" s="9"/>
    </row>
    <row r="409" spans="1:3" ht="15" x14ac:dyDescent="0.25">
      <c r="A409" s="2">
        <v>1309031007</v>
      </c>
      <c r="B409" s="3" t="s">
        <v>43</v>
      </c>
      <c r="C409" s="9"/>
    </row>
    <row r="410" spans="1:3" ht="30" x14ac:dyDescent="0.25">
      <c r="A410" s="2">
        <v>13090311</v>
      </c>
      <c r="B410" s="4" t="s">
        <v>50</v>
      </c>
      <c r="C410" s="11"/>
    </row>
    <row r="411" spans="1:3" ht="15" x14ac:dyDescent="0.25">
      <c r="A411" s="2">
        <v>1309031105</v>
      </c>
      <c r="B411" s="3" t="s">
        <v>39</v>
      </c>
      <c r="C411" s="9"/>
    </row>
    <row r="412" spans="1:3" ht="15" x14ac:dyDescent="0.25">
      <c r="A412" s="2">
        <v>1309031106</v>
      </c>
      <c r="B412" s="3" t="s">
        <v>42</v>
      </c>
      <c r="C412" s="9"/>
    </row>
    <row r="413" spans="1:3" ht="15" x14ac:dyDescent="0.25">
      <c r="A413" s="2">
        <v>1309031107</v>
      </c>
      <c r="B413" s="3" t="s">
        <v>43</v>
      </c>
      <c r="C413" s="9"/>
    </row>
    <row r="414" spans="1:3" ht="30" x14ac:dyDescent="0.25">
      <c r="A414" s="2">
        <v>13090312</v>
      </c>
      <c r="B414" s="4" t="s">
        <v>51</v>
      </c>
      <c r="C414" s="11"/>
    </row>
    <row r="415" spans="1:3" ht="15" x14ac:dyDescent="0.25">
      <c r="A415" s="2">
        <v>1309031205</v>
      </c>
      <c r="B415" s="3" t="s">
        <v>39</v>
      </c>
      <c r="C415" s="9"/>
    </row>
    <row r="416" spans="1:3" ht="15" x14ac:dyDescent="0.25">
      <c r="A416" s="2">
        <v>1309031206</v>
      </c>
      <c r="B416" s="3" t="s">
        <v>42</v>
      </c>
      <c r="C416" s="9"/>
    </row>
    <row r="417" spans="1:3" ht="15" x14ac:dyDescent="0.25">
      <c r="A417" s="2">
        <v>1309031207</v>
      </c>
      <c r="B417" s="3" t="s">
        <v>43</v>
      </c>
      <c r="C417" s="9"/>
    </row>
    <row r="418" spans="1:3" ht="15" x14ac:dyDescent="0.25">
      <c r="A418" s="2">
        <v>13090313</v>
      </c>
      <c r="B418" s="3" t="s">
        <v>49</v>
      </c>
      <c r="C418" s="9"/>
    </row>
    <row r="419" spans="1:3" s="15" customFormat="1" ht="15" x14ac:dyDescent="0.25">
      <c r="A419" s="18" t="s">
        <v>1255</v>
      </c>
      <c r="B419" s="19" t="s">
        <v>1256</v>
      </c>
      <c r="C419" s="20">
        <v>-419253.39</v>
      </c>
    </row>
    <row r="420" spans="1:3" ht="15" x14ac:dyDescent="0.25">
      <c r="A420" s="2">
        <v>13090318</v>
      </c>
      <c r="B420" s="3" t="s">
        <v>78</v>
      </c>
      <c r="C420" s="9"/>
    </row>
    <row r="421" spans="1:3" ht="15" x14ac:dyDescent="0.25">
      <c r="A421" s="2">
        <v>1309031805</v>
      </c>
      <c r="B421" s="3" t="s">
        <v>39</v>
      </c>
      <c r="C421" s="9"/>
    </row>
    <row r="422" spans="1:3" ht="15" x14ac:dyDescent="0.25">
      <c r="A422" s="2">
        <v>1309031806</v>
      </c>
      <c r="B422" s="3" t="s">
        <v>42</v>
      </c>
      <c r="C422" s="9"/>
    </row>
    <row r="423" spans="1:3" ht="15" x14ac:dyDescent="0.25">
      <c r="A423" s="2">
        <v>1309031807</v>
      </c>
      <c r="B423" s="3" t="s">
        <v>43</v>
      </c>
      <c r="C423" s="9"/>
    </row>
    <row r="424" spans="1:3" ht="15" x14ac:dyDescent="0.25">
      <c r="A424" s="2">
        <v>13090319</v>
      </c>
      <c r="B424" s="3" t="s">
        <v>59</v>
      </c>
      <c r="C424" s="9"/>
    </row>
    <row r="425" spans="1:3" ht="30" x14ac:dyDescent="0.25">
      <c r="A425" s="2">
        <v>130904</v>
      </c>
      <c r="B425" s="4" t="s">
        <v>89</v>
      </c>
      <c r="C425" s="11"/>
    </row>
    <row r="426" spans="1:3" ht="15" x14ac:dyDescent="0.25">
      <c r="A426" s="2">
        <v>13090401</v>
      </c>
      <c r="B426" s="3" t="s">
        <v>55</v>
      </c>
      <c r="C426" s="9"/>
    </row>
    <row r="427" spans="1:3" ht="15" x14ac:dyDescent="0.25">
      <c r="A427" s="2">
        <v>1309040101</v>
      </c>
      <c r="B427" s="3" t="s">
        <v>56</v>
      </c>
      <c r="C427" s="9"/>
    </row>
    <row r="428" spans="1:3" ht="15" x14ac:dyDescent="0.25">
      <c r="A428" s="2">
        <v>1309040109</v>
      </c>
      <c r="B428" s="3" t="s">
        <v>60</v>
      </c>
      <c r="C428" s="9"/>
    </row>
    <row r="429" spans="1:3" ht="15" x14ac:dyDescent="0.25">
      <c r="A429" s="2">
        <v>13090402</v>
      </c>
      <c r="B429" s="3" t="s">
        <v>61</v>
      </c>
      <c r="C429" s="9"/>
    </row>
    <row r="430" spans="1:3" ht="15" x14ac:dyDescent="0.25">
      <c r="A430" s="2">
        <v>13090403</v>
      </c>
      <c r="B430" s="3" t="s">
        <v>62</v>
      </c>
      <c r="C430" s="9"/>
    </row>
    <row r="431" spans="1:3" ht="15" x14ac:dyDescent="0.25">
      <c r="A431" s="2">
        <v>13090405</v>
      </c>
      <c r="B431" s="3" t="s">
        <v>39</v>
      </c>
      <c r="C431" s="9"/>
    </row>
    <row r="432" spans="1:3" ht="15" x14ac:dyDescent="0.25">
      <c r="A432" s="2">
        <v>1309040503</v>
      </c>
      <c r="B432" s="3" t="s">
        <v>81</v>
      </c>
      <c r="C432" s="9"/>
    </row>
    <row r="433" spans="1:3" ht="15" x14ac:dyDescent="0.25">
      <c r="A433" s="2">
        <v>1309040505</v>
      </c>
      <c r="B433" s="3" t="s">
        <v>66</v>
      </c>
      <c r="C433" s="9"/>
    </row>
    <row r="434" spans="1:3" ht="15" x14ac:dyDescent="0.25">
      <c r="A434" s="2">
        <v>1309040506</v>
      </c>
      <c r="B434" s="3" t="s">
        <v>67</v>
      </c>
      <c r="C434" s="9"/>
    </row>
    <row r="435" spans="1:3" ht="15" x14ac:dyDescent="0.25">
      <c r="A435" s="2">
        <v>1309040507</v>
      </c>
      <c r="B435" s="3" t="s">
        <v>68</v>
      </c>
      <c r="C435" s="9"/>
    </row>
    <row r="436" spans="1:3" ht="15" x14ac:dyDescent="0.25">
      <c r="A436" s="2">
        <v>1309040508</v>
      </c>
      <c r="B436" s="3" t="s">
        <v>69</v>
      </c>
      <c r="C436" s="9"/>
    </row>
    <row r="437" spans="1:3" ht="15" x14ac:dyDescent="0.25">
      <c r="A437" s="2">
        <v>1309040509</v>
      </c>
      <c r="B437" s="3" t="s">
        <v>70</v>
      </c>
      <c r="C437" s="9"/>
    </row>
    <row r="438" spans="1:3" ht="30" x14ac:dyDescent="0.25">
      <c r="A438" s="2">
        <v>1309040510</v>
      </c>
      <c r="B438" s="4" t="s">
        <v>71</v>
      </c>
      <c r="C438" s="11"/>
    </row>
    <row r="439" spans="1:3" ht="15" x14ac:dyDescent="0.25">
      <c r="A439" s="2">
        <v>1309040511</v>
      </c>
      <c r="B439" s="3" t="s">
        <v>72</v>
      </c>
      <c r="C439" s="9"/>
    </row>
    <row r="440" spans="1:3" ht="15" x14ac:dyDescent="0.25">
      <c r="A440" s="2">
        <v>1309040519</v>
      </c>
      <c r="B440" s="3" t="s">
        <v>41</v>
      </c>
      <c r="C440" s="9"/>
    </row>
    <row r="441" spans="1:3" ht="15" x14ac:dyDescent="0.25">
      <c r="A441" s="2">
        <v>13090406</v>
      </c>
      <c r="B441" s="3" t="s">
        <v>42</v>
      </c>
      <c r="C441" s="9"/>
    </row>
    <row r="442" spans="1:3" ht="15" x14ac:dyDescent="0.25">
      <c r="A442" s="2">
        <v>1309040608</v>
      </c>
      <c r="B442" s="3" t="s">
        <v>69</v>
      </c>
      <c r="C442" s="9"/>
    </row>
    <row r="443" spans="1:3" ht="15" x14ac:dyDescent="0.25">
      <c r="A443" s="2">
        <v>1309040609</v>
      </c>
      <c r="B443" s="3" t="s">
        <v>70</v>
      </c>
      <c r="C443" s="9"/>
    </row>
    <row r="444" spans="1:3" ht="30" x14ac:dyDescent="0.25">
      <c r="A444" s="2">
        <v>1309040610</v>
      </c>
      <c r="B444" s="4" t="s">
        <v>71</v>
      </c>
      <c r="C444" s="11"/>
    </row>
    <row r="445" spans="1:3" ht="15" x14ac:dyDescent="0.25">
      <c r="A445" s="2">
        <v>1309040611</v>
      </c>
      <c r="B445" s="3" t="s">
        <v>72</v>
      </c>
      <c r="C445" s="9"/>
    </row>
    <row r="446" spans="1:3" ht="15" x14ac:dyDescent="0.25">
      <c r="A446" s="2">
        <v>1309040619</v>
      </c>
      <c r="B446" s="3" t="s">
        <v>41</v>
      </c>
      <c r="C446" s="9"/>
    </row>
    <row r="447" spans="1:3" ht="15" x14ac:dyDescent="0.25">
      <c r="A447" s="2">
        <v>13090407</v>
      </c>
      <c r="B447" s="3" t="s">
        <v>43</v>
      </c>
      <c r="C447" s="9"/>
    </row>
    <row r="448" spans="1:3" ht="15" x14ac:dyDescent="0.25">
      <c r="A448" s="2">
        <v>1309040708</v>
      </c>
      <c r="B448" s="3" t="s">
        <v>69</v>
      </c>
      <c r="C448" s="9"/>
    </row>
    <row r="449" spans="1:3" ht="15" x14ac:dyDescent="0.25">
      <c r="A449" s="2">
        <v>1309040709</v>
      </c>
      <c r="B449" s="3" t="s">
        <v>70</v>
      </c>
      <c r="C449" s="9"/>
    </row>
    <row r="450" spans="1:3" ht="15" x14ac:dyDescent="0.25">
      <c r="A450" s="2">
        <v>1309040710</v>
      </c>
      <c r="B450" s="3" t="s">
        <v>90</v>
      </c>
      <c r="C450" s="9"/>
    </row>
    <row r="451" spans="1:3" ht="15" x14ac:dyDescent="0.25">
      <c r="A451" s="2">
        <v>1309040711</v>
      </c>
      <c r="B451" s="3" t="s">
        <v>72</v>
      </c>
      <c r="C451" s="9"/>
    </row>
    <row r="452" spans="1:3" ht="15" x14ac:dyDescent="0.25">
      <c r="A452" s="2">
        <v>1309040712</v>
      </c>
      <c r="B452" s="3" t="s">
        <v>47</v>
      </c>
      <c r="C452" s="9"/>
    </row>
    <row r="453" spans="1:3" ht="15" x14ac:dyDescent="0.25">
      <c r="A453" s="2">
        <v>1309040714</v>
      </c>
      <c r="B453" s="3" t="s">
        <v>73</v>
      </c>
      <c r="C453" s="9"/>
    </row>
    <row r="454" spans="1:3" ht="15" x14ac:dyDescent="0.25">
      <c r="A454" s="2">
        <v>1309040715</v>
      </c>
      <c r="B454" s="3" t="s">
        <v>74</v>
      </c>
      <c r="C454" s="9"/>
    </row>
    <row r="455" spans="1:3" ht="15" x14ac:dyDescent="0.25">
      <c r="A455" s="2">
        <v>1309040719</v>
      </c>
      <c r="B455" s="3" t="s">
        <v>41</v>
      </c>
      <c r="C455" s="9"/>
    </row>
    <row r="456" spans="1:3" ht="30" x14ac:dyDescent="0.25">
      <c r="A456" s="2">
        <v>13090410</v>
      </c>
      <c r="B456" s="4" t="s">
        <v>48</v>
      </c>
      <c r="C456" s="11"/>
    </row>
    <row r="457" spans="1:3" ht="15" x14ac:dyDescent="0.25">
      <c r="A457" s="2">
        <v>1309041001</v>
      </c>
      <c r="B457" s="3" t="s">
        <v>55</v>
      </c>
      <c r="C457" s="9"/>
    </row>
    <row r="458" spans="1:3" ht="15" x14ac:dyDescent="0.25">
      <c r="A458" s="2">
        <v>1309041002</v>
      </c>
      <c r="B458" s="3" t="s">
        <v>61</v>
      </c>
      <c r="C458" s="9"/>
    </row>
    <row r="459" spans="1:3" ht="15" x14ac:dyDescent="0.25">
      <c r="A459" s="2">
        <v>1309041003</v>
      </c>
      <c r="B459" s="3" t="s">
        <v>62</v>
      </c>
      <c r="C459" s="9"/>
    </row>
    <row r="460" spans="1:3" ht="15" x14ac:dyDescent="0.25">
      <c r="A460" s="2">
        <v>1309041005</v>
      </c>
      <c r="B460" s="3" t="s">
        <v>39</v>
      </c>
      <c r="C460" s="9"/>
    </row>
    <row r="461" spans="1:3" ht="15" x14ac:dyDescent="0.25">
      <c r="A461" s="2">
        <v>1309041006</v>
      </c>
      <c r="B461" s="3" t="s">
        <v>42</v>
      </c>
      <c r="C461" s="9"/>
    </row>
    <row r="462" spans="1:3" ht="15" x14ac:dyDescent="0.25">
      <c r="A462" s="2">
        <v>1309041007</v>
      </c>
      <c r="B462" s="3" t="s">
        <v>43</v>
      </c>
      <c r="C462" s="9"/>
    </row>
    <row r="463" spans="1:3" ht="30" x14ac:dyDescent="0.25">
      <c r="A463" s="2">
        <v>13090411</v>
      </c>
      <c r="B463" s="4" t="s">
        <v>50</v>
      </c>
      <c r="C463" s="11"/>
    </row>
    <row r="464" spans="1:3" ht="15" x14ac:dyDescent="0.25">
      <c r="A464" s="2">
        <v>1309041101</v>
      </c>
      <c r="B464" s="3" t="s">
        <v>55</v>
      </c>
      <c r="C464" s="9"/>
    </row>
    <row r="465" spans="1:3" ht="15" x14ac:dyDescent="0.25">
      <c r="A465" s="2">
        <v>1309041102</v>
      </c>
      <c r="B465" s="3" t="s">
        <v>61</v>
      </c>
      <c r="C465" s="9"/>
    </row>
    <row r="466" spans="1:3" ht="15" x14ac:dyDescent="0.25">
      <c r="A466" s="2">
        <v>1309041103</v>
      </c>
      <c r="B466" s="3" t="s">
        <v>62</v>
      </c>
      <c r="C466" s="9"/>
    </row>
    <row r="467" spans="1:3" ht="15" x14ac:dyDescent="0.25">
      <c r="A467" s="2">
        <v>1309041105</v>
      </c>
      <c r="B467" s="3" t="s">
        <v>39</v>
      </c>
      <c r="C467" s="9"/>
    </row>
    <row r="468" spans="1:3" ht="15" x14ac:dyDescent="0.25">
      <c r="A468" s="2">
        <v>1309041106</v>
      </c>
      <c r="B468" s="3" t="s">
        <v>42</v>
      </c>
      <c r="C468" s="9"/>
    </row>
    <row r="469" spans="1:3" ht="15" x14ac:dyDescent="0.25">
      <c r="A469" s="2">
        <v>1309041107</v>
      </c>
      <c r="B469" s="3" t="s">
        <v>43</v>
      </c>
      <c r="C469" s="9"/>
    </row>
    <row r="470" spans="1:3" ht="30" x14ac:dyDescent="0.25">
      <c r="A470" s="2">
        <v>13090412</v>
      </c>
      <c r="B470" s="4" t="s">
        <v>51</v>
      </c>
      <c r="C470" s="11"/>
    </row>
    <row r="471" spans="1:3" ht="15" x14ac:dyDescent="0.25">
      <c r="A471" s="2">
        <v>1309041201</v>
      </c>
      <c r="B471" s="3" t="s">
        <v>55</v>
      </c>
      <c r="C471" s="9"/>
    </row>
    <row r="472" spans="1:3" ht="15" x14ac:dyDescent="0.25">
      <c r="A472" s="2">
        <v>1309041202</v>
      </c>
      <c r="B472" s="3" t="s">
        <v>61</v>
      </c>
      <c r="C472" s="9"/>
    </row>
    <row r="473" spans="1:3" ht="15" x14ac:dyDescent="0.25">
      <c r="A473" s="2">
        <v>1309041203</v>
      </c>
      <c r="B473" s="3" t="s">
        <v>62</v>
      </c>
      <c r="C473" s="9"/>
    </row>
    <row r="474" spans="1:3" ht="15" x14ac:dyDescent="0.25">
      <c r="A474" s="2">
        <v>1309041205</v>
      </c>
      <c r="B474" s="3" t="s">
        <v>39</v>
      </c>
      <c r="C474" s="9"/>
    </row>
    <row r="475" spans="1:3" ht="15" x14ac:dyDescent="0.25">
      <c r="A475" s="2">
        <v>1309041206</v>
      </c>
      <c r="B475" s="3" t="s">
        <v>42</v>
      </c>
      <c r="C475" s="9"/>
    </row>
    <row r="476" spans="1:3" ht="15" x14ac:dyDescent="0.25">
      <c r="A476" s="2">
        <v>1309041207</v>
      </c>
      <c r="B476" s="3" t="s">
        <v>43</v>
      </c>
      <c r="C476" s="9"/>
    </row>
    <row r="477" spans="1:3" ht="15" x14ac:dyDescent="0.25">
      <c r="A477" s="2">
        <v>13090418</v>
      </c>
      <c r="B477" s="3" t="s">
        <v>78</v>
      </c>
      <c r="C477" s="9"/>
    </row>
    <row r="478" spans="1:3" ht="15" x14ac:dyDescent="0.25">
      <c r="A478" s="2">
        <v>1309041801</v>
      </c>
      <c r="B478" s="3" t="s">
        <v>55</v>
      </c>
      <c r="C478" s="9"/>
    </row>
    <row r="479" spans="1:3" ht="15" x14ac:dyDescent="0.25">
      <c r="A479" s="2">
        <v>1309041802</v>
      </c>
      <c r="B479" s="3" t="s">
        <v>61</v>
      </c>
      <c r="C479" s="9"/>
    </row>
    <row r="480" spans="1:3" ht="15" x14ac:dyDescent="0.25">
      <c r="A480" s="2">
        <v>1309041803</v>
      </c>
      <c r="B480" s="3" t="s">
        <v>62</v>
      </c>
      <c r="C480" s="9"/>
    </row>
    <row r="481" spans="1:3" ht="15" x14ac:dyDescent="0.25">
      <c r="A481" s="2">
        <v>1309041805</v>
      </c>
      <c r="B481" s="3" t="s">
        <v>39</v>
      </c>
      <c r="C481" s="9"/>
    </row>
    <row r="482" spans="1:3" ht="15" x14ac:dyDescent="0.25">
      <c r="A482" s="2">
        <v>1309041806</v>
      </c>
      <c r="B482" s="3" t="s">
        <v>42</v>
      </c>
      <c r="C482" s="9"/>
    </row>
    <row r="483" spans="1:3" ht="15" x14ac:dyDescent="0.25">
      <c r="A483" s="2">
        <v>1309041807</v>
      </c>
      <c r="B483" s="3" t="s">
        <v>43</v>
      </c>
      <c r="C483" s="9"/>
    </row>
    <row r="484" spans="1:3" ht="15" x14ac:dyDescent="0.25">
      <c r="A484" s="2">
        <v>13090419</v>
      </c>
      <c r="B484" s="3" t="s">
        <v>59</v>
      </c>
      <c r="C484" s="9"/>
    </row>
    <row r="485" spans="1:3" ht="15" x14ac:dyDescent="0.25">
      <c r="A485" s="2">
        <v>130905</v>
      </c>
      <c r="B485" s="3" t="s">
        <v>91</v>
      </c>
      <c r="C485" s="9"/>
    </row>
    <row r="486" spans="1:3" ht="15" x14ac:dyDescent="0.25">
      <c r="A486" s="2">
        <v>13090501</v>
      </c>
      <c r="B486" s="3" t="s">
        <v>55</v>
      </c>
      <c r="C486" s="9"/>
    </row>
    <row r="487" spans="1:3" ht="15" x14ac:dyDescent="0.25">
      <c r="A487" s="2">
        <v>1309050101</v>
      </c>
      <c r="B487" s="3" t="s">
        <v>56</v>
      </c>
      <c r="C487" s="9"/>
    </row>
    <row r="488" spans="1:3" ht="15" x14ac:dyDescent="0.25">
      <c r="A488" s="2">
        <v>1309050109</v>
      </c>
      <c r="B488" s="3" t="s">
        <v>60</v>
      </c>
      <c r="C488" s="9"/>
    </row>
    <row r="489" spans="1:3" ht="15" x14ac:dyDescent="0.25">
      <c r="A489" s="2">
        <v>13090502</v>
      </c>
      <c r="B489" s="3" t="s">
        <v>61</v>
      </c>
      <c r="C489" s="9"/>
    </row>
    <row r="490" spans="1:3" ht="15" x14ac:dyDescent="0.25">
      <c r="A490" s="2">
        <v>13090503</v>
      </c>
      <c r="B490" s="3" t="s">
        <v>62</v>
      </c>
      <c r="C490" s="9"/>
    </row>
    <row r="491" spans="1:3" ht="15" x14ac:dyDescent="0.25">
      <c r="A491" s="2">
        <v>13090505</v>
      </c>
      <c r="B491" s="3" t="s">
        <v>39</v>
      </c>
      <c r="C491" s="9"/>
    </row>
    <row r="492" spans="1:3" ht="15" x14ac:dyDescent="0.25">
      <c r="A492" s="2">
        <v>1309050503</v>
      </c>
      <c r="B492" s="3" t="s">
        <v>81</v>
      </c>
      <c r="C492" s="9"/>
    </row>
    <row r="493" spans="1:3" ht="15" x14ac:dyDescent="0.25">
      <c r="A493" s="2">
        <v>1309050505</v>
      </c>
      <c r="B493" s="3" t="s">
        <v>66</v>
      </c>
      <c r="C493" s="9"/>
    </row>
    <row r="494" spans="1:3" ht="15" x14ac:dyDescent="0.25">
      <c r="A494" s="2">
        <v>1309050506</v>
      </c>
      <c r="B494" s="3" t="s">
        <v>67</v>
      </c>
      <c r="C494" s="9"/>
    </row>
    <row r="495" spans="1:3" ht="15" x14ac:dyDescent="0.25">
      <c r="A495" s="2">
        <v>1309050507</v>
      </c>
      <c r="B495" s="3" t="s">
        <v>68</v>
      </c>
      <c r="C495" s="9"/>
    </row>
    <row r="496" spans="1:3" ht="15" x14ac:dyDescent="0.25">
      <c r="A496" s="2">
        <v>1309050508</v>
      </c>
      <c r="B496" s="3" t="s">
        <v>69</v>
      </c>
      <c r="C496" s="9"/>
    </row>
    <row r="497" spans="1:3" ht="15" x14ac:dyDescent="0.25">
      <c r="A497" s="2">
        <v>1309050509</v>
      </c>
      <c r="B497" s="3" t="s">
        <v>70</v>
      </c>
      <c r="C497" s="9"/>
    </row>
    <row r="498" spans="1:3" ht="30" x14ac:dyDescent="0.25">
      <c r="A498" s="2">
        <v>1309050510</v>
      </c>
      <c r="B498" s="4" t="s">
        <v>71</v>
      </c>
      <c r="C498" s="11"/>
    </row>
    <row r="499" spans="1:3" ht="15" x14ac:dyDescent="0.25">
      <c r="A499" s="2">
        <v>1309050511</v>
      </c>
      <c r="B499" s="3" t="s">
        <v>72</v>
      </c>
      <c r="C499" s="9"/>
    </row>
    <row r="500" spans="1:3" ht="15" x14ac:dyDescent="0.25">
      <c r="A500" s="2">
        <v>1309050519</v>
      </c>
      <c r="B500" s="3" t="s">
        <v>41</v>
      </c>
      <c r="C500" s="9"/>
    </row>
    <row r="501" spans="1:3" ht="15" x14ac:dyDescent="0.25">
      <c r="A501" s="2">
        <v>13090506</v>
      </c>
      <c r="B501" s="3" t="s">
        <v>42</v>
      </c>
      <c r="C501" s="9"/>
    </row>
    <row r="502" spans="1:3" ht="15" x14ac:dyDescent="0.25">
      <c r="A502" s="2">
        <v>1309050608</v>
      </c>
      <c r="B502" s="3" t="s">
        <v>69</v>
      </c>
      <c r="C502" s="9"/>
    </row>
    <row r="503" spans="1:3" ht="15" x14ac:dyDescent="0.25">
      <c r="A503" s="2">
        <v>1309050609</v>
      </c>
      <c r="B503" s="3" t="s">
        <v>70</v>
      </c>
      <c r="C503" s="9"/>
    </row>
    <row r="504" spans="1:3" ht="30" x14ac:dyDescent="0.25">
      <c r="A504" s="2">
        <v>1309050610</v>
      </c>
      <c r="B504" s="4" t="s">
        <v>71</v>
      </c>
      <c r="C504" s="11"/>
    </row>
    <row r="505" spans="1:3" ht="15" x14ac:dyDescent="0.25">
      <c r="A505" s="2">
        <v>1309050611</v>
      </c>
      <c r="B505" s="3" t="s">
        <v>72</v>
      </c>
      <c r="C505" s="9"/>
    </row>
    <row r="506" spans="1:3" ht="15" x14ac:dyDescent="0.25">
      <c r="A506" s="2">
        <v>1309050619</v>
      </c>
      <c r="B506" s="3" t="s">
        <v>41</v>
      </c>
      <c r="C506" s="9"/>
    </row>
    <row r="507" spans="1:3" ht="15" x14ac:dyDescent="0.25">
      <c r="A507" s="2">
        <v>13090507</v>
      </c>
      <c r="B507" s="3" t="s">
        <v>43</v>
      </c>
      <c r="C507" s="9"/>
    </row>
    <row r="508" spans="1:3" ht="15" x14ac:dyDescent="0.25">
      <c r="A508" s="2">
        <v>1309050708</v>
      </c>
      <c r="B508" s="3" t="s">
        <v>69</v>
      </c>
      <c r="C508" s="9"/>
    </row>
    <row r="509" spans="1:3" ht="15" x14ac:dyDescent="0.25">
      <c r="A509" s="2">
        <v>1309050709</v>
      </c>
      <c r="B509" s="3" t="s">
        <v>70</v>
      </c>
      <c r="C509" s="9"/>
    </row>
    <row r="510" spans="1:3" ht="15" x14ac:dyDescent="0.25">
      <c r="A510" s="2">
        <v>1309050710</v>
      </c>
      <c r="B510" s="3" t="s">
        <v>90</v>
      </c>
      <c r="C510" s="9"/>
    </row>
    <row r="511" spans="1:3" ht="15" x14ac:dyDescent="0.25">
      <c r="A511" s="2">
        <v>1309050711</v>
      </c>
      <c r="B511" s="3" t="s">
        <v>72</v>
      </c>
      <c r="C511" s="9"/>
    </row>
    <row r="512" spans="1:3" ht="15" x14ac:dyDescent="0.25">
      <c r="A512" s="2">
        <v>1309050712</v>
      </c>
      <c r="B512" s="3" t="s">
        <v>47</v>
      </c>
      <c r="C512" s="9"/>
    </row>
    <row r="513" spans="1:3" ht="15" x14ac:dyDescent="0.25">
      <c r="A513" s="2">
        <v>1309050719</v>
      </c>
      <c r="B513" s="3" t="s">
        <v>41</v>
      </c>
      <c r="C513" s="9"/>
    </row>
    <row r="514" spans="1:3" ht="30" x14ac:dyDescent="0.25">
      <c r="A514" s="2">
        <v>13090510</v>
      </c>
      <c r="B514" s="4" t="s">
        <v>48</v>
      </c>
      <c r="C514" s="11"/>
    </row>
    <row r="515" spans="1:3" ht="15" x14ac:dyDescent="0.25">
      <c r="A515" s="2">
        <v>1309051001</v>
      </c>
      <c r="B515" s="3" t="s">
        <v>55</v>
      </c>
      <c r="C515" s="9"/>
    </row>
    <row r="516" spans="1:3" ht="15" x14ac:dyDescent="0.25">
      <c r="A516" s="2">
        <v>1309051002</v>
      </c>
      <c r="B516" s="3" t="s">
        <v>61</v>
      </c>
      <c r="C516" s="9"/>
    </row>
    <row r="517" spans="1:3" ht="15" x14ac:dyDescent="0.25">
      <c r="A517" s="2">
        <v>1309051003</v>
      </c>
      <c r="B517" s="3" t="s">
        <v>62</v>
      </c>
      <c r="C517" s="9"/>
    </row>
    <row r="518" spans="1:3" ht="15" x14ac:dyDescent="0.25">
      <c r="A518" s="2">
        <v>1309051005</v>
      </c>
      <c r="B518" s="3" t="s">
        <v>39</v>
      </c>
      <c r="C518" s="9"/>
    </row>
    <row r="519" spans="1:3" ht="15" x14ac:dyDescent="0.25">
      <c r="A519" s="2">
        <v>1309051006</v>
      </c>
      <c r="B519" s="3" t="s">
        <v>42</v>
      </c>
      <c r="C519" s="9"/>
    </row>
    <row r="520" spans="1:3" ht="15" x14ac:dyDescent="0.25">
      <c r="A520" s="2">
        <v>1309051007</v>
      </c>
      <c r="B520" s="3" t="s">
        <v>43</v>
      </c>
      <c r="C520" s="9"/>
    </row>
    <row r="521" spans="1:3" ht="30" x14ac:dyDescent="0.25">
      <c r="A521" s="2">
        <v>13090511</v>
      </c>
      <c r="B521" s="4" t="s">
        <v>50</v>
      </c>
      <c r="C521" s="11"/>
    </row>
    <row r="522" spans="1:3" ht="15" x14ac:dyDescent="0.25">
      <c r="A522" s="2">
        <v>1309051101</v>
      </c>
      <c r="B522" s="3" t="s">
        <v>55</v>
      </c>
      <c r="C522" s="9"/>
    </row>
    <row r="523" spans="1:3" ht="15" x14ac:dyDescent="0.25">
      <c r="A523" s="2">
        <v>1309051102</v>
      </c>
      <c r="B523" s="3" t="s">
        <v>61</v>
      </c>
      <c r="C523" s="9"/>
    </row>
    <row r="524" spans="1:3" ht="15" x14ac:dyDescent="0.25">
      <c r="A524" s="2">
        <v>1309051103</v>
      </c>
      <c r="B524" s="3" t="s">
        <v>62</v>
      </c>
      <c r="C524" s="9"/>
    </row>
    <row r="525" spans="1:3" ht="15" x14ac:dyDescent="0.25">
      <c r="A525" s="2">
        <v>1309051105</v>
      </c>
      <c r="B525" s="3" t="s">
        <v>39</v>
      </c>
      <c r="C525" s="9"/>
    </row>
    <row r="526" spans="1:3" ht="15" x14ac:dyDescent="0.25">
      <c r="A526" s="2">
        <v>1309051106</v>
      </c>
      <c r="B526" s="3" t="s">
        <v>42</v>
      </c>
      <c r="C526" s="9"/>
    </row>
    <row r="527" spans="1:3" ht="15" x14ac:dyDescent="0.25">
      <c r="A527" s="2">
        <v>1309051107</v>
      </c>
      <c r="B527" s="3" t="s">
        <v>43</v>
      </c>
      <c r="C527" s="9"/>
    </row>
    <row r="528" spans="1:3" ht="30" x14ac:dyDescent="0.25">
      <c r="A528" s="2">
        <v>13090512</v>
      </c>
      <c r="B528" s="4" t="s">
        <v>51</v>
      </c>
      <c r="C528" s="11"/>
    </row>
    <row r="529" spans="1:4" ht="15" x14ac:dyDescent="0.25">
      <c r="A529" s="2">
        <v>1309051201</v>
      </c>
      <c r="B529" s="3" t="s">
        <v>55</v>
      </c>
      <c r="C529" s="9"/>
    </row>
    <row r="530" spans="1:4" ht="15" x14ac:dyDescent="0.25">
      <c r="A530" s="2">
        <v>1309051202</v>
      </c>
      <c r="B530" s="3" t="s">
        <v>61</v>
      </c>
      <c r="C530" s="9"/>
    </row>
    <row r="531" spans="1:4" ht="15" x14ac:dyDescent="0.25">
      <c r="A531" s="2">
        <v>1309051203</v>
      </c>
      <c r="B531" s="3" t="s">
        <v>62</v>
      </c>
      <c r="C531" s="9"/>
    </row>
    <row r="532" spans="1:4" ht="15" x14ac:dyDescent="0.25">
      <c r="A532" s="2">
        <v>1309051205</v>
      </c>
      <c r="B532" s="3" t="s">
        <v>39</v>
      </c>
      <c r="C532" s="9"/>
    </row>
    <row r="533" spans="1:4" ht="15" x14ac:dyDescent="0.25">
      <c r="A533" s="2">
        <v>1309051206</v>
      </c>
      <c r="B533" s="3" t="s">
        <v>42</v>
      </c>
      <c r="C533" s="9"/>
    </row>
    <row r="534" spans="1:4" ht="15" x14ac:dyDescent="0.25">
      <c r="A534" s="2">
        <v>1309051207</v>
      </c>
      <c r="B534" s="3" t="s">
        <v>43</v>
      </c>
      <c r="C534" s="9"/>
    </row>
    <row r="535" spans="1:4" ht="15" x14ac:dyDescent="0.25">
      <c r="A535" s="2">
        <v>13090518</v>
      </c>
      <c r="B535" s="3" t="s">
        <v>78</v>
      </c>
      <c r="C535" s="9"/>
    </row>
    <row r="536" spans="1:4" ht="15" x14ac:dyDescent="0.25">
      <c r="A536" s="2">
        <v>1309051801</v>
      </c>
      <c r="B536" s="3" t="s">
        <v>55</v>
      </c>
      <c r="C536" s="9"/>
    </row>
    <row r="537" spans="1:4" ht="15" x14ac:dyDescent="0.25">
      <c r="A537" s="2">
        <v>1309051802</v>
      </c>
      <c r="B537" s="3" t="s">
        <v>61</v>
      </c>
      <c r="C537" s="9"/>
    </row>
    <row r="538" spans="1:4" ht="15" x14ac:dyDescent="0.25">
      <c r="A538" s="2">
        <v>1309051803</v>
      </c>
      <c r="B538" s="3" t="s">
        <v>62</v>
      </c>
      <c r="C538" s="9"/>
    </row>
    <row r="539" spans="1:4" ht="15" x14ac:dyDescent="0.25">
      <c r="A539" s="2">
        <v>1309051805</v>
      </c>
      <c r="B539" s="3" t="s">
        <v>39</v>
      </c>
      <c r="C539" s="9"/>
    </row>
    <row r="540" spans="1:4" ht="15" x14ac:dyDescent="0.25">
      <c r="A540" s="2">
        <v>1309051806</v>
      </c>
      <c r="B540" s="3" t="s">
        <v>42</v>
      </c>
      <c r="C540" s="9"/>
    </row>
    <row r="541" spans="1:4" ht="15" x14ac:dyDescent="0.25">
      <c r="A541" s="2">
        <v>1309051807</v>
      </c>
      <c r="B541" s="3" t="s">
        <v>43</v>
      </c>
      <c r="C541" s="9"/>
    </row>
    <row r="542" spans="1:4" ht="15" x14ac:dyDescent="0.25">
      <c r="A542" s="2">
        <v>1309051809</v>
      </c>
      <c r="B542" s="3" t="s">
        <v>41</v>
      </c>
      <c r="C542" s="9"/>
    </row>
    <row r="543" spans="1:4" ht="15" x14ac:dyDescent="0.25">
      <c r="A543" s="2">
        <v>13090519</v>
      </c>
      <c r="B543" s="3" t="s">
        <v>59</v>
      </c>
      <c r="C543" s="9"/>
    </row>
    <row r="544" spans="1:4" ht="15" x14ac:dyDescent="0.25">
      <c r="A544" s="2">
        <v>14</v>
      </c>
      <c r="B544" s="3" t="s">
        <v>92</v>
      </c>
      <c r="C544" s="20">
        <f t="shared" ref="C544" si="15">+C545+C809+C936+C1507+C1518</f>
        <v>66262497.36999999</v>
      </c>
      <c r="D544" s="23"/>
    </row>
    <row r="545" spans="1:3" ht="15" x14ac:dyDescent="0.25">
      <c r="A545" s="2">
        <v>1401</v>
      </c>
      <c r="B545" s="3" t="s">
        <v>93</v>
      </c>
      <c r="C545" s="20">
        <f t="shared" ref="C545" si="16">+C581</f>
        <v>62400365.969999999</v>
      </c>
    </row>
    <row r="546" spans="1:3" ht="15" x14ac:dyDescent="0.25">
      <c r="A546" s="2">
        <v>140102</v>
      </c>
      <c r="B546" s="3" t="s">
        <v>94</v>
      </c>
      <c r="C546" s="9"/>
    </row>
    <row r="547" spans="1:3" ht="13.8" x14ac:dyDescent="0.25">
      <c r="A547" s="5">
        <v>14010201</v>
      </c>
      <c r="B547" s="6" t="s">
        <v>95</v>
      </c>
      <c r="C547" s="12"/>
    </row>
    <row r="548" spans="1:3" ht="13.8" x14ac:dyDescent="0.25">
      <c r="A548" s="5">
        <v>14010202</v>
      </c>
      <c r="B548" s="6" t="s">
        <v>96</v>
      </c>
      <c r="C548" s="12"/>
    </row>
    <row r="549" spans="1:3" ht="15" x14ac:dyDescent="0.25">
      <c r="A549" s="2">
        <v>14010203</v>
      </c>
      <c r="B549" s="3" t="s">
        <v>97</v>
      </c>
      <c r="C549" s="9"/>
    </row>
    <row r="550" spans="1:3" ht="15" x14ac:dyDescent="0.25">
      <c r="A550" s="2">
        <v>1401020301</v>
      </c>
      <c r="B550" s="3" t="s">
        <v>98</v>
      </c>
      <c r="C550" s="9"/>
    </row>
    <row r="551" spans="1:3" ht="15" x14ac:dyDescent="0.25">
      <c r="A551" s="2">
        <v>1401020302</v>
      </c>
      <c r="B551" s="3" t="s">
        <v>99</v>
      </c>
      <c r="C551" s="9"/>
    </row>
    <row r="552" spans="1:3" ht="15" x14ac:dyDescent="0.25">
      <c r="A552" s="2">
        <v>1401020303</v>
      </c>
      <c r="B552" s="3" t="s">
        <v>100</v>
      </c>
      <c r="C552" s="9"/>
    </row>
    <row r="553" spans="1:3" ht="15" x14ac:dyDescent="0.25">
      <c r="A553" s="2">
        <v>14010204</v>
      </c>
      <c r="B553" s="3" t="s">
        <v>101</v>
      </c>
      <c r="C553" s="9"/>
    </row>
    <row r="554" spans="1:3" ht="15" x14ac:dyDescent="0.25">
      <c r="A554" s="2">
        <v>1401020401</v>
      </c>
      <c r="B554" s="3" t="s">
        <v>102</v>
      </c>
      <c r="C554" s="9"/>
    </row>
    <row r="555" spans="1:3" ht="15" x14ac:dyDescent="0.25">
      <c r="A555" s="2">
        <v>1401020402</v>
      </c>
      <c r="B555" s="3" t="s">
        <v>103</v>
      </c>
      <c r="C555" s="9"/>
    </row>
    <row r="556" spans="1:3" ht="15" x14ac:dyDescent="0.25">
      <c r="A556" s="2">
        <v>1401020403</v>
      </c>
      <c r="B556" s="3" t="s">
        <v>104</v>
      </c>
      <c r="C556" s="9"/>
    </row>
    <row r="557" spans="1:3" ht="15" x14ac:dyDescent="0.25">
      <c r="A557" s="2">
        <v>1401020409</v>
      </c>
      <c r="B557" s="3" t="s">
        <v>105</v>
      </c>
      <c r="C557" s="9"/>
    </row>
    <row r="558" spans="1:3" ht="15" x14ac:dyDescent="0.25">
      <c r="A558" s="2">
        <v>14010205</v>
      </c>
      <c r="B558" s="3" t="s">
        <v>106</v>
      </c>
      <c r="C558" s="9"/>
    </row>
    <row r="559" spans="1:3" ht="15" x14ac:dyDescent="0.25">
      <c r="A559" s="2">
        <v>1401020501</v>
      </c>
      <c r="B559" s="3" t="s">
        <v>107</v>
      </c>
      <c r="C559" s="9"/>
    </row>
    <row r="560" spans="1:3" ht="15" x14ac:dyDescent="0.25">
      <c r="A560" s="2">
        <v>1401020502</v>
      </c>
      <c r="B560" s="3" t="s">
        <v>108</v>
      </c>
      <c r="C560" s="9"/>
    </row>
    <row r="561" spans="1:3" ht="15" x14ac:dyDescent="0.25">
      <c r="A561" s="2">
        <v>1401020503</v>
      </c>
      <c r="B561" s="3" t="s">
        <v>109</v>
      </c>
      <c r="C561" s="9"/>
    </row>
    <row r="562" spans="1:3" ht="15" x14ac:dyDescent="0.25">
      <c r="A562" s="2">
        <v>1401020509</v>
      </c>
      <c r="B562" s="3" t="s">
        <v>110</v>
      </c>
      <c r="C562" s="9"/>
    </row>
    <row r="563" spans="1:3" ht="15" x14ac:dyDescent="0.25">
      <c r="A563" s="2">
        <v>14010206</v>
      </c>
      <c r="B563" s="3" t="s">
        <v>111</v>
      </c>
      <c r="C563" s="9"/>
    </row>
    <row r="564" spans="1:3" ht="15" x14ac:dyDescent="0.25">
      <c r="A564" s="2">
        <v>14010207</v>
      </c>
      <c r="B564" s="3" t="s">
        <v>112</v>
      </c>
      <c r="C564" s="9"/>
    </row>
    <row r="565" spans="1:3" ht="15" x14ac:dyDescent="0.25">
      <c r="A565" s="2">
        <v>14010211</v>
      </c>
      <c r="B565" s="3" t="s">
        <v>113</v>
      </c>
      <c r="C565" s="9"/>
    </row>
    <row r="566" spans="1:3" ht="15" x14ac:dyDescent="0.25">
      <c r="A566" s="2">
        <v>14010212</v>
      </c>
      <c r="B566" s="3" t="s">
        <v>114</v>
      </c>
      <c r="C566" s="9"/>
    </row>
    <row r="567" spans="1:3" ht="15" x14ac:dyDescent="0.25">
      <c r="A567" s="2">
        <v>14010221</v>
      </c>
      <c r="B567" s="3" t="s">
        <v>115</v>
      </c>
      <c r="C567" s="9"/>
    </row>
    <row r="568" spans="1:3" ht="15" x14ac:dyDescent="0.25">
      <c r="A568" s="2">
        <v>14010227</v>
      </c>
      <c r="B568" s="3" t="s">
        <v>116</v>
      </c>
      <c r="C568" s="9"/>
    </row>
    <row r="569" spans="1:3" ht="15" x14ac:dyDescent="0.25">
      <c r="A569" s="2">
        <v>14010299</v>
      </c>
      <c r="B569" s="3" t="s">
        <v>117</v>
      </c>
      <c r="C569" s="9"/>
    </row>
    <row r="570" spans="1:3" ht="15" x14ac:dyDescent="0.25">
      <c r="A570" s="2">
        <v>1401029901</v>
      </c>
      <c r="B570" s="3" t="s">
        <v>118</v>
      </c>
      <c r="C570" s="9"/>
    </row>
    <row r="571" spans="1:3" ht="15" x14ac:dyDescent="0.25">
      <c r="A571" s="2">
        <v>1401029902</v>
      </c>
      <c r="B571" s="3" t="s">
        <v>119</v>
      </c>
      <c r="C571" s="9"/>
    </row>
    <row r="572" spans="1:3" ht="15" x14ac:dyDescent="0.25">
      <c r="A572" s="2">
        <v>140103</v>
      </c>
      <c r="B572" s="3" t="s">
        <v>120</v>
      </c>
      <c r="C572" s="9"/>
    </row>
    <row r="573" spans="1:3" ht="13.8" x14ac:dyDescent="0.25">
      <c r="A573" s="5">
        <v>14010301</v>
      </c>
      <c r="B573" s="6" t="s">
        <v>95</v>
      </c>
      <c r="C573" s="12"/>
    </row>
    <row r="574" spans="1:3" ht="13.8" x14ac:dyDescent="0.25">
      <c r="A574" s="5">
        <v>14010302</v>
      </c>
      <c r="B574" s="6" t="s">
        <v>96</v>
      </c>
      <c r="C574" s="12"/>
    </row>
    <row r="575" spans="1:3" ht="15" x14ac:dyDescent="0.25">
      <c r="A575" s="2">
        <v>14010303</v>
      </c>
      <c r="B575" s="3" t="s">
        <v>97</v>
      </c>
      <c r="C575" s="9"/>
    </row>
    <row r="576" spans="1:3" ht="15" x14ac:dyDescent="0.25">
      <c r="A576" s="2">
        <v>1401030301</v>
      </c>
      <c r="B576" s="3" t="s">
        <v>98</v>
      </c>
      <c r="C576" s="9"/>
    </row>
    <row r="577" spans="1:3" ht="15" x14ac:dyDescent="0.25">
      <c r="A577" s="2">
        <v>1401030302</v>
      </c>
      <c r="B577" s="3" t="s">
        <v>99</v>
      </c>
      <c r="C577" s="9"/>
    </row>
    <row r="578" spans="1:3" ht="15" x14ac:dyDescent="0.25">
      <c r="A578" s="2">
        <v>1401030303</v>
      </c>
      <c r="B578" s="3" t="s">
        <v>100</v>
      </c>
      <c r="C578" s="9"/>
    </row>
    <row r="579" spans="1:3" ht="15" x14ac:dyDescent="0.25">
      <c r="A579" s="2">
        <v>14010306</v>
      </c>
      <c r="B579" s="3" t="s">
        <v>111</v>
      </c>
      <c r="C579" s="9"/>
    </row>
    <row r="580" spans="1:3" ht="15" x14ac:dyDescent="0.25">
      <c r="A580" s="2">
        <v>1401030602</v>
      </c>
      <c r="B580" s="3" t="s">
        <v>121</v>
      </c>
      <c r="C580" s="9"/>
    </row>
    <row r="581" spans="1:3" s="15" customFormat="1" ht="15" x14ac:dyDescent="0.25">
      <c r="A581" s="18" t="s">
        <v>1257</v>
      </c>
      <c r="B581" s="19" t="s">
        <v>1258</v>
      </c>
      <c r="C581" s="20">
        <v>62400365.969999999</v>
      </c>
    </row>
    <row r="582" spans="1:3" ht="15" x14ac:dyDescent="0.25">
      <c r="A582" s="2">
        <v>1401030604</v>
      </c>
      <c r="B582" s="3" t="s">
        <v>123</v>
      </c>
      <c r="C582" s="9"/>
    </row>
    <row r="583" spans="1:3" ht="15" x14ac:dyDescent="0.25">
      <c r="A583" s="2">
        <v>1401030605</v>
      </c>
      <c r="B583" s="3" t="s">
        <v>124</v>
      </c>
      <c r="C583" s="9"/>
    </row>
    <row r="584" spans="1:3" ht="30" x14ac:dyDescent="0.25">
      <c r="A584" s="2">
        <v>1401030611</v>
      </c>
      <c r="B584" s="4" t="s">
        <v>125</v>
      </c>
      <c r="C584" s="11"/>
    </row>
    <row r="585" spans="1:3" ht="30" x14ac:dyDescent="0.25">
      <c r="A585" s="2">
        <v>1401030612</v>
      </c>
      <c r="B585" s="4" t="s">
        <v>126</v>
      </c>
      <c r="C585" s="11"/>
    </row>
    <row r="586" spans="1:3" ht="15" x14ac:dyDescent="0.25">
      <c r="A586" s="2">
        <v>14010307</v>
      </c>
      <c r="B586" s="3" t="s">
        <v>112</v>
      </c>
      <c r="C586" s="9"/>
    </row>
    <row r="587" spans="1:3" ht="15" x14ac:dyDescent="0.25">
      <c r="A587" s="2">
        <v>1401030701</v>
      </c>
      <c r="B587" s="3" t="s">
        <v>127</v>
      </c>
      <c r="C587" s="9"/>
    </row>
    <row r="588" spans="1:3" ht="15" x14ac:dyDescent="0.25">
      <c r="A588" s="2">
        <v>1401030702</v>
      </c>
      <c r="B588" s="3" t="s">
        <v>128</v>
      </c>
      <c r="C588" s="9"/>
    </row>
    <row r="589" spans="1:3" ht="15" x14ac:dyDescent="0.25">
      <c r="A589" s="2">
        <v>14010311</v>
      </c>
      <c r="B589" s="3" t="s">
        <v>113</v>
      </c>
      <c r="C589" s="9"/>
    </row>
    <row r="590" spans="1:3" ht="15" x14ac:dyDescent="0.25">
      <c r="A590" s="2">
        <v>14010312</v>
      </c>
      <c r="B590" s="3" t="s">
        <v>114</v>
      </c>
      <c r="C590" s="9"/>
    </row>
    <row r="591" spans="1:3" ht="15" x14ac:dyDescent="0.25">
      <c r="A591" s="2">
        <v>14010313</v>
      </c>
      <c r="B591" s="3" t="s">
        <v>129</v>
      </c>
      <c r="C591" s="9"/>
    </row>
    <row r="592" spans="1:3" ht="15" x14ac:dyDescent="0.25">
      <c r="A592" s="2">
        <v>14010399</v>
      </c>
      <c r="B592" s="3" t="s">
        <v>117</v>
      </c>
      <c r="C592" s="9"/>
    </row>
    <row r="593" spans="1:3" ht="15" x14ac:dyDescent="0.25">
      <c r="A593" s="2">
        <v>1401039901</v>
      </c>
      <c r="B593" s="3" t="s">
        <v>118</v>
      </c>
      <c r="C593" s="9"/>
    </row>
    <row r="594" spans="1:3" ht="15" x14ac:dyDescent="0.25">
      <c r="A594" s="2">
        <v>1401039902</v>
      </c>
      <c r="B594" s="3" t="s">
        <v>119</v>
      </c>
      <c r="C594" s="9"/>
    </row>
    <row r="595" spans="1:3" ht="15" x14ac:dyDescent="0.25">
      <c r="A595" s="2">
        <v>140104</v>
      </c>
      <c r="B595" s="3" t="s">
        <v>130</v>
      </c>
      <c r="C595" s="9"/>
    </row>
    <row r="596" spans="1:3" ht="15" x14ac:dyDescent="0.25">
      <c r="A596" s="2">
        <v>14010406</v>
      </c>
      <c r="B596" s="3" t="s">
        <v>131</v>
      </c>
      <c r="C596" s="9"/>
    </row>
    <row r="597" spans="1:3" ht="15" x14ac:dyDescent="0.25">
      <c r="A597" s="2">
        <v>1401040601</v>
      </c>
      <c r="B597" s="3" t="s">
        <v>132</v>
      </c>
      <c r="C597" s="9"/>
    </row>
    <row r="598" spans="1:3" ht="15" x14ac:dyDescent="0.25">
      <c r="A598" s="2">
        <v>1401040602</v>
      </c>
      <c r="B598" s="3" t="s">
        <v>133</v>
      </c>
      <c r="C598" s="9"/>
    </row>
    <row r="599" spans="1:3" ht="15" x14ac:dyDescent="0.25">
      <c r="A599" s="2">
        <v>14010423</v>
      </c>
      <c r="B599" s="3" t="s">
        <v>134</v>
      </c>
      <c r="C599" s="9"/>
    </row>
    <row r="600" spans="1:3" ht="30" x14ac:dyDescent="0.25">
      <c r="A600" s="2">
        <v>14010424</v>
      </c>
      <c r="B600" s="4" t="s">
        <v>135</v>
      </c>
      <c r="C600" s="11"/>
    </row>
    <row r="601" spans="1:3" ht="30" x14ac:dyDescent="0.25">
      <c r="A601" s="2">
        <v>14010425</v>
      </c>
      <c r="B601" s="4" t="s">
        <v>136</v>
      </c>
      <c r="C601" s="11"/>
    </row>
    <row r="602" spans="1:3" ht="15" x14ac:dyDescent="0.25">
      <c r="A602" s="2">
        <v>14010428</v>
      </c>
      <c r="B602" s="3" t="s">
        <v>137</v>
      </c>
      <c r="C602" s="9"/>
    </row>
    <row r="603" spans="1:3" ht="15" x14ac:dyDescent="0.25">
      <c r="A603" s="2">
        <v>14010499</v>
      </c>
      <c r="B603" s="3" t="s">
        <v>117</v>
      </c>
      <c r="C603" s="9"/>
    </row>
    <row r="604" spans="1:3" ht="13.8" x14ac:dyDescent="0.25">
      <c r="A604" s="5">
        <v>140107</v>
      </c>
      <c r="B604" s="6" t="s">
        <v>138</v>
      </c>
      <c r="C604" s="12"/>
    </row>
    <row r="605" spans="1:3" ht="13.8" x14ac:dyDescent="0.25">
      <c r="A605" s="5">
        <v>14010701</v>
      </c>
      <c r="B605" s="6" t="s">
        <v>95</v>
      </c>
      <c r="C605" s="12"/>
    </row>
    <row r="606" spans="1:3" ht="13.8" x14ac:dyDescent="0.25">
      <c r="A606" s="5">
        <v>14010702</v>
      </c>
      <c r="B606" s="6" t="s">
        <v>96</v>
      </c>
      <c r="C606" s="12"/>
    </row>
    <row r="607" spans="1:3" ht="13.8" x14ac:dyDescent="0.25">
      <c r="A607" s="5">
        <v>14010703</v>
      </c>
      <c r="B607" s="6" t="s">
        <v>139</v>
      </c>
      <c r="C607" s="12"/>
    </row>
    <row r="608" spans="1:3" ht="13.8" x14ac:dyDescent="0.25">
      <c r="A608" s="5">
        <v>14010704</v>
      </c>
      <c r="B608" s="6" t="s">
        <v>140</v>
      </c>
      <c r="C608" s="12"/>
    </row>
    <row r="609" spans="1:3" ht="13.8" x14ac:dyDescent="0.25">
      <c r="A609" s="5">
        <v>1401070401</v>
      </c>
      <c r="B609" s="6" t="s">
        <v>141</v>
      </c>
      <c r="C609" s="12"/>
    </row>
    <row r="610" spans="1:3" ht="13.8" x14ac:dyDescent="0.25">
      <c r="A610" s="5">
        <v>1401070402</v>
      </c>
      <c r="B610" s="6" t="s">
        <v>142</v>
      </c>
      <c r="C610" s="12"/>
    </row>
    <row r="611" spans="1:3" ht="13.8" x14ac:dyDescent="0.25">
      <c r="A611" s="5">
        <v>1401070403</v>
      </c>
      <c r="B611" s="6" t="s">
        <v>143</v>
      </c>
      <c r="C611" s="12"/>
    </row>
    <row r="612" spans="1:3" ht="13.8" x14ac:dyDescent="0.25">
      <c r="A612" s="5">
        <v>1401070409</v>
      </c>
      <c r="B612" s="6" t="s">
        <v>144</v>
      </c>
      <c r="C612" s="12"/>
    </row>
    <row r="613" spans="1:3" ht="13.8" x14ac:dyDescent="0.25">
      <c r="A613" s="5">
        <v>14010705</v>
      </c>
      <c r="B613" s="6" t="s">
        <v>145</v>
      </c>
      <c r="C613" s="12"/>
    </row>
    <row r="614" spans="1:3" ht="13.8" x14ac:dyDescent="0.25">
      <c r="A614" s="5">
        <v>1401070501</v>
      </c>
      <c r="B614" s="6" t="s">
        <v>146</v>
      </c>
      <c r="C614" s="12"/>
    </row>
    <row r="615" spans="1:3" ht="13.8" x14ac:dyDescent="0.25">
      <c r="A615" s="5">
        <v>1401070502</v>
      </c>
      <c r="B615" s="6" t="s">
        <v>147</v>
      </c>
      <c r="C615" s="12"/>
    </row>
    <row r="616" spans="1:3" ht="13.8" x14ac:dyDescent="0.25">
      <c r="A616" s="5">
        <v>1401070503</v>
      </c>
      <c r="B616" s="6" t="s">
        <v>148</v>
      </c>
      <c r="C616" s="12"/>
    </row>
    <row r="617" spans="1:3" ht="13.8" x14ac:dyDescent="0.25">
      <c r="A617" s="5">
        <v>1401070509</v>
      </c>
      <c r="B617" s="6" t="s">
        <v>149</v>
      </c>
      <c r="C617" s="12"/>
    </row>
    <row r="618" spans="1:3" ht="13.8" x14ac:dyDescent="0.25">
      <c r="A618" s="5">
        <v>14010706</v>
      </c>
      <c r="B618" s="6" t="s">
        <v>150</v>
      </c>
      <c r="C618" s="12"/>
    </row>
    <row r="619" spans="1:3" ht="13.8" x14ac:dyDescent="0.25">
      <c r="A619" s="5">
        <v>14010707</v>
      </c>
      <c r="B619" s="6" t="s">
        <v>151</v>
      </c>
      <c r="C619" s="12"/>
    </row>
    <row r="620" spans="1:3" ht="13.8" x14ac:dyDescent="0.25">
      <c r="A620" s="5">
        <v>14010711</v>
      </c>
      <c r="B620" s="6" t="s">
        <v>152</v>
      </c>
      <c r="C620" s="12"/>
    </row>
    <row r="621" spans="1:3" ht="13.8" x14ac:dyDescent="0.25">
      <c r="A621" s="5">
        <v>14010712</v>
      </c>
      <c r="B621" s="6" t="s">
        <v>153</v>
      </c>
      <c r="C621" s="12"/>
    </row>
    <row r="622" spans="1:3" ht="13.8" x14ac:dyDescent="0.25">
      <c r="A622" s="5">
        <v>14010721</v>
      </c>
      <c r="B622" s="6" t="s">
        <v>154</v>
      </c>
      <c r="C622" s="12"/>
    </row>
    <row r="623" spans="1:3" ht="13.8" x14ac:dyDescent="0.25">
      <c r="A623" s="5">
        <v>14010727</v>
      </c>
      <c r="B623" s="6" t="s">
        <v>155</v>
      </c>
      <c r="C623" s="12"/>
    </row>
    <row r="624" spans="1:3" ht="13.8" x14ac:dyDescent="0.25">
      <c r="A624" s="5">
        <v>14010799</v>
      </c>
      <c r="B624" s="6" t="s">
        <v>156</v>
      </c>
      <c r="C624" s="12"/>
    </row>
    <row r="625" spans="1:3" ht="13.8" x14ac:dyDescent="0.25">
      <c r="A625" s="5">
        <v>1401079901</v>
      </c>
      <c r="B625" s="6" t="s">
        <v>157</v>
      </c>
      <c r="C625" s="12"/>
    </row>
    <row r="626" spans="1:3" ht="13.8" x14ac:dyDescent="0.25">
      <c r="A626" s="5">
        <v>1401079902</v>
      </c>
      <c r="B626" s="6" t="s">
        <v>158</v>
      </c>
      <c r="C626" s="12"/>
    </row>
    <row r="627" spans="1:3" ht="15" x14ac:dyDescent="0.25">
      <c r="A627" s="2">
        <v>140109</v>
      </c>
      <c r="B627" s="3" t="s">
        <v>159</v>
      </c>
      <c r="C627" s="9"/>
    </row>
    <row r="628" spans="1:3" ht="15" x14ac:dyDescent="0.25">
      <c r="A628" s="2">
        <v>14010906</v>
      </c>
      <c r="B628" s="3" t="s">
        <v>131</v>
      </c>
      <c r="C628" s="9"/>
    </row>
    <row r="629" spans="1:3" ht="15" x14ac:dyDescent="0.25">
      <c r="A629" s="2">
        <v>1401090611</v>
      </c>
      <c r="B629" s="3" t="s">
        <v>160</v>
      </c>
      <c r="C629" s="9"/>
    </row>
    <row r="630" spans="1:3" ht="15" x14ac:dyDescent="0.25">
      <c r="A630" s="2">
        <v>1401090612</v>
      </c>
      <c r="B630" s="3" t="s">
        <v>161</v>
      </c>
      <c r="C630" s="9"/>
    </row>
    <row r="631" spans="1:3" ht="15" x14ac:dyDescent="0.25">
      <c r="A631" s="2">
        <v>140110</v>
      </c>
      <c r="B631" s="3" t="s">
        <v>162</v>
      </c>
      <c r="C631" s="9"/>
    </row>
    <row r="632" spans="1:3" ht="13.8" x14ac:dyDescent="0.25">
      <c r="A632" s="5">
        <v>14011001</v>
      </c>
      <c r="B632" s="6" t="s">
        <v>95</v>
      </c>
      <c r="C632" s="12"/>
    </row>
    <row r="633" spans="1:3" ht="13.8" x14ac:dyDescent="0.25">
      <c r="A633" s="5">
        <v>14011002</v>
      </c>
      <c r="B633" s="6" t="s">
        <v>96</v>
      </c>
      <c r="C633" s="12"/>
    </row>
    <row r="634" spans="1:3" ht="15" x14ac:dyDescent="0.25">
      <c r="A634" s="2">
        <v>14011003</v>
      </c>
      <c r="B634" s="3" t="s">
        <v>97</v>
      </c>
      <c r="C634" s="9"/>
    </row>
    <row r="635" spans="1:3" ht="15" x14ac:dyDescent="0.25">
      <c r="A635" s="2">
        <v>14011004</v>
      </c>
      <c r="B635" s="3" t="s">
        <v>101</v>
      </c>
      <c r="C635" s="9"/>
    </row>
    <row r="636" spans="1:3" ht="15" x14ac:dyDescent="0.25">
      <c r="A636" s="2">
        <v>1401100401</v>
      </c>
      <c r="B636" s="3" t="s">
        <v>102</v>
      </c>
      <c r="C636" s="9"/>
    </row>
    <row r="637" spans="1:3" ht="15" x14ac:dyDescent="0.25">
      <c r="A637" s="2">
        <v>1401100402</v>
      </c>
      <c r="B637" s="3" t="s">
        <v>103</v>
      </c>
      <c r="C637" s="9"/>
    </row>
    <row r="638" spans="1:3" ht="15" x14ac:dyDescent="0.25">
      <c r="A638" s="2">
        <v>1401100403</v>
      </c>
      <c r="B638" s="3" t="s">
        <v>104</v>
      </c>
      <c r="C638" s="9"/>
    </row>
    <row r="639" spans="1:3" ht="15" x14ac:dyDescent="0.25">
      <c r="A639" s="2">
        <v>1401100409</v>
      </c>
      <c r="B639" s="3" t="s">
        <v>105</v>
      </c>
      <c r="C639" s="9"/>
    </row>
    <row r="640" spans="1:3" ht="15" x14ac:dyDescent="0.25">
      <c r="A640" s="2">
        <v>14011005</v>
      </c>
      <c r="B640" s="3" t="s">
        <v>106</v>
      </c>
      <c r="C640" s="9"/>
    </row>
    <row r="641" spans="1:3" ht="15" x14ac:dyDescent="0.25">
      <c r="A641" s="2">
        <v>1401100501</v>
      </c>
      <c r="B641" s="3" t="s">
        <v>107</v>
      </c>
      <c r="C641" s="9"/>
    </row>
    <row r="642" spans="1:3" ht="15" x14ac:dyDescent="0.25">
      <c r="A642" s="2">
        <v>1401100502</v>
      </c>
      <c r="B642" s="3" t="s">
        <v>163</v>
      </c>
      <c r="C642" s="9"/>
    </row>
    <row r="643" spans="1:3" ht="15" x14ac:dyDescent="0.25">
      <c r="A643" s="2">
        <v>1401100503</v>
      </c>
      <c r="B643" s="3" t="s">
        <v>164</v>
      </c>
      <c r="C643" s="9"/>
    </row>
    <row r="644" spans="1:3" ht="15" x14ac:dyDescent="0.25">
      <c r="A644" s="2">
        <v>1401100509</v>
      </c>
      <c r="B644" s="3" t="s">
        <v>165</v>
      </c>
      <c r="C644" s="9"/>
    </row>
    <row r="645" spans="1:3" ht="15" x14ac:dyDescent="0.25">
      <c r="A645" s="2">
        <v>14011006</v>
      </c>
      <c r="B645" s="3" t="s">
        <v>111</v>
      </c>
      <c r="C645" s="9"/>
    </row>
    <row r="646" spans="1:3" ht="15" x14ac:dyDescent="0.25">
      <c r="A646" s="2">
        <v>14011007</v>
      </c>
      <c r="B646" s="3" t="s">
        <v>112</v>
      </c>
      <c r="C646" s="9"/>
    </row>
    <row r="647" spans="1:3" ht="15" x14ac:dyDescent="0.25">
      <c r="A647" s="2">
        <v>14011011</v>
      </c>
      <c r="B647" s="3" t="s">
        <v>113</v>
      </c>
      <c r="C647" s="9"/>
    </row>
    <row r="648" spans="1:3" ht="15" x14ac:dyDescent="0.25">
      <c r="A648" s="2">
        <v>14011012</v>
      </c>
      <c r="B648" s="3" t="s">
        <v>114</v>
      </c>
      <c r="C648" s="9"/>
    </row>
    <row r="649" spans="1:3" ht="15" x14ac:dyDescent="0.25">
      <c r="A649" s="2">
        <v>14011021</v>
      </c>
      <c r="B649" s="3" t="s">
        <v>115</v>
      </c>
      <c r="C649" s="9"/>
    </row>
    <row r="650" spans="1:3" ht="15" x14ac:dyDescent="0.25">
      <c r="A650" s="2">
        <v>14011027</v>
      </c>
      <c r="B650" s="3" t="s">
        <v>166</v>
      </c>
      <c r="C650" s="9"/>
    </row>
    <row r="651" spans="1:3" ht="13.8" x14ac:dyDescent="0.25">
      <c r="A651" s="5">
        <v>14011030</v>
      </c>
      <c r="B651" s="6" t="s">
        <v>167</v>
      </c>
      <c r="C651" s="12"/>
    </row>
    <row r="652" spans="1:3" ht="13.8" x14ac:dyDescent="0.25">
      <c r="A652" s="5">
        <v>14011031</v>
      </c>
      <c r="B652" s="6" t="s">
        <v>168</v>
      </c>
      <c r="C652" s="12"/>
    </row>
    <row r="653" spans="1:3" ht="13.8" x14ac:dyDescent="0.25">
      <c r="A653" s="5">
        <v>14011032</v>
      </c>
      <c r="B653" s="6" t="s">
        <v>169</v>
      </c>
      <c r="C653" s="12"/>
    </row>
    <row r="654" spans="1:3" ht="13.8" x14ac:dyDescent="0.25">
      <c r="A654" s="5">
        <v>14011033</v>
      </c>
      <c r="B654" s="6" t="s">
        <v>170</v>
      </c>
      <c r="C654" s="12"/>
    </row>
    <row r="655" spans="1:3" ht="13.8" x14ac:dyDescent="0.25">
      <c r="A655" s="5">
        <v>14011034</v>
      </c>
      <c r="B655" s="6" t="s">
        <v>171</v>
      </c>
      <c r="C655" s="12"/>
    </row>
    <row r="656" spans="1:3" ht="15" x14ac:dyDescent="0.25">
      <c r="A656" s="2">
        <v>14011099</v>
      </c>
      <c r="B656" s="3" t="s">
        <v>117</v>
      </c>
      <c r="C656" s="9"/>
    </row>
    <row r="657" spans="1:3" ht="15" x14ac:dyDescent="0.25">
      <c r="A657" s="2">
        <v>1401109901</v>
      </c>
      <c r="B657" s="3" t="s">
        <v>118</v>
      </c>
      <c r="C657" s="9"/>
    </row>
    <row r="658" spans="1:3" ht="15" x14ac:dyDescent="0.25">
      <c r="A658" s="2">
        <v>1401109902</v>
      </c>
      <c r="B658" s="3" t="s">
        <v>119</v>
      </c>
      <c r="C658" s="9"/>
    </row>
    <row r="659" spans="1:3" ht="15" x14ac:dyDescent="0.25">
      <c r="A659" s="2">
        <v>140111</v>
      </c>
      <c r="B659" s="3" t="s">
        <v>172</v>
      </c>
      <c r="C659" s="9"/>
    </row>
    <row r="660" spans="1:3" ht="13.8" x14ac:dyDescent="0.25">
      <c r="A660" s="5">
        <v>14011101</v>
      </c>
      <c r="B660" s="6" t="s">
        <v>95</v>
      </c>
      <c r="C660" s="12"/>
    </row>
    <row r="661" spans="1:3" ht="13.8" x14ac:dyDescent="0.25">
      <c r="A661" s="5">
        <v>14011102</v>
      </c>
      <c r="B661" s="6" t="s">
        <v>96</v>
      </c>
      <c r="C661" s="12"/>
    </row>
    <row r="662" spans="1:3" ht="15" x14ac:dyDescent="0.25">
      <c r="A662" s="2">
        <v>14011103</v>
      </c>
      <c r="B662" s="3" t="s">
        <v>97</v>
      </c>
      <c r="C662" s="9"/>
    </row>
    <row r="663" spans="1:3" ht="15" x14ac:dyDescent="0.25">
      <c r="A663" s="2">
        <v>14011104</v>
      </c>
      <c r="B663" s="3" t="s">
        <v>101</v>
      </c>
      <c r="C663" s="9"/>
    </row>
    <row r="664" spans="1:3" ht="15" x14ac:dyDescent="0.25">
      <c r="A664" s="2">
        <v>1401110401</v>
      </c>
      <c r="B664" s="3" t="s">
        <v>102</v>
      </c>
      <c r="C664" s="9"/>
    </row>
    <row r="665" spans="1:3" ht="15" x14ac:dyDescent="0.25">
      <c r="A665" s="2">
        <v>1401110402</v>
      </c>
      <c r="B665" s="3" t="s">
        <v>103</v>
      </c>
      <c r="C665" s="9"/>
    </row>
    <row r="666" spans="1:3" ht="15" x14ac:dyDescent="0.25">
      <c r="A666" s="2">
        <v>1401110403</v>
      </c>
      <c r="B666" s="3" t="s">
        <v>104</v>
      </c>
      <c r="C666" s="9"/>
    </row>
    <row r="667" spans="1:3" ht="15" x14ac:dyDescent="0.25">
      <c r="A667" s="2">
        <v>1401110409</v>
      </c>
      <c r="B667" s="3" t="s">
        <v>105</v>
      </c>
      <c r="C667" s="9"/>
    </row>
    <row r="668" spans="1:3" ht="15" x14ac:dyDescent="0.25">
      <c r="A668" s="2">
        <v>14011105</v>
      </c>
      <c r="B668" s="3" t="s">
        <v>106</v>
      </c>
      <c r="C668" s="9"/>
    </row>
    <row r="669" spans="1:3" ht="15" x14ac:dyDescent="0.25">
      <c r="A669" s="2">
        <v>1401110501</v>
      </c>
      <c r="B669" s="3" t="s">
        <v>173</v>
      </c>
      <c r="C669" s="9"/>
    </row>
    <row r="670" spans="1:3" ht="15" x14ac:dyDescent="0.25">
      <c r="A670" s="2">
        <v>1401110502</v>
      </c>
      <c r="B670" s="3" t="s">
        <v>163</v>
      </c>
      <c r="C670" s="9"/>
    </row>
    <row r="671" spans="1:3" ht="15" x14ac:dyDescent="0.25">
      <c r="A671" s="2">
        <v>1401110503</v>
      </c>
      <c r="B671" s="3" t="s">
        <v>164</v>
      </c>
      <c r="C671" s="9"/>
    </row>
    <row r="672" spans="1:3" ht="15" x14ac:dyDescent="0.25">
      <c r="A672" s="2">
        <v>1401110509</v>
      </c>
      <c r="B672" s="3" t="s">
        <v>165</v>
      </c>
      <c r="C672" s="9"/>
    </row>
    <row r="673" spans="1:3" ht="15" x14ac:dyDescent="0.25">
      <c r="A673" s="2">
        <v>14011106</v>
      </c>
      <c r="B673" s="3" t="s">
        <v>111</v>
      </c>
      <c r="C673" s="9"/>
    </row>
    <row r="674" spans="1:3" ht="15" x14ac:dyDescent="0.25">
      <c r="A674" s="2">
        <v>14011107</v>
      </c>
      <c r="B674" s="3" t="s">
        <v>112</v>
      </c>
      <c r="C674" s="9"/>
    </row>
    <row r="675" spans="1:3" ht="15" x14ac:dyDescent="0.25">
      <c r="A675" s="2">
        <v>14011111</v>
      </c>
      <c r="B675" s="3" t="s">
        <v>113</v>
      </c>
      <c r="C675" s="9"/>
    </row>
    <row r="676" spans="1:3" ht="15" x14ac:dyDescent="0.25">
      <c r="A676" s="2">
        <v>14011112</v>
      </c>
      <c r="B676" s="3" t="s">
        <v>114</v>
      </c>
      <c r="C676" s="9"/>
    </row>
    <row r="677" spans="1:3" ht="15" x14ac:dyDescent="0.25">
      <c r="A677" s="2">
        <v>14011121</v>
      </c>
      <c r="B677" s="3" t="s">
        <v>115</v>
      </c>
      <c r="C677" s="9"/>
    </row>
    <row r="678" spans="1:3" ht="15" x14ac:dyDescent="0.25">
      <c r="A678" s="2">
        <v>14011127</v>
      </c>
      <c r="B678" s="3" t="s">
        <v>166</v>
      </c>
      <c r="C678" s="9"/>
    </row>
    <row r="679" spans="1:3" ht="13.8" x14ac:dyDescent="0.25">
      <c r="A679" s="5">
        <v>14011130</v>
      </c>
      <c r="B679" s="6" t="s">
        <v>167</v>
      </c>
      <c r="C679" s="12"/>
    </row>
    <row r="680" spans="1:3" ht="13.8" x14ac:dyDescent="0.25">
      <c r="A680" s="5">
        <v>14011131</v>
      </c>
      <c r="B680" s="6" t="s">
        <v>168</v>
      </c>
      <c r="C680" s="12"/>
    </row>
    <row r="681" spans="1:3" ht="13.8" x14ac:dyDescent="0.25">
      <c r="A681" s="5">
        <v>14011132</v>
      </c>
      <c r="B681" s="6" t="s">
        <v>169</v>
      </c>
      <c r="C681" s="12"/>
    </row>
    <row r="682" spans="1:3" ht="13.8" x14ac:dyDescent="0.25">
      <c r="A682" s="5">
        <v>14011133</v>
      </c>
      <c r="B682" s="6" t="s">
        <v>170</v>
      </c>
      <c r="C682" s="12"/>
    </row>
    <row r="683" spans="1:3" ht="13.8" x14ac:dyDescent="0.25">
      <c r="A683" s="5">
        <v>14011134</v>
      </c>
      <c r="B683" s="6" t="s">
        <v>171</v>
      </c>
      <c r="C683" s="12"/>
    </row>
    <row r="684" spans="1:3" ht="15" x14ac:dyDescent="0.25">
      <c r="A684" s="2">
        <v>14011199</v>
      </c>
      <c r="B684" s="3" t="s">
        <v>117</v>
      </c>
      <c r="C684" s="9"/>
    </row>
    <row r="685" spans="1:3" ht="15" x14ac:dyDescent="0.25">
      <c r="A685" s="2">
        <v>1401119901</v>
      </c>
      <c r="B685" s="3" t="s">
        <v>118</v>
      </c>
      <c r="C685" s="9"/>
    </row>
    <row r="686" spans="1:3" ht="15" x14ac:dyDescent="0.25">
      <c r="A686" s="2">
        <v>1401119902</v>
      </c>
      <c r="B686" s="3" t="s">
        <v>119</v>
      </c>
      <c r="C686" s="9"/>
    </row>
    <row r="687" spans="1:3" ht="15" x14ac:dyDescent="0.25">
      <c r="A687" s="2">
        <v>140112</v>
      </c>
      <c r="B687" s="3" t="s">
        <v>174</v>
      </c>
      <c r="C687" s="9"/>
    </row>
    <row r="688" spans="1:3" ht="13.8" x14ac:dyDescent="0.25">
      <c r="A688" s="5">
        <v>14011201</v>
      </c>
      <c r="B688" s="6" t="s">
        <v>95</v>
      </c>
      <c r="C688" s="12"/>
    </row>
    <row r="689" spans="1:3" ht="13.8" x14ac:dyDescent="0.25">
      <c r="A689" s="5">
        <v>14011202</v>
      </c>
      <c r="B689" s="6" t="s">
        <v>96</v>
      </c>
      <c r="C689" s="12"/>
    </row>
    <row r="690" spans="1:3" ht="15" x14ac:dyDescent="0.25">
      <c r="A690" s="2">
        <v>14011203</v>
      </c>
      <c r="B690" s="3" t="s">
        <v>97</v>
      </c>
      <c r="C690" s="9"/>
    </row>
    <row r="691" spans="1:3" ht="15" x14ac:dyDescent="0.25">
      <c r="A691" s="2">
        <v>14011204</v>
      </c>
      <c r="B691" s="3" t="s">
        <v>101</v>
      </c>
      <c r="C691" s="9"/>
    </row>
    <row r="692" spans="1:3" ht="15" x14ac:dyDescent="0.25">
      <c r="A692" s="2">
        <v>1401120401</v>
      </c>
      <c r="B692" s="3" t="s">
        <v>102</v>
      </c>
      <c r="C692" s="9"/>
    </row>
    <row r="693" spans="1:3" ht="15" x14ac:dyDescent="0.25">
      <c r="A693" s="2">
        <v>1401120402</v>
      </c>
      <c r="B693" s="3" t="s">
        <v>103</v>
      </c>
      <c r="C693" s="9"/>
    </row>
    <row r="694" spans="1:3" ht="15" x14ac:dyDescent="0.25">
      <c r="A694" s="2">
        <v>1401120403</v>
      </c>
      <c r="B694" s="3" t="s">
        <v>104</v>
      </c>
      <c r="C694" s="9"/>
    </row>
    <row r="695" spans="1:3" ht="15" x14ac:dyDescent="0.25">
      <c r="A695" s="2">
        <v>1401120409</v>
      </c>
      <c r="B695" s="3" t="s">
        <v>105</v>
      </c>
      <c r="C695" s="9"/>
    </row>
    <row r="696" spans="1:3" ht="15" x14ac:dyDescent="0.25">
      <c r="A696" s="2">
        <v>14011205</v>
      </c>
      <c r="B696" s="3" t="s">
        <v>106</v>
      </c>
      <c r="C696" s="9"/>
    </row>
    <row r="697" spans="1:3" ht="15" x14ac:dyDescent="0.25">
      <c r="A697" s="2">
        <v>1401120501</v>
      </c>
      <c r="B697" s="3" t="s">
        <v>173</v>
      </c>
      <c r="C697" s="9"/>
    </row>
    <row r="698" spans="1:3" ht="15" x14ac:dyDescent="0.25">
      <c r="A698" s="2">
        <v>1401120502</v>
      </c>
      <c r="B698" s="3" t="s">
        <v>163</v>
      </c>
      <c r="C698" s="9"/>
    </row>
    <row r="699" spans="1:3" ht="15" x14ac:dyDescent="0.25">
      <c r="A699" s="2">
        <v>1401120503</v>
      </c>
      <c r="B699" s="3" t="s">
        <v>164</v>
      </c>
      <c r="C699" s="9"/>
    </row>
    <row r="700" spans="1:3" ht="15" x14ac:dyDescent="0.25">
      <c r="A700" s="2">
        <v>1401120509</v>
      </c>
      <c r="B700" s="3" t="s">
        <v>165</v>
      </c>
      <c r="C700" s="9"/>
    </row>
    <row r="701" spans="1:3" ht="15" x14ac:dyDescent="0.25">
      <c r="A701" s="2">
        <v>14011206</v>
      </c>
      <c r="B701" s="3" t="s">
        <v>111</v>
      </c>
      <c r="C701" s="9"/>
    </row>
    <row r="702" spans="1:3" ht="15" x14ac:dyDescent="0.25">
      <c r="A702" s="2">
        <v>14011207</v>
      </c>
      <c r="B702" s="3" t="s">
        <v>112</v>
      </c>
      <c r="C702" s="9"/>
    </row>
    <row r="703" spans="1:3" ht="15" x14ac:dyDescent="0.25">
      <c r="A703" s="2">
        <v>14011211</v>
      </c>
      <c r="B703" s="3" t="s">
        <v>113</v>
      </c>
      <c r="C703" s="9"/>
    </row>
    <row r="704" spans="1:3" ht="15" x14ac:dyDescent="0.25">
      <c r="A704" s="2">
        <v>14011212</v>
      </c>
      <c r="B704" s="3" t="s">
        <v>114</v>
      </c>
      <c r="C704" s="9"/>
    </row>
    <row r="705" spans="1:3" ht="15" x14ac:dyDescent="0.25">
      <c r="A705" s="2">
        <v>14011221</v>
      </c>
      <c r="B705" s="3" t="s">
        <v>115</v>
      </c>
      <c r="C705" s="9"/>
    </row>
    <row r="706" spans="1:3" ht="15" x14ac:dyDescent="0.25">
      <c r="A706" s="2">
        <v>14011227</v>
      </c>
      <c r="B706" s="3" t="s">
        <v>166</v>
      </c>
      <c r="C706" s="9"/>
    </row>
    <row r="707" spans="1:3" ht="13.8" x14ac:dyDescent="0.25">
      <c r="A707" s="5">
        <v>14011230</v>
      </c>
      <c r="B707" s="6" t="s">
        <v>167</v>
      </c>
      <c r="C707" s="12"/>
    </row>
    <row r="708" spans="1:3" ht="13.8" x14ac:dyDescent="0.25">
      <c r="A708" s="5">
        <v>14011231</v>
      </c>
      <c r="B708" s="6" t="s">
        <v>168</v>
      </c>
      <c r="C708" s="12"/>
    </row>
    <row r="709" spans="1:3" ht="13.8" x14ac:dyDescent="0.25">
      <c r="A709" s="5">
        <v>14011232</v>
      </c>
      <c r="B709" s="6" t="s">
        <v>169</v>
      </c>
      <c r="C709" s="12"/>
    </row>
    <row r="710" spans="1:3" ht="13.8" x14ac:dyDescent="0.25">
      <c r="A710" s="5">
        <v>14011233</v>
      </c>
      <c r="B710" s="6" t="s">
        <v>170</v>
      </c>
      <c r="C710" s="12"/>
    </row>
    <row r="711" spans="1:3" ht="13.8" x14ac:dyDescent="0.25">
      <c r="A711" s="5">
        <v>14011234</v>
      </c>
      <c r="B711" s="6" t="s">
        <v>171</v>
      </c>
      <c r="C711" s="12"/>
    </row>
    <row r="712" spans="1:3" ht="15" x14ac:dyDescent="0.25">
      <c r="A712" s="2">
        <v>14011299</v>
      </c>
      <c r="B712" s="3" t="s">
        <v>117</v>
      </c>
      <c r="C712" s="9"/>
    </row>
    <row r="713" spans="1:3" ht="15" x14ac:dyDescent="0.25">
      <c r="A713" s="2">
        <v>1401129901</v>
      </c>
      <c r="B713" s="3" t="s">
        <v>118</v>
      </c>
      <c r="C713" s="9"/>
    </row>
    <row r="714" spans="1:3" ht="15" x14ac:dyDescent="0.25">
      <c r="A714" s="2">
        <v>1401129902</v>
      </c>
      <c r="B714" s="3" t="s">
        <v>119</v>
      </c>
      <c r="C714" s="9"/>
    </row>
    <row r="715" spans="1:3" ht="15" x14ac:dyDescent="0.25">
      <c r="A715" s="2">
        <v>140113</v>
      </c>
      <c r="B715" s="3" t="s">
        <v>175</v>
      </c>
      <c r="C715" s="9"/>
    </row>
    <row r="716" spans="1:3" ht="13.8" x14ac:dyDescent="0.25">
      <c r="A716" s="5">
        <v>14011301</v>
      </c>
      <c r="B716" s="6" t="s">
        <v>95</v>
      </c>
      <c r="C716" s="12"/>
    </row>
    <row r="717" spans="1:3" ht="13.8" x14ac:dyDescent="0.25">
      <c r="A717" s="5">
        <v>14011302</v>
      </c>
      <c r="B717" s="6" t="s">
        <v>96</v>
      </c>
      <c r="C717" s="12"/>
    </row>
    <row r="718" spans="1:3" ht="15" x14ac:dyDescent="0.25">
      <c r="A718" s="2">
        <v>14011303</v>
      </c>
      <c r="B718" s="3" t="s">
        <v>97</v>
      </c>
      <c r="C718" s="9"/>
    </row>
    <row r="719" spans="1:3" ht="15" x14ac:dyDescent="0.25">
      <c r="A719" s="2">
        <v>1401130301</v>
      </c>
      <c r="B719" s="3" t="s">
        <v>98</v>
      </c>
      <c r="C719" s="9"/>
    </row>
    <row r="720" spans="1:3" ht="15" x14ac:dyDescent="0.25">
      <c r="A720" s="2">
        <v>1401130302</v>
      </c>
      <c r="B720" s="3" t="s">
        <v>99</v>
      </c>
      <c r="C720" s="9"/>
    </row>
    <row r="721" spans="1:3" ht="15" x14ac:dyDescent="0.25">
      <c r="A721" s="2">
        <v>1401130303</v>
      </c>
      <c r="B721" s="3" t="s">
        <v>100</v>
      </c>
      <c r="C721" s="9"/>
    </row>
    <row r="722" spans="1:3" ht="15" x14ac:dyDescent="0.25">
      <c r="A722" s="2">
        <v>14011304</v>
      </c>
      <c r="B722" s="3" t="s">
        <v>101</v>
      </c>
      <c r="C722" s="9"/>
    </row>
    <row r="723" spans="1:3" ht="15" x14ac:dyDescent="0.25">
      <c r="A723" s="2">
        <v>1401130401</v>
      </c>
      <c r="B723" s="3" t="s">
        <v>102</v>
      </c>
      <c r="C723" s="9"/>
    </row>
    <row r="724" spans="1:3" ht="15" x14ac:dyDescent="0.25">
      <c r="A724" s="2">
        <v>1401130402</v>
      </c>
      <c r="B724" s="3" t="s">
        <v>103</v>
      </c>
      <c r="C724" s="9"/>
    </row>
    <row r="725" spans="1:3" ht="15" x14ac:dyDescent="0.25">
      <c r="A725" s="2">
        <v>1401130403</v>
      </c>
      <c r="B725" s="3" t="s">
        <v>104</v>
      </c>
      <c r="C725" s="9"/>
    </row>
    <row r="726" spans="1:3" ht="15" x14ac:dyDescent="0.25">
      <c r="A726" s="2">
        <v>1401130409</v>
      </c>
      <c r="B726" s="3" t="s">
        <v>105</v>
      </c>
      <c r="C726" s="9"/>
    </row>
    <row r="727" spans="1:3" ht="15" x14ac:dyDescent="0.25">
      <c r="A727" s="2">
        <v>14011305</v>
      </c>
      <c r="B727" s="3" t="s">
        <v>106</v>
      </c>
      <c r="C727" s="9"/>
    </row>
    <row r="728" spans="1:3" ht="15" x14ac:dyDescent="0.25">
      <c r="A728" s="2">
        <v>1401130501</v>
      </c>
      <c r="B728" s="3" t="s">
        <v>173</v>
      </c>
      <c r="C728" s="9"/>
    </row>
    <row r="729" spans="1:3" ht="15" x14ac:dyDescent="0.25">
      <c r="A729" s="2">
        <v>1401130502</v>
      </c>
      <c r="B729" s="3" t="s">
        <v>163</v>
      </c>
      <c r="C729" s="9"/>
    </row>
    <row r="730" spans="1:3" ht="15" x14ac:dyDescent="0.25">
      <c r="A730" s="2">
        <v>1401130503</v>
      </c>
      <c r="B730" s="3" t="s">
        <v>164</v>
      </c>
      <c r="C730" s="9"/>
    </row>
    <row r="731" spans="1:3" ht="15" x14ac:dyDescent="0.25">
      <c r="A731" s="2">
        <v>1401130509</v>
      </c>
      <c r="B731" s="3" t="s">
        <v>165</v>
      </c>
      <c r="C731" s="9"/>
    </row>
    <row r="732" spans="1:3" ht="15" x14ac:dyDescent="0.25">
      <c r="A732" s="2">
        <v>14011306</v>
      </c>
      <c r="B732" s="3" t="s">
        <v>111</v>
      </c>
      <c r="C732" s="9"/>
    </row>
    <row r="733" spans="1:3" ht="15" x14ac:dyDescent="0.25">
      <c r="A733" s="2">
        <v>14011307</v>
      </c>
      <c r="B733" s="3" t="s">
        <v>112</v>
      </c>
      <c r="C733" s="9"/>
    </row>
    <row r="734" spans="1:3" ht="15" x14ac:dyDescent="0.25">
      <c r="A734" s="2">
        <v>14011311</v>
      </c>
      <c r="B734" s="3" t="s">
        <v>113</v>
      </c>
      <c r="C734" s="9"/>
    </row>
    <row r="735" spans="1:3" ht="15" x14ac:dyDescent="0.25">
      <c r="A735" s="2">
        <v>14011312</v>
      </c>
      <c r="B735" s="3" t="s">
        <v>114</v>
      </c>
      <c r="C735" s="9"/>
    </row>
    <row r="736" spans="1:3" ht="15" x14ac:dyDescent="0.25">
      <c r="A736" s="2">
        <v>14011321</v>
      </c>
      <c r="B736" s="3" t="s">
        <v>115</v>
      </c>
      <c r="C736" s="9"/>
    </row>
    <row r="737" spans="1:3" ht="15" x14ac:dyDescent="0.25">
      <c r="A737" s="2">
        <v>14011327</v>
      </c>
      <c r="B737" s="3" t="s">
        <v>166</v>
      </c>
      <c r="C737" s="9"/>
    </row>
    <row r="738" spans="1:3" ht="15" x14ac:dyDescent="0.25">
      <c r="A738" s="2">
        <v>14011399</v>
      </c>
      <c r="B738" s="3" t="s">
        <v>117</v>
      </c>
      <c r="C738" s="9"/>
    </row>
    <row r="739" spans="1:3" ht="15" x14ac:dyDescent="0.25">
      <c r="A739" s="2">
        <v>1401139901</v>
      </c>
      <c r="B739" s="3" t="s">
        <v>118</v>
      </c>
      <c r="C739" s="9"/>
    </row>
    <row r="740" spans="1:3" ht="15" x14ac:dyDescent="0.25">
      <c r="A740" s="2">
        <v>1401139902</v>
      </c>
      <c r="B740" s="3" t="s">
        <v>119</v>
      </c>
      <c r="C740" s="9"/>
    </row>
    <row r="741" spans="1:3" ht="15" x14ac:dyDescent="0.25">
      <c r="A741" s="2">
        <v>1403</v>
      </c>
      <c r="B741" s="3" t="s">
        <v>176</v>
      </c>
      <c r="C741" s="9"/>
    </row>
    <row r="742" spans="1:3" ht="15" x14ac:dyDescent="0.25">
      <c r="A742" s="2">
        <v>140302</v>
      </c>
      <c r="B742" s="3" t="s">
        <v>94</v>
      </c>
      <c r="C742" s="9"/>
    </row>
    <row r="743" spans="1:3" ht="15" x14ac:dyDescent="0.25">
      <c r="A743" s="2">
        <v>14030206</v>
      </c>
      <c r="B743" s="3" t="s">
        <v>111</v>
      </c>
      <c r="C743" s="9"/>
    </row>
    <row r="744" spans="1:3" ht="15" x14ac:dyDescent="0.25">
      <c r="A744" s="2">
        <v>14030207</v>
      </c>
      <c r="B744" s="3" t="s">
        <v>112</v>
      </c>
      <c r="C744" s="9"/>
    </row>
    <row r="745" spans="1:3" ht="15" x14ac:dyDescent="0.25">
      <c r="A745" s="2">
        <v>14030211</v>
      </c>
      <c r="B745" s="3" t="s">
        <v>113</v>
      </c>
      <c r="C745" s="9"/>
    </row>
    <row r="746" spans="1:3" ht="15" x14ac:dyDescent="0.25">
      <c r="A746" s="2">
        <v>14030212</v>
      </c>
      <c r="B746" s="3" t="s">
        <v>114</v>
      </c>
      <c r="C746" s="9"/>
    </row>
    <row r="747" spans="1:3" ht="15" x14ac:dyDescent="0.25">
      <c r="A747" s="2">
        <v>14030227</v>
      </c>
      <c r="B747" s="3" t="s">
        <v>166</v>
      </c>
      <c r="C747" s="9"/>
    </row>
    <row r="748" spans="1:3" ht="15" x14ac:dyDescent="0.25">
      <c r="A748" s="2">
        <v>14030299</v>
      </c>
      <c r="B748" s="3" t="s">
        <v>117</v>
      </c>
      <c r="C748" s="9"/>
    </row>
    <row r="749" spans="1:3" ht="15" x14ac:dyDescent="0.25">
      <c r="A749" s="2">
        <v>1403029901</v>
      </c>
      <c r="B749" s="3" t="s">
        <v>118</v>
      </c>
      <c r="C749" s="9"/>
    </row>
    <row r="750" spans="1:3" ht="15" x14ac:dyDescent="0.25">
      <c r="A750" s="2">
        <v>1403029902</v>
      </c>
      <c r="B750" s="3" t="s">
        <v>119</v>
      </c>
      <c r="C750" s="9"/>
    </row>
    <row r="751" spans="1:3" ht="13.8" x14ac:dyDescent="0.25">
      <c r="A751" s="5">
        <v>140307</v>
      </c>
      <c r="B751" s="6" t="s">
        <v>138</v>
      </c>
      <c r="C751" s="12"/>
    </row>
    <row r="752" spans="1:3" ht="13.8" x14ac:dyDescent="0.25">
      <c r="A752" s="5">
        <v>14030706</v>
      </c>
      <c r="B752" s="6" t="s">
        <v>150</v>
      </c>
      <c r="C752" s="12"/>
    </row>
    <row r="753" spans="1:3" ht="13.8" x14ac:dyDescent="0.25">
      <c r="A753" s="5">
        <v>14030707</v>
      </c>
      <c r="B753" s="6" t="s">
        <v>151</v>
      </c>
      <c r="C753" s="12"/>
    </row>
    <row r="754" spans="1:3" ht="13.8" x14ac:dyDescent="0.25">
      <c r="A754" s="5">
        <v>14030711</v>
      </c>
      <c r="B754" s="6" t="s">
        <v>152</v>
      </c>
      <c r="C754" s="12"/>
    </row>
    <row r="755" spans="1:3" ht="13.8" x14ac:dyDescent="0.25">
      <c r="A755" s="5">
        <v>14030712</v>
      </c>
      <c r="B755" s="6" t="s">
        <v>153</v>
      </c>
      <c r="C755" s="12"/>
    </row>
    <row r="756" spans="1:3" ht="13.8" x14ac:dyDescent="0.25">
      <c r="A756" s="5">
        <v>14030727</v>
      </c>
      <c r="B756" s="6" t="s">
        <v>177</v>
      </c>
      <c r="C756" s="12"/>
    </row>
    <row r="757" spans="1:3" ht="13.8" x14ac:dyDescent="0.25">
      <c r="A757" s="5">
        <v>14030799</v>
      </c>
      <c r="B757" s="6" t="s">
        <v>156</v>
      </c>
      <c r="C757" s="12"/>
    </row>
    <row r="758" spans="1:3" ht="15" x14ac:dyDescent="0.25">
      <c r="A758" s="2">
        <v>140310</v>
      </c>
      <c r="B758" s="3" t="s">
        <v>162</v>
      </c>
      <c r="C758" s="9"/>
    </row>
    <row r="759" spans="1:3" ht="15" x14ac:dyDescent="0.25">
      <c r="A759" s="2">
        <v>14031006</v>
      </c>
      <c r="B759" s="3" t="s">
        <v>111</v>
      </c>
      <c r="C759" s="9"/>
    </row>
    <row r="760" spans="1:3" ht="15" x14ac:dyDescent="0.25">
      <c r="A760" s="2">
        <v>14031007</v>
      </c>
      <c r="B760" s="3" t="s">
        <v>112</v>
      </c>
      <c r="C760" s="9"/>
    </row>
    <row r="761" spans="1:3" ht="15" x14ac:dyDescent="0.25">
      <c r="A761" s="2">
        <v>14031011</v>
      </c>
      <c r="B761" s="3" t="s">
        <v>113</v>
      </c>
      <c r="C761" s="9"/>
    </row>
    <row r="762" spans="1:3" ht="15" x14ac:dyDescent="0.25">
      <c r="A762" s="2">
        <v>14031012</v>
      </c>
      <c r="B762" s="3" t="s">
        <v>114</v>
      </c>
      <c r="C762" s="9"/>
    </row>
    <row r="763" spans="1:3" ht="15" x14ac:dyDescent="0.25">
      <c r="A763" s="2">
        <v>14031027</v>
      </c>
      <c r="B763" s="3" t="s">
        <v>166</v>
      </c>
      <c r="C763" s="9"/>
    </row>
    <row r="764" spans="1:3" ht="13.8" x14ac:dyDescent="0.25">
      <c r="A764" s="5">
        <v>14031030</v>
      </c>
      <c r="B764" s="6" t="s">
        <v>167</v>
      </c>
      <c r="C764" s="12"/>
    </row>
    <row r="765" spans="1:3" ht="13.8" x14ac:dyDescent="0.25">
      <c r="A765" s="5">
        <v>14031031</v>
      </c>
      <c r="B765" s="6" t="s">
        <v>168</v>
      </c>
      <c r="C765" s="12"/>
    </row>
    <row r="766" spans="1:3" ht="13.8" x14ac:dyDescent="0.25">
      <c r="A766" s="5">
        <v>14031032</v>
      </c>
      <c r="B766" s="6" t="s">
        <v>169</v>
      </c>
      <c r="C766" s="12"/>
    </row>
    <row r="767" spans="1:3" ht="13.8" x14ac:dyDescent="0.25">
      <c r="A767" s="5">
        <v>14031033</v>
      </c>
      <c r="B767" s="6" t="s">
        <v>170</v>
      </c>
      <c r="C767" s="12"/>
    </row>
    <row r="768" spans="1:3" ht="13.8" x14ac:dyDescent="0.25">
      <c r="A768" s="5">
        <v>14031034</v>
      </c>
      <c r="B768" s="6" t="s">
        <v>171</v>
      </c>
      <c r="C768" s="12"/>
    </row>
    <row r="769" spans="1:3" ht="15" x14ac:dyDescent="0.25">
      <c r="A769" s="2">
        <v>14031099</v>
      </c>
      <c r="B769" s="3" t="s">
        <v>117</v>
      </c>
      <c r="C769" s="9"/>
    </row>
    <row r="770" spans="1:3" ht="15" x14ac:dyDescent="0.25">
      <c r="A770" s="2">
        <v>1403109901</v>
      </c>
      <c r="B770" s="3" t="s">
        <v>118</v>
      </c>
      <c r="C770" s="9"/>
    </row>
    <row r="771" spans="1:3" ht="15" x14ac:dyDescent="0.25">
      <c r="A771" s="2">
        <v>1403109902</v>
      </c>
      <c r="B771" s="3" t="s">
        <v>119</v>
      </c>
      <c r="C771" s="9"/>
    </row>
    <row r="772" spans="1:3" ht="15" x14ac:dyDescent="0.25">
      <c r="A772" s="2">
        <v>140311</v>
      </c>
      <c r="B772" s="3" t="s">
        <v>172</v>
      </c>
      <c r="C772" s="9"/>
    </row>
    <row r="773" spans="1:3" ht="15" x14ac:dyDescent="0.25">
      <c r="A773" s="2">
        <v>14031106</v>
      </c>
      <c r="B773" s="3" t="s">
        <v>111</v>
      </c>
      <c r="C773" s="9"/>
    </row>
    <row r="774" spans="1:3" ht="15" x14ac:dyDescent="0.25">
      <c r="A774" s="2">
        <v>14031107</v>
      </c>
      <c r="B774" s="3" t="s">
        <v>112</v>
      </c>
      <c r="C774" s="9"/>
    </row>
    <row r="775" spans="1:3" ht="15" x14ac:dyDescent="0.25">
      <c r="A775" s="2">
        <v>14031111</v>
      </c>
      <c r="B775" s="3" t="s">
        <v>113</v>
      </c>
      <c r="C775" s="9"/>
    </row>
    <row r="776" spans="1:3" ht="15" x14ac:dyDescent="0.25">
      <c r="A776" s="2">
        <v>14031112</v>
      </c>
      <c r="B776" s="3" t="s">
        <v>114</v>
      </c>
      <c r="C776" s="9"/>
    </row>
    <row r="777" spans="1:3" ht="15" x14ac:dyDescent="0.25">
      <c r="A777" s="2">
        <v>14031127</v>
      </c>
      <c r="B777" s="3" t="s">
        <v>166</v>
      </c>
      <c r="C777" s="9"/>
    </row>
    <row r="778" spans="1:3" ht="13.8" x14ac:dyDescent="0.25">
      <c r="A778" s="5">
        <v>14031130</v>
      </c>
      <c r="B778" s="6" t="s">
        <v>167</v>
      </c>
      <c r="C778" s="12"/>
    </row>
    <row r="779" spans="1:3" ht="13.8" x14ac:dyDescent="0.25">
      <c r="A779" s="5">
        <v>14031131</v>
      </c>
      <c r="B779" s="6" t="s">
        <v>168</v>
      </c>
      <c r="C779" s="12"/>
    </row>
    <row r="780" spans="1:3" ht="13.8" x14ac:dyDescent="0.25">
      <c r="A780" s="5">
        <v>14031132</v>
      </c>
      <c r="B780" s="6" t="s">
        <v>169</v>
      </c>
      <c r="C780" s="12"/>
    </row>
    <row r="781" spans="1:3" ht="13.8" x14ac:dyDescent="0.25">
      <c r="A781" s="5">
        <v>14031133</v>
      </c>
      <c r="B781" s="6" t="s">
        <v>170</v>
      </c>
      <c r="C781" s="12"/>
    </row>
    <row r="782" spans="1:3" ht="13.8" x14ac:dyDescent="0.25">
      <c r="A782" s="5">
        <v>14031134</v>
      </c>
      <c r="B782" s="6" t="s">
        <v>171</v>
      </c>
      <c r="C782" s="12"/>
    </row>
    <row r="783" spans="1:3" ht="15" x14ac:dyDescent="0.25">
      <c r="A783" s="2">
        <v>14031199</v>
      </c>
      <c r="B783" s="3" t="s">
        <v>117</v>
      </c>
      <c r="C783" s="9"/>
    </row>
    <row r="784" spans="1:3" ht="15" x14ac:dyDescent="0.25">
      <c r="A784" s="2">
        <v>1403119901</v>
      </c>
      <c r="B784" s="3" t="s">
        <v>118</v>
      </c>
      <c r="C784" s="9"/>
    </row>
    <row r="785" spans="1:3" ht="15" x14ac:dyDescent="0.25">
      <c r="A785" s="2">
        <v>1403119902</v>
      </c>
      <c r="B785" s="3" t="s">
        <v>119</v>
      </c>
      <c r="C785" s="9"/>
    </row>
    <row r="786" spans="1:3" ht="15" x14ac:dyDescent="0.25">
      <c r="A786" s="2">
        <v>140312</v>
      </c>
      <c r="B786" s="3" t="s">
        <v>174</v>
      </c>
      <c r="C786" s="9"/>
    </row>
    <row r="787" spans="1:3" ht="15" x14ac:dyDescent="0.25">
      <c r="A787" s="2">
        <v>14031206</v>
      </c>
      <c r="B787" s="3" t="s">
        <v>111</v>
      </c>
      <c r="C787" s="9"/>
    </row>
    <row r="788" spans="1:3" ht="15" x14ac:dyDescent="0.25">
      <c r="A788" s="2">
        <v>14031207</v>
      </c>
      <c r="B788" s="3" t="s">
        <v>112</v>
      </c>
      <c r="C788" s="9"/>
    </row>
    <row r="789" spans="1:3" ht="15" x14ac:dyDescent="0.25">
      <c r="A789" s="2">
        <v>14031211</v>
      </c>
      <c r="B789" s="3" t="s">
        <v>113</v>
      </c>
      <c r="C789" s="9"/>
    </row>
    <row r="790" spans="1:3" ht="15" x14ac:dyDescent="0.25">
      <c r="A790" s="2">
        <v>14031212</v>
      </c>
      <c r="B790" s="3" t="s">
        <v>114</v>
      </c>
      <c r="C790" s="9"/>
    </row>
    <row r="791" spans="1:3" ht="15" x14ac:dyDescent="0.25">
      <c r="A791" s="2">
        <v>14031227</v>
      </c>
      <c r="B791" s="3" t="s">
        <v>166</v>
      </c>
      <c r="C791" s="9"/>
    </row>
    <row r="792" spans="1:3" ht="13.8" x14ac:dyDescent="0.25">
      <c r="A792" s="5">
        <v>14031230</v>
      </c>
      <c r="B792" s="6" t="s">
        <v>167</v>
      </c>
      <c r="C792" s="12"/>
    </row>
    <row r="793" spans="1:3" ht="13.8" x14ac:dyDescent="0.25">
      <c r="A793" s="5">
        <v>14031231</v>
      </c>
      <c r="B793" s="6" t="s">
        <v>168</v>
      </c>
      <c r="C793" s="12"/>
    </row>
    <row r="794" spans="1:3" ht="13.8" x14ac:dyDescent="0.25">
      <c r="A794" s="5">
        <v>14031232</v>
      </c>
      <c r="B794" s="6" t="s">
        <v>169</v>
      </c>
      <c r="C794" s="12"/>
    </row>
    <row r="795" spans="1:3" ht="13.8" x14ac:dyDescent="0.25">
      <c r="A795" s="5">
        <v>14031233</v>
      </c>
      <c r="B795" s="6" t="s">
        <v>170</v>
      </c>
      <c r="C795" s="12"/>
    </row>
    <row r="796" spans="1:3" ht="13.8" x14ac:dyDescent="0.25">
      <c r="A796" s="5">
        <v>14031234</v>
      </c>
      <c r="B796" s="6" t="s">
        <v>171</v>
      </c>
      <c r="C796" s="12"/>
    </row>
    <row r="797" spans="1:3" ht="15" x14ac:dyDescent="0.25">
      <c r="A797" s="2">
        <v>14031299</v>
      </c>
      <c r="B797" s="3" t="s">
        <v>117</v>
      </c>
      <c r="C797" s="9"/>
    </row>
    <row r="798" spans="1:3" ht="15" x14ac:dyDescent="0.25">
      <c r="A798" s="2">
        <v>1403129901</v>
      </c>
      <c r="B798" s="3" t="s">
        <v>118</v>
      </c>
      <c r="C798" s="9"/>
    </row>
    <row r="799" spans="1:3" ht="15" x14ac:dyDescent="0.25">
      <c r="A799" s="2">
        <v>1403129902</v>
      </c>
      <c r="B799" s="3" t="s">
        <v>119</v>
      </c>
      <c r="C799" s="9"/>
    </row>
    <row r="800" spans="1:3" ht="15" x14ac:dyDescent="0.25">
      <c r="A800" s="2">
        <v>140313</v>
      </c>
      <c r="B800" s="3" t="s">
        <v>175</v>
      </c>
      <c r="C800" s="9"/>
    </row>
    <row r="801" spans="1:3" ht="15" x14ac:dyDescent="0.25">
      <c r="A801" s="2">
        <v>14031306</v>
      </c>
      <c r="B801" s="3" t="s">
        <v>111</v>
      </c>
      <c r="C801" s="9"/>
    </row>
    <row r="802" spans="1:3" ht="15" x14ac:dyDescent="0.25">
      <c r="A802" s="2">
        <v>14031307</v>
      </c>
      <c r="B802" s="3" t="s">
        <v>112</v>
      </c>
      <c r="C802" s="9"/>
    </row>
    <row r="803" spans="1:3" ht="15" x14ac:dyDescent="0.25">
      <c r="A803" s="2">
        <v>14031311</v>
      </c>
      <c r="B803" s="3" t="s">
        <v>113</v>
      </c>
      <c r="C803" s="9"/>
    </row>
    <row r="804" spans="1:3" ht="15" x14ac:dyDescent="0.25">
      <c r="A804" s="2">
        <v>14031312</v>
      </c>
      <c r="B804" s="3" t="s">
        <v>114</v>
      </c>
      <c r="C804" s="9"/>
    </row>
    <row r="805" spans="1:3" ht="15" x14ac:dyDescent="0.25">
      <c r="A805" s="2">
        <v>14031327</v>
      </c>
      <c r="B805" s="3" t="s">
        <v>166</v>
      </c>
      <c r="C805" s="9"/>
    </row>
    <row r="806" spans="1:3" ht="15" x14ac:dyDescent="0.25">
      <c r="A806" s="2">
        <v>14031399</v>
      </c>
      <c r="B806" s="3" t="s">
        <v>117</v>
      </c>
      <c r="C806" s="9"/>
    </row>
    <row r="807" spans="1:3" ht="15" x14ac:dyDescent="0.25">
      <c r="A807" s="2">
        <v>1403139901</v>
      </c>
      <c r="B807" s="3" t="s">
        <v>118</v>
      </c>
      <c r="C807" s="9"/>
    </row>
    <row r="808" spans="1:3" ht="15" x14ac:dyDescent="0.25">
      <c r="A808" s="2">
        <v>1403139902</v>
      </c>
      <c r="B808" s="3" t="s">
        <v>119</v>
      </c>
      <c r="C808" s="9"/>
    </row>
    <row r="809" spans="1:3" ht="15" x14ac:dyDescent="0.25">
      <c r="A809" s="2">
        <v>1404</v>
      </c>
      <c r="B809" s="3" t="s">
        <v>178</v>
      </c>
      <c r="C809" s="20">
        <f t="shared" ref="C809" si="17">+C839</f>
        <v>829929.66</v>
      </c>
    </row>
    <row r="810" spans="1:3" ht="15" x14ac:dyDescent="0.25">
      <c r="A810" s="2">
        <v>140402</v>
      </c>
      <c r="B810" s="3" t="s">
        <v>94</v>
      </c>
      <c r="C810" s="9"/>
    </row>
    <row r="811" spans="1:3" ht="13.8" x14ac:dyDescent="0.25">
      <c r="A811" s="5">
        <v>14040201</v>
      </c>
      <c r="B811" s="6" t="s">
        <v>95</v>
      </c>
      <c r="C811" s="12"/>
    </row>
    <row r="812" spans="1:3" ht="13.8" x14ac:dyDescent="0.25">
      <c r="A812" s="5">
        <v>14040202</v>
      </c>
      <c r="B812" s="6" t="s">
        <v>96</v>
      </c>
      <c r="C812" s="12"/>
    </row>
    <row r="813" spans="1:3" ht="15" x14ac:dyDescent="0.25">
      <c r="A813" s="2">
        <v>14040203</v>
      </c>
      <c r="B813" s="3" t="s">
        <v>97</v>
      </c>
      <c r="C813" s="9"/>
    </row>
    <row r="814" spans="1:3" ht="15" x14ac:dyDescent="0.25">
      <c r="A814" s="2">
        <v>14040204</v>
      </c>
      <c r="B814" s="3" t="s">
        <v>101</v>
      </c>
      <c r="C814" s="9"/>
    </row>
    <row r="815" spans="1:3" ht="15" x14ac:dyDescent="0.25">
      <c r="A815" s="2">
        <v>14040205</v>
      </c>
      <c r="B815" s="3" t="s">
        <v>106</v>
      </c>
      <c r="C815" s="9"/>
    </row>
    <row r="816" spans="1:3" ht="15" x14ac:dyDescent="0.25">
      <c r="A816" s="2">
        <v>14040206</v>
      </c>
      <c r="B816" s="3" t="s">
        <v>111</v>
      </c>
      <c r="C816" s="9"/>
    </row>
    <row r="817" spans="1:3" ht="15" x14ac:dyDescent="0.25">
      <c r="A817" s="2">
        <v>14040207</v>
      </c>
      <c r="B817" s="3" t="s">
        <v>112</v>
      </c>
      <c r="C817" s="9"/>
    </row>
    <row r="818" spans="1:3" ht="15" x14ac:dyDescent="0.25">
      <c r="A818" s="2">
        <v>14040211</v>
      </c>
      <c r="B818" s="3" t="s">
        <v>113</v>
      </c>
      <c r="C818" s="9"/>
    </row>
    <row r="819" spans="1:3" ht="15" x14ac:dyDescent="0.25">
      <c r="A819" s="2">
        <v>14040212</v>
      </c>
      <c r="B819" s="3" t="s">
        <v>114</v>
      </c>
      <c r="C819" s="9"/>
    </row>
    <row r="820" spans="1:3" ht="15" x14ac:dyDescent="0.25">
      <c r="A820" s="2">
        <v>14040227</v>
      </c>
      <c r="B820" s="3" t="s">
        <v>166</v>
      </c>
      <c r="C820" s="9"/>
    </row>
    <row r="821" spans="1:3" ht="15" x14ac:dyDescent="0.25">
      <c r="A821" s="2">
        <v>14040299</v>
      </c>
      <c r="B821" s="3" t="s">
        <v>117</v>
      </c>
      <c r="C821" s="9"/>
    </row>
    <row r="822" spans="1:3" ht="15" x14ac:dyDescent="0.25">
      <c r="A822" s="2">
        <v>1404029901</v>
      </c>
      <c r="B822" s="3" t="s">
        <v>118</v>
      </c>
      <c r="C822" s="9"/>
    </row>
    <row r="823" spans="1:3" ht="15" x14ac:dyDescent="0.25">
      <c r="A823" s="2">
        <v>1404029902</v>
      </c>
      <c r="B823" s="3" t="s">
        <v>119</v>
      </c>
      <c r="C823" s="9"/>
    </row>
    <row r="824" spans="1:3" ht="15" x14ac:dyDescent="0.25">
      <c r="A824" s="2">
        <v>140403</v>
      </c>
      <c r="B824" s="3" t="s">
        <v>120</v>
      </c>
      <c r="C824" s="9"/>
    </row>
    <row r="825" spans="1:3" ht="13.8" x14ac:dyDescent="0.25">
      <c r="A825" s="5">
        <v>14040301</v>
      </c>
      <c r="B825" s="6" t="s">
        <v>95</v>
      </c>
      <c r="C825" s="12"/>
    </row>
    <row r="826" spans="1:3" ht="13.8" x14ac:dyDescent="0.25">
      <c r="A826" s="5">
        <v>14040302</v>
      </c>
      <c r="B826" s="6" t="s">
        <v>96</v>
      </c>
      <c r="C826" s="12"/>
    </row>
    <row r="827" spans="1:3" ht="15" x14ac:dyDescent="0.25">
      <c r="A827" s="2">
        <v>14040303</v>
      </c>
      <c r="B827" s="3" t="s">
        <v>97</v>
      </c>
      <c r="C827" s="9"/>
    </row>
    <row r="828" spans="1:3" ht="15" x14ac:dyDescent="0.25">
      <c r="A828" s="2">
        <v>14040306</v>
      </c>
      <c r="B828" s="3" t="s">
        <v>111</v>
      </c>
      <c r="C828" s="9"/>
    </row>
    <row r="829" spans="1:3" ht="15" x14ac:dyDescent="0.25">
      <c r="A829" s="2">
        <v>1404030602</v>
      </c>
      <c r="B829" s="3" t="s">
        <v>121</v>
      </c>
      <c r="C829" s="9"/>
    </row>
    <row r="830" spans="1:3" ht="15" x14ac:dyDescent="0.25">
      <c r="A830" s="2">
        <v>1404030603</v>
      </c>
      <c r="B830" s="3" t="s">
        <v>122</v>
      </c>
      <c r="C830" s="9"/>
    </row>
    <row r="831" spans="1:3" ht="15" x14ac:dyDescent="0.25">
      <c r="A831" s="2">
        <v>1404030604</v>
      </c>
      <c r="B831" s="3" t="s">
        <v>123</v>
      </c>
      <c r="C831" s="9"/>
    </row>
    <row r="832" spans="1:3" ht="15" x14ac:dyDescent="0.25">
      <c r="A832" s="2">
        <v>1404030605</v>
      </c>
      <c r="B832" s="3" t="s">
        <v>124</v>
      </c>
      <c r="C832" s="9"/>
    </row>
    <row r="833" spans="1:3" ht="15" x14ac:dyDescent="0.25">
      <c r="A833" s="2">
        <v>14040307</v>
      </c>
      <c r="B833" s="3" t="s">
        <v>112</v>
      </c>
      <c r="C833" s="9"/>
    </row>
    <row r="834" spans="1:3" ht="15" x14ac:dyDescent="0.25">
      <c r="A834" s="2">
        <v>14040311</v>
      </c>
      <c r="B834" s="3" t="s">
        <v>113</v>
      </c>
      <c r="C834" s="9"/>
    </row>
    <row r="835" spans="1:3" ht="15" x14ac:dyDescent="0.25">
      <c r="A835" s="2">
        <v>14040312</v>
      </c>
      <c r="B835" s="3" t="s">
        <v>114</v>
      </c>
      <c r="C835" s="9"/>
    </row>
    <row r="836" spans="1:3" ht="15" x14ac:dyDescent="0.25">
      <c r="A836" s="2">
        <v>14040313</v>
      </c>
      <c r="B836" s="3" t="s">
        <v>129</v>
      </c>
      <c r="C836" s="9"/>
    </row>
    <row r="837" spans="1:3" ht="15" x14ac:dyDescent="0.25">
      <c r="A837" s="2">
        <v>14040399</v>
      </c>
      <c r="B837" s="3" t="s">
        <v>117</v>
      </c>
      <c r="C837" s="9"/>
    </row>
    <row r="838" spans="1:3" ht="15" x14ac:dyDescent="0.25">
      <c r="A838" s="2">
        <v>1404039901</v>
      </c>
      <c r="B838" s="3" t="s">
        <v>118</v>
      </c>
      <c r="C838" s="9"/>
    </row>
    <row r="839" spans="1:3" s="15" customFormat="1" ht="15" x14ac:dyDescent="0.25">
      <c r="A839" s="18" t="s">
        <v>1259</v>
      </c>
      <c r="B839" s="19" t="s">
        <v>1260</v>
      </c>
      <c r="C839" s="20">
        <v>829929.66</v>
      </c>
    </row>
    <row r="840" spans="1:3" ht="15" x14ac:dyDescent="0.25">
      <c r="A840" s="2">
        <v>140404</v>
      </c>
      <c r="B840" s="3" t="s">
        <v>130</v>
      </c>
      <c r="C840" s="9"/>
    </row>
    <row r="841" spans="1:3" ht="15" x14ac:dyDescent="0.25">
      <c r="A841" s="2">
        <v>14040406</v>
      </c>
      <c r="B841" s="3" t="s">
        <v>131</v>
      </c>
      <c r="C841" s="9"/>
    </row>
    <row r="842" spans="1:3" ht="15" x14ac:dyDescent="0.25">
      <c r="A842" s="2">
        <v>1404040601</v>
      </c>
      <c r="B842" s="3" t="s">
        <v>132</v>
      </c>
      <c r="C842" s="9"/>
    </row>
    <row r="843" spans="1:3" ht="15" x14ac:dyDescent="0.25">
      <c r="A843" s="2">
        <v>1404040602</v>
      </c>
      <c r="B843" s="3" t="s">
        <v>133</v>
      </c>
      <c r="C843" s="9"/>
    </row>
    <row r="844" spans="1:3" ht="15" x14ac:dyDescent="0.25">
      <c r="A844" s="2">
        <v>14040423</v>
      </c>
      <c r="B844" s="3" t="s">
        <v>179</v>
      </c>
      <c r="C844" s="9"/>
    </row>
    <row r="845" spans="1:3" ht="30" x14ac:dyDescent="0.25">
      <c r="A845" s="2">
        <v>14040424</v>
      </c>
      <c r="B845" s="4" t="s">
        <v>135</v>
      </c>
      <c r="C845" s="11"/>
    </row>
    <row r="846" spans="1:3" ht="30" x14ac:dyDescent="0.25">
      <c r="A846" s="2">
        <v>14040425</v>
      </c>
      <c r="B846" s="4" t="s">
        <v>136</v>
      </c>
      <c r="C846" s="11"/>
    </row>
    <row r="847" spans="1:3" ht="15" x14ac:dyDescent="0.25">
      <c r="A847" s="2">
        <v>14040428</v>
      </c>
      <c r="B847" s="3" t="s">
        <v>137</v>
      </c>
      <c r="C847" s="9"/>
    </row>
    <row r="848" spans="1:3" ht="15" x14ac:dyDescent="0.25">
      <c r="A848" s="2">
        <v>14040499</v>
      </c>
      <c r="B848" s="3" t="s">
        <v>117</v>
      </c>
      <c r="C848" s="9"/>
    </row>
    <row r="849" spans="1:3" ht="13.8" x14ac:dyDescent="0.25">
      <c r="A849" s="5">
        <v>140407</v>
      </c>
      <c r="B849" s="6" t="s">
        <v>138</v>
      </c>
      <c r="C849" s="12"/>
    </row>
    <row r="850" spans="1:3" ht="13.8" x14ac:dyDescent="0.25">
      <c r="A850" s="5">
        <v>14040701</v>
      </c>
      <c r="B850" s="6" t="s">
        <v>95</v>
      </c>
      <c r="C850" s="12"/>
    </row>
    <row r="851" spans="1:3" ht="13.8" x14ac:dyDescent="0.25">
      <c r="A851" s="5">
        <v>14040702</v>
      </c>
      <c r="B851" s="6" t="s">
        <v>96</v>
      </c>
      <c r="C851" s="12"/>
    </row>
    <row r="852" spans="1:3" ht="13.8" x14ac:dyDescent="0.25">
      <c r="A852" s="5">
        <v>14040703</v>
      </c>
      <c r="B852" s="6" t="s">
        <v>139</v>
      </c>
      <c r="C852" s="12"/>
    </row>
    <row r="853" spans="1:3" ht="13.8" x14ac:dyDescent="0.25">
      <c r="A853" s="5">
        <v>14040704</v>
      </c>
      <c r="B853" s="6" t="s">
        <v>140</v>
      </c>
      <c r="C853" s="12"/>
    </row>
    <row r="854" spans="1:3" ht="13.8" x14ac:dyDescent="0.25">
      <c r="A854" s="5">
        <v>14040705</v>
      </c>
      <c r="B854" s="6" t="s">
        <v>145</v>
      </c>
      <c r="C854" s="12"/>
    </row>
    <row r="855" spans="1:3" ht="13.8" x14ac:dyDescent="0.25">
      <c r="A855" s="5">
        <v>14040706</v>
      </c>
      <c r="B855" s="6" t="s">
        <v>150</v>
      </c>
      <c r="C855" s="12"/>
    </row>
    <row r="856" spans="1:3" ht="13.8" x14ac:dyDescent="0.25">
      <c r="A856" s="5">
        <v>14040707</v>
      </c>
      <c r="B856" s="6" t="s">
        <v>151</v>
      </c>
      <c r="C856" s="12"/>
    </row>
    <row r="857" spans="1:3" ht="13.8" x14ac:dyDescent="0.25">
      <c r="A857" s="5">
        <v>14040711</v>
      </c>
      <c r="B857" s="6" t="s">
        <v>152</v>
      </c>
      <c r="C857" s="12"/>
    </row>
    <row r="858" spans="1:3" ht="13.8" x14ac:dyDescent="0.25">
      <c r="A858" s="5">
        <v>14040712</v>
      </c>
      <c r="B858" s="6" t="s">
        <v>153</v>
      </c>
      <c r="C858" s="12"/>
    </row>
    <row r="859" spans="1:3" ht="13.8" x14ac:dyDescent="0.25">
      <c r="A859" s="5">
        <v>14040727</v>
      </c>
      <c r="B859" s="6" t="s">
        <v>177</v>
      </c>
      <c r="C859" s="12"/>
    </row>
    <row r="860" spans="1:3" ht="13.8" x14ac:dyDescent="0.25">
      <c r="A860" s="5">
        <v>14040799</v>
      </c>
      <c r="B860" s="6" t="s">
        <v>156</v>
      </c>
      <c r="C860" s="12"/>
    </row>
    <row r="861" spans="1:3" ht="15" x14ac:dyDescent="0.25">
      <c r="A861" s="2">
        <v>140409</v>
      </c>
      <c r="B861" s="3" t="s">
        <v>159</v>
      </c>
      <c r="C861" s="9"/>
    </row>
    <row r="862" spans="1:3" ht="15" x14ac:dyDescent="0.25">
      <c r="A862" s="2">
        <v>14040906</v>
      </c>
      <c r="B862" s="3" t="s">
        <v>131</v>
      </c>
      <c r="C862" s="9"/>
    </row>
    <row r="863" spans="1:3" ht="15" x14ac:dyDescent="0.25">
      <c r="A863" s="2">
        <v>1404090611</v>
      </c>
      <c r="B863" s="3" t="s">
        <v>160</v>
      </c>
      <c r="C863" s="9"/>
    </row>
    <row r="864" spans="1:3" ht="15" x14ac:dyDescent="0.25">
      <c r="A864" s="2">
        <v>1404090612</v>
      </c>
      <c r="B864" s="3" t="s">
        <v>161</v>
      </c>
      <c r="C864" s="9"/>
    </row>
    <row r="865" spans="1:3" ht="15" x14ac:dyDescent="0.25">
      <c r="A865" s="2">
        <v>140410</v>
      </c>
      <c r="B865" s="3" t="s">
        <v>162</v>
      </c>
      <c r="C865" s="9"/>
    </row>
    <row r="866" spans="1:3" ht="13.8" x14ac:dyDescent="0.25">
      <c r="A866" s="5">
        <v>14041001</v>
      </c>
      <c r="B866" s="6" t="s">
        <v>95</v>
      </c>
      <c r="C866" s="12"/>
    </row>
    <row r="867" spans="1:3" ht="13.8" x14ac:dyDescent="0.25">
      <c r="A867" s="5">
        <v>14041002</v>
      </c>
      <c r="B867" s="6" t="s">
        <v>96</v>
      </c>
      <c r="C867" s="12"/>
    </row>
    <row r="868" spans="1:3" ht="15" x14ac:dyDescent="0.25">
      <c r="A868" s="2">
        <v>14041003</v>
      </c>
      <c r="B868" s="3" t="s">
        <v>97</v>
      </c>
      <c r="C868" s="9"/>
    </row>
    <row r="869" spans="1:3" ht="15" x14ac:dyDescent="0.25">
      <c r="A869" s="2">
        <v>14041004</v>
      </c>
      <c r="B869" s="3" t="s">
        <v>101</v>
      </c>
      <c r="C869" s="9"/>
    </row>
    <row r="870" spans="1:3" ht="15" x14ac:dyDescent="0.25">
      <c r="A870" s="2">
        <v>14041005</v>
      </c>
      <c r="B870" s="3" t="s">
        <v>106</v>
      </c>
      <c r="C870" s="9"/>
    </row>
    <row r="871" spans="1:3" ht="15" x14ac:dyDescent="0.25">
      <c r="A871" s="2">
        <v>14041006</v>
      </c>
      <c r="B871" s="3" t="s">
        <v>111</v>
      </c>
      <c r="C871" s="9"/>
    </row>
    <row r="872" spans="1:3" ht="15" x14ac:dyDescent="0.25">
      <c r="A872" s="2">
        <v>14041007</v>
      </c>
      <c r="B872" s="3" t="s">
        <v>112</v>
      </c>
      <c r="C872" s="9"/>
    </row>
    <row r="873" spans="1:3" ht="15" x14ac:dyDescent="0.25">
      <c r="A873" s="2">
        <v>14041011</v>
      </c>
      <c r="B873" s="3" t="s">
        <v>113</v>
      </c>
      <c r="C873" s="9"/>
    </row>
    <row r="874" spans="1:3" ht="15" x14ac:dyDescent="0.25">
      <c r="A874" s="2">
        <v>14041012</v>
      </c>
      <c r="B874" s="3" t="s">
        <v>114</v>
      </c>
      <c r="C874" s="9"/>
    </row>
    <row r="875" spans="1:3" ht="15" x14ac:dyDescent="0.25">
      <c r="A875" s="2">
        <v>14041027</v>
      </c>
      <c r="B875" s="3" t="s">
        <v>166</v>
      </c>
      <c r="C875" s="9"/>
    </row>
    <row r="876" spans="1:3" ht="13.8" x14ac:dyDescent="0.25">
      <c r="A876" s="5">
        <v>14041030</v>
      </c>
      <c r="B876" s="6" t="s">
        <v>167</v>
      </c>
      <c r="C876" s="12"/>
    </row>
    <row r="877" spans="1:3" ht="13.8" x14ac:dyDescent="0.25">
      <c r="A877" s="5">
        <v>14041031</v>
      </c>
      <c r="B877" s="6" t="s">
        <v>168</v>
      </c>
      <c r="C877" s="12"/>
    </row>
    <row r="878" spans="1:3" ht="13.8" x14ac:dyDescent="0.25">
      <c r="A878" s="5">
        <v>14041032</v>
      </c>
      <c r="B878" s="6" t="s">
        <v>169</v>
      </c>
      <c r="C878" s="12"/>
    </row>
    <row r="879" spans="1:3" ht="13.8" x14ac:dyDescent="0.25">
      <c r="A879" s="5">
        <v>14041033</v>
      </c>
      <c r="B879" s="6" t="s">
        <v>170</v>
      </c>
      <c r="C879" s="12"/>
    </row>
    <row r="880" spans="1:3" ht="13.8" x14ac:dyDescent="0.25">
      <c r="A880" s="5">
        <v>14041034</v>
      </c>
      <c r="B880" s="6" t="s">
        <v>171</v>
      </c>
      <c r="C880" s="12"/>
    </row>
    <row r="881" spans="1:3" ht="15" x14ac:dyDescent="0.25">
      <c r="A881" s="2">
        <v>14041099</v>
      </c>
      <c r="B881" s="3" t="s">
        <v>117</v>
      </c>
      <c r="C881" s="9"/>
    </row>
    <row r="882" spans="1:3" ht="15" x14ac:dyDescent="0.25">
      <c r="A882" s="2">
        <v>1404109901</v>
      </c>
      <c r="B882" s="3" t="s">
        <v>118</v>
      </c>
      <c r="C882" s="9"/>
    </row>
    <row r="883" spans="1:3" ht="15" x14ac:dyDescent="0.25">
      <c r="A883" s="2">
        <v>1404109902</v>
      </c>
      <c r="B883" s="3" t="s">
        <v>119</v>
      </c>
      <c r="C883" s="9"/>
    </row>
    <row r="884" spans="1:3" ht="15" x14ac:dyDescent="0.25">
      <c r="A884" s="2">
        <v>140411</v>
      </c>
      <c r="B884" s="3" t="s">
        <v>172</v>
      </c>
      <c r="C884" s="9"/>
    </row>
    <row r="885" spans="1:3" ht="13.8" x14ac:dyDescent="0.25">
      <c r="A885" s="5">
        <v>14041101</v>
      </c>
      <c r="B885" s="6" t="s">
        <v>95</v>
      </c>
      <c r="C885" s="12"/>
    </row>
    <row r="886" spans="1:3" ht="13.8" x14ac:dyDescent="0.25">
      <c r="A886" s="5">
        <v>14041102</v>
      </c>
      <c r="B886" s="6" t="s">
        <v>96</v>
      </c>
      <c r="C886" s="12"/>
    </row>
    <row r="887" spans="1:3" ht="15" x14ac:dyDescent="0.25">
      <c r="A887" s="2">
        <v>14041103</v>
      </c>
      <c r="B887" s="3" t="s">
        <v>97</v>
      </c>
      <c r="C887" s="9"/>
    </row>
    <row r="888" spans="1:3" ht="15" x14ac:dyDescent="0.25">
      <c r="A888" s="2">
        <v>14041104</v>
      </c>
      <c r="B888" s="3" t="s">
        <v>101</v>
      </c>
      <c r="C888" s="9"/>
    </row>
    <row r="889" spans="1:3" ht="15" x14ac:dyDescent="0.25">
      <c r="A889" s="2">
        <v>14041105</v>
      </c>
      <c r="B889" s="3" t="s">
        <v>106</v>
      </c>
      <c r="C889" s="9"/>
    </row>
    <row r="890" spans="1:3" ht="15" x14ac:dyDescent="0.25">
      <c r="A890" s="2">
        <v>14041106</v>
      </c>
      <c r="B890" s="3" t="s">
        <v>111</v>
      </c>
      <c r="C890" s="9"/>
    </row>
    <row r="891" spans="1:3" ht="15" x14ac:dyDescent="0.25">
      <c r="A891" s="2">
        <v>14041107</v>
      </c>
      <c r="B891" s="3" t="s">
        <v>112</v>
      </c>
      <c r="C891" s="9"/>
    </row>
    <row r="892" spans="1:3" ht="15" x14ac:dyDescent="0.25">
      <c r="A892" s="2">
        <v>14041111</v>
      </c>
      <c r="B892" s="3" t="s">
        <v>113</v>
      </c>
      <c r="C892" s="9"/>
    </row>
    <row r="893" spans="1:3" ht="15" x14ac:dyDescent="0.25">
      <c r="A893" s="2">
        <v>14041112</v>
      </c>
      <c r="B893" s="3" t="s">
        <v>114</v>
      </c>
      <c r="C893" s="9"/>
    </row>
    <row r="894" spans="1:3" ht="15" x14ac:dyDescent="0.25">
      <c r="A894" s="2">
        <v>14041127</v>
      </c>
      <c r="B894" s="3" t="s">
        <v>166</v>
      </c>
      <c r="C894" s="9"/>
    </row>
    <row r="895" spans="1:3" ht="13.8" x14ac:dyDescent="0.25">
      <c r="A895" s="5">
        <v>14041130</v>
      </c>
      <c r="B895" s="6" t="s">
        <v>167</v>
      </c>
      <c r="C895" s="12"/>
    </row>
    <row r="896" spans="1:3" ht="13.8" x14ac:dyDescent="0.25">
      <c r="A896" s="5">
        <v>14041131</v>
      </c>
      <c r="B896" s="6" t="s">
        <v>168</v>
      </c>
      <c r="C896" s="12"/>
    </row>
    <row r="897" spans="1:3" ht="13.8" x14ac:dyDescent="0.25">
      <c r="A897" s="5">
        <v>14041132</v>
      </c>
      <c r="B897" s="6" t="s">
        <v>169</v>
      </c>
      <c r="C897" s="12"/>
    </row>
    <row r="898" spans="1:3" ht="13.8" x14ac:dyDescent="0.25">
      <c r="A898" s="5">
        <v>14041133</v>
      </c>
      <c r="B898" s="6" t="s">
        <v>170</v>
      </c>
      <c r="C898" s="12"/>
    </row>
    <row r="899" spans="1:3" ht="13.8" x14ac:dyDescent="0.25">
      <c r="A899" s="5">
        <v>14041134</v>
      </c>
      <c r="B899" s="6" t="s">
        <v>171</v>
      </c>
      <c r="C899" s="12"/>
    </row>
    <row r="900" spans="1:3" ht="15" x14ac:dyDescent="0.25">
      <c r="A900" s="2">
        <v>14041199</v>
      </c>
      <c r="B900" s="3" t="s">
        <v>117</v>
      </c>
      <c r="C900" s="9"/>
    </row>
    <row r="901" spans="1:3" ht="15" x14ac:dyDescent="0.25">
      <c r="A901" s="2">
        <v>1404119901</v>
      </c>
      <c r="B901" s="3" t="s">
        <v>118</v>
      </c>
      <c r="C901" s="9"/>
    </row>
    <row r="902" spans="1:3" ht="15" x14ac:dyDescent="0.25">
      <c r="A902" s="2">
        <v>1404119902</v>
      </c>
      <c r="B902" s="3" t="s">
        <v>119</v>
      </c>
      <c r="C902" s="9"/>
    </row>
    <row r="903" spans="1:3" ht="15" x14ac:dyDescent="0.25">
      <c r="A903" s="2">
        <v>140412</v>
      </c>
      <c r="B903" s="3" t="s">
        <v>174</v>
      </c>
      <c r="C903" s="9"/>
    </row>
    <row r="904" spans="1:3" ht="13.8" x14ac:dyDescent="0.25">
      <c r="A904" s="5">
        <v>14041201</v>
      </c>
      <c r="B904" s="6" t="s">
        <v>95</v>
      </c>
      <c r="C904" s="12"/>
    </row>
    <row r="905" spans="1:3" ht="13.8" x14ac:dyDescent="0.25">
      <c r="A905" s="5">
        <v>14041202</v>
      </c>
      <c r="B905" s="6" t="s">
        <v>96</v>
      </c>
      <c r="C905" s="12"/>
    </row>
    <row r="906" spans="1:3" ht="15" x14ac:dyDescent="0.25">
      <c r="A906" s="2">
        <v>14041203</v>
      </c>
      <c r="B906" s="3" t="s">
        <v>97</v>
      </c>
      <c r="C906" s="9"/>
    </row>
    <row r="907" spans="1:3" ht="15" x14ac:dyDescent="0.25">
      <c r="A907" s="2">
        <v>14041204</v>
      </c>
      <c r="B907" s="3" t="s">
        <v>101</v>
      </c>
      <c r="C907" s="9"/>
    </row>
    <row r="908" spans="1:3" ht="15" x14ac:dyDescent="0.25">
      <c r="A908" s="2">
        <v>14041205</v>
      </c>
      <c r="B908" s="3" t="s">
        <v>106</v>
      </c>
      <c r="C908" s="9"/>
    </row>
    <row r="909" spans="1:3" ht="15" x14ac:dyDescent="0.25">
      <c r="A909" s="2">
        <v>14041206</v>
      </c>
      <c r="B909" s="3" t="s">
        <v>111</v>
      </c>
      <c r="C909" s="9"/>
    </row>
    <row r="910" spans="1:3" ht="15" x14ac:dyDescent="0.25">
      <c r="A910" s="2">
        <v>14041207</v>
      </c>
      <c r="B910" s="3" t="s">
        <v>112</v>
      </c>
      <c r="C910" s="9"/>
    </row>
    <row r="911" spans="1:3" ht="15" x14ac:dyDescent="0.25">
      <c r="A911" s="2">
        <v>14041211</v>
      </c>
      <c r="B911" s="3" t="s">
        <v>113</v>
      </c>
      <c r="C911" s="9"/>
    </row>
    <row r="912" spans="1:3" ht="15" x14ac:dyDescent="0.25">
      <c r="A912" s="2">
        <v>14041212</v>
      </c>
      <c r="B912" s="3" t="s">
        <v>114</v>
      </c>
      <c r="C912" s="9"/>
    </row>
    <row r="913" spans="1:3" ht="15" x14ac:dyDescent="0.25">
      <c r="A913" s="2">
        <v>14041227</v>
      </c>
      <c r="B913" s="3" t="s">
        <v>166</v>
      </c>
      <c r="C913" s="9"/>
    </row>
    <row r="914" spans="1:3" ht="13.8" x14ac:dyDescent="0.25">
      <c r="A914" s="5">
        <v>14041230</v>
      </c>
      <c r="B914" s="6" t="s">
        <v>167</v>
      </c>
      <c r="C914" s="12"/>
    </row>
    <row r="915" spans="1:3" ht="13.8" x14ac:dyDescent="0.25">
      <c r="A915" s="5">
        <v>14041231</v>
      </c>
      <c r="B915" s="6" t="s">
        <v>168</v>
      </c>
      <c r="C915" s="12"/>
    </row>
    <row r="916" spans="1:3" ht="13.8" x14ac:dyDescent="0.25">
      <c r="A916" s="5">
        <v>14041232</v>
      </c>
      <c r="B916" s="6" t="s">
        <v>169</v>
      </c>
      <c r="C916" s="12"/>
    </row>
    <row r="917" spans="1:3" ht="13.8" x14ac:dyDescent="0.25">
      <c r="A917" s="5">
        <v>14041233</v>
      </c>
      <c r="B917" s="6" t="s">
        <v>170</v>
      </c>
      <c r="C917" s="12"/>
    </row>
    <row r="918" spans="1:3" ht="13.8" x14ac:dyDescent="0.25">
      <c r="A918" s="5">
        <v>14041234</v>
      </c>
      <c r="B918" s="6" t="s">
        <v>171</v>
      </c>
      <c r="C918" s="12"/>
    </row>
    <row r="919" spans="1:3" ht="13.8" x14ac:dyDescent="0.25">
      <c r="A919" s="5">
        <v>14041299</v>
      </c>
      <c r="B919" s="6" t="s">
        <v>156</v>
      </c>
      <c r="C919" s="12"/>
    </row>
    <row r="920" spans="1:3" ht="13.8" x14ac:dyDescent="0.25">
      <c r="A920" s="5">
        <v>1404129901</v>
      </c>
      <c r="B920" s="6" t="s">
        <v>157</v>
      </c>
      <c r="C920" s="12"/>
    </row>
    <row r="921" spans="1:3" ht="13.8" x14ac:dyDescent="0.25">
      <c r="A921" s="5">
        <v>1404129902</v>
      </c>
      <c r="B921" s="6" t="s">
        <v>158</v>
      </c>
      <c r="C921" s="12"/>
    </row>
    <row r="922" spans="1:3" ht="15" x14ac:dyDescent="0.25">
      <c r="A922" s="2">
        <v>140413</v>
      </c>
      <c r="B922" s="3" t="s">
        <v>175</v>
      </c>
      <c r="C922" s="9"/>
    </row>
    <row r="923" spans="1:3" ht="13.8" x14ac:dyDescent="0.25">
      <c r="A923" s="5">
        <v>14041301</v>
      </c>
      <c r="B923" s="6" t="s">
        <v>95</v>
      </c>
      <c r="C923" s="12"/>
    </row>
    <row r="924" spans="1:3" ht="13.8" x14ac:dyDescent="0.25">
      <c r="A924" s="5">
        <v>14041302</v>
      </c>
      <c r="B924" s="6" t="s">
        <v>96</v>
      </c>
      <c r="C924" s="12"/>
    </row>
    <row r="925" spans="1:3" ht="15" x14ac:dyDescent="0.25">
      <c r="A925" s="2">
        <v>14041303</v>
      </c>
      <c r="B925" s="3" t="s">
        <v>97</v>
      </c>
      <c r="C925" s="9"/>
    </row>
    <row r="926" spans="1:3" ht="15" x14ac:dyDescent="0.25">
      <c r="A926" s="2">
        <v>14041304</v>
      </c>
      <c r="B926" s="3" t="s">
        <v>101</v>
      </c>
      <c r="C926" s="9"/>
    </row>
    <row r="927" spans="1:3" ht="15" x14ac:dyDescent="0.25">
      <c r="A927" s="2">
        <v>14041305</v>
      </c>
      <c r="B927" s="3" t="s">
        <v>106</v>
      </c>
      <c r="C927" s="9"/>
    </row>
    <row r="928" spans="1:3" ht="15" x14ac:dyDescent="0.25">
      <c r="A928" s="2">
        <v>14041306</v>
      </c>
      <c r="B928" s="3" t="s">
        <v>111</v>
      </c>
      <c r="C928" s="9"/>
    </row>
    <row r="929" spans="1:3" ht="15" x14ac:dyDescent="0.25">
      <c r="A929" s="2">
        <v>14041307</v>
      </c>
      <c r="B929" s="3" t="s">
        <v>112</v>
      </c>
      <c r="C929" s="9"/>
    </row>
    <row r="930" spans="1:3" ht="15" x14ac:dyDescent="0.25">
      <c r="A930" s="2">
        <v>14041311</v>
      </c>
      <c r="B930" s="3" t="s">
        <v>113</v>
      </c>
      <c r="C930" s="9"/>
    </row>
    <row r="931" spans="1:3" ht="15" x14ac:dyDescent="0.25">
      <c r="A931" s="2">
        <v>14041312</v>
      </c>
      <c r="B931" s="3" t="s">
        <v>114</v>
      </c>
      <c r="C931" s="9"/>
    </row>
    <row r="932" spans="1:3" ht="15" x14ac:dyDescent="0.25">
      <c r="A932" s="2">
        <v>14041327</v>
      </c>
      <c r="B932" s="3" t="s">
        <v>166</v>
      </c>
      <c r="C932" s="9"/>
    </row>
    <row r="933" spans="1:3" ht="15" x14ac:dyDescent="0.25">
      <c r="A933" s="2">
        <v>14041399</v>
      </c>
      <c r="B933" s="3" t="s">
        <v>117</v>
      </c>
      <c r="C933" s="9"/>
    </row>
    <row r="934" spans="1:3" ht="15" x14ac:dyDescent="0.25">
      <c r="A934" s="2">
        <v>1404139901</v>
      </c>
      <c r="B934" s="3" t="s">
        <v>118</v>
      </c>
      <c r="C934" s="9"/>
    </row>
    <row r="935" spans="1:3" ht="15" x14ac:dyDescent="0.25">
      <c r="A935" s="2">
        <v>1404139902</v>
      </c>
      <c r="B935" s="3" t="s">
        <v>119</v>
      </c>
      <c r="C935" s="9"/>
    </row>
    <row r="936" spans="1:3" ht="15" x14ac:dyDescent="0.25">
      <c r="A936" s="2">
        <v>1405</v>
      </c>
      <c r="B936" s="3" t="s">
        <v>180</v>
      </c>
      <c r="C936" s="20">
        <f t="shared" ref="C936" si="18">+C984+C997</f>
        <v>11229717.34</v>
      </c>
    </row>
    <row r="937" spans="1:3" ht="15" x14ac:dyDescent="0.25">
      <c r="A937" s="2">
        <v>140502</v>
      </c>
      <c r="B937" s="3" t="s">
        <v>94</v>
      </c>
      <c r="C937" s="9"/>
    </row>
    <row r="938" spans="1:3" ht="13.8" x14ac:dyDescent="0.25">
      <c r="A938" s="5">
        <v>14050202</v>
      </c>
      <c r="B938" s="6" t="s">
        <v>96</v>
      </c>
      <c r="C938" s="12"/>
    </row>
    <row r="939" spans="1:3" ht="15" x14ac:dyDescent="0.25">
      <c r="A939" s="2">
        <v>14050203</v>
      </c>
      <c r="B939" s="3" t="s">
        <v>97</v>
      </c>
      <c r="C939" s="9"/>
    </row>
    <row r="940" spans="1:3" ht="15" x14ac:dyDescent="0.25">
      <c r="A940" s="2">
        <v>1405020301</v>
      </c>
      <c r="B940" s="3" t="s">
        <v>98</v>
      </c>
      <c r="C940" s="9"/>
    </row>
    <row r="941" spans="1:3" ht="15" x14ac:dyDescent="0.25">
      <c r="A941" s="2">
        <v>1405020302</v>
      </c>
      <c r="B941" s="3" t="s">
        <v>99</v>
      </c>
      <c r="C941" s="9"/>
    </row>
    <row r="942" spans="1:3" ht="15" x14ac:dyDescent="0.25">
      <c r="A942" s="2">
        <v>1405020303</v>
      </c>
      <c r="B942" s="3" t="s">
        <v>100</v>
      </c>
      <c r="C942" s="9"/>
    </row>
    <row r="943" spans="1:3" ht="15" x14ac:dyDescent="0.25">
      <c r="A943" s="2">
        <v>14050204</v>
      </c>
      <c r="B943" s="3" t="s">
        <v>101</v>
      </c>
      <c r="C943" s="9"/>
    </row>
    <row r="944" spans="1:3" ht="15" x14ac:dyDescent="0.25">
      <c r="A944" s="2">
        <v>14050205</v>
      </c>
      <c r="B944" s="3" t="s">
        <v>106</v>
      </c>
      <c r="C944" s="9"/>
    </row>
    <row r="945" spans="1:3" ht="15" x14ac:dyDescent="0.25">
      <c r="A945" s="2">
        <v>1405020501</v>
      </c>
      <c r="B945" s="3" t="s">
        <v>107</v>
      </c>
      <c r="C945" s="9"/>
    </row>
    <row r="946" spans="1:3" ht="15" x14ac:dyDescent="0.25">
      <c r="A946" s="2">
        <v>1405020502</v>
      </c>
      <c r="B946" s="3" t="s">
        <v>108</v>
      </c>
      <c r="C946" s="9"/>
    </row>
    <row r="947" spans="1:3" ht="15" x14ac:dyDescent="0.25">
      <c r="A947" s="2">
        <v>1405020503</v>
      </c>
      <c r="B947" s="3" t="s">
        <v>109</v>
      </c>
      <c r="C947" s="9"/>
    </row>
    <row r="948" spans="1:3" ht="15" x14ac:dyDescent="0.25">
      <c r="A948" s="2">
        <v>1405020509</v>
      </c>
      <c r="B948" s="3" t="s">
        <v>181</v>
      </c>
      <c r="C948" s="9"/>
    </row>
    <row r="949" spans="1:3" ht="15" x14ac:dyDescent="0.25">
      <c r="A949" s="2">
        <v>14050206</v>
      </c>
      <c r="B949" s="3" t="s">
        <v>111</v>
      </c>
      <c r="C949" s="9"/>
    </row>
    <row r="950" spans="1:3" ht="15" x14ac:dyDescent="0.25">
      <c r="A950" s="2">
        <v>14050207</v>
      </c>
      <c r="B950" s="3" t="s">
        <v>112</v>
      </c>
      <c r="C950" s="9"/>
    </row>
    <row r="951" spans="1:3" ht="15" x14ac:dyDescent="0.25">
      <c r="A951" s="2">
        <v>14050211</v>
      </c>
      <c r="B951" s="3" t="s">
        <v>113</v>
      </c>
      <c r="C951" s="9"/>
    </row>
    <row r="952" spans="1:3" ht="15" x14ac:dyDescent="0.25">
      <c r="A952" s="2">
        <v>14050212</v>
      </c>
      <c r="B952" s="3" t="s">
        <v>114</v>
      </c>
      <c r="C952" s="9"/>
    </row>
    <row r="953" spans="1:3" ht="15" x14ac:dyDescent="0.25">
      <c r="A953" s="2">
        <v>14050219</v>
      </c>
      <c r="B953" s="3" t="s">
        <v>182</v>
      </c>
      <c r="C953" s="9"/>
    </row>
    <row r="954" spans="1:3" ht="13.8" x14ac:dyDescent="0.25">
      <c r="A954" s="5">
        <v>1405021902</v>
      </c>
      <c r="B954" s="6" t="s">
        <v>96</v>
      </c>
      <c r="C954" s="12"/>
    </row>
    <row r="955" spans="1:3" ht="15" x14ac:dyDescent="0.25">
      <c r="A955" s="2">
        <v>1405021903</v>
      </c>
      <c r="B955" s="3" t="s">
        <v>97</v>
      </c>
      <c r="C955" s="9"/>
    </row>
    <row r="956" spans="1:3" ht="15" x14ac:dyDescent="0.25">
      <c r="A956" s="2">
        <v>1405021904</v>
      </c>
      <c r="B956" s="3" t="s">
        <v>101</v>
      </c>
      <c r="C956" s="9"/>
    </row>
    <row r="957" spans="1:3" ht="15" x14ac:dyDescent="0.25">
      <c r="A957" s="2">
        <v>1405021905</v>
      </c>
      <c r="B957" s="3" t="s">
        <v>106</v>
      </c>
      <c r="C957" s="9"/>
    </row>
    <row r="958" spans="1:3" ht="15" x14ac:dyDescent="0.25">
      <c r="A958" s="2">
        <v>1405021906</v>
      </c>
      <c r="B958" s="3" t="s">
        <v>111</v>
      </c>
      <c r="C958" s="9"/>
    </row>
    <row r="959" spans="1:3" ht="15" x14ac:dyDescent="0.25">
      <c r="A959" s="2">
        <v>1405021907</v>
      </c>
      <c r="B959" s="3" t="s">
        <v>112</v>
      </c>
      <c r="C959" s="9"/>
    </row>
    <row r="960" spans="1:3" ht="15" x14ac:dyDescent="0.25">
      <c r="A960" s="2">
        <v>1405021911</v>
      </c>
      <c r="B960" s="3" t="s">
        <v>113</v>
      </c>
      <c r="C960" s="9"/>
    </row>
    <row r="961" spans="1:3" ht="15" x14ac:dyDescent="0.25">
      <c r="A961" s="2">
        <v>1405021912</v>
      </c>
      <c r="B961" s="3" t="s">
        <v>114</v>
      </c>
      <c r="C961" s="9"/>
    </row>
    <row r="962" spans="1:3" ht="15" x14ac:dyDescent="0.25">
      <c r="A962" s="2">
        <v>1405021927</v>
      </c>
      <c r="B962" s="3" t="s">
        <v>166</v>
      </c>
      <c r="C962" s="9"/>
    </row>
    <row r="963" spans="1:3" ht="15" x14ac:dyDescent="0.25">
      <c r="A963" s="2">
        <v>1405021999</v>
      </c>
      <c r="B963" s="3" t="s">
        <v>117</v>
      </c>
      <c r="C963" s="9"/>
    </row>
    <row r="964" spans="1:3" ht="13.8" x14ac:dyDescent="0.25">
      <c r="A964" s="5">
        <v>14050221</v>
      </c>
      <c r="B964" s="6" t="s">
        <v>154</v>
      </c>
      <c r="C964" s="12"/>
    </row>
    <row r="965" spans="1:3" ht="15" x14ac:dyDescent="0.25">
      <c r="A965" s="2">
        <v>14050222</v>
      </c>
      <c r="B965" s="3" t="s">
        <v>183</v>
      </c>
      <c r="C965" s="9"/>
    </row>
    <row r="966" spans="1:3" ht="15" x14ac:dyDescent="0.25">
      <c r="A966" s="2">
        <v>1405022206</v>
      </c>
      <c r="B966" s="3" t="s">
        <v>111</v>
      </c>
      <c r="C966" s="9"/>
    </row>
    <row r="967" spans="1:3" ht="15" x14ac:dyDescent="0.25">
      <c r="A967" s="2">
        <v>1405022207</v>
      </c>
      <c r="B967" s="3" t="s">
        <v>112</v>
      </c>
      <c r="C967" s="9"/>
    </row>
    <row r="968" spans="1:3" ht="15" x14ac:dyDescent="0.25">
      <c r="A968" s="2">
        <v>1405022211</v>
      </c>
      <c r="B968" s="3" t="s">
        <v>113</v>
      </c>
      <c r="C968" s="9"/>
    </row>
    <row r="969" spans="1:3" ht="15" x14ac:dyDescent="0.25">
      <c r="A969" s="2">
        <v>1405022212</v>
      </c>
      <c r="B969" s="3" t="s">
        <v>114</v>
      </c>
      <c r="C969" s="9"/>
    </row>
    <row r="970" spans="1:3" ht="15" x14ac:dyDescent="0.25">
      <c r="A970" s="2">
        <v>1405022227</v>
      </c>
      <c r="B970" s="3" t="s">
        <v>166</v>
      </c>
      <c r="C970" s="9"/>
    </row>
    <row r="971" spans="1:3" ht="15" x14ac:dyDescent="0.25">
      <c r="A971" s="2">
        <v>1405022299</v>
      </c>
      <c r="B971" s="3" t="s">
        <v>117</v>
      </c>
      <c r="C971" s="9"/>
    </row>
    <row r="972" spans="1:3" ht="15" x14ac:dyDescent="0.25">
      <c r="A972" s="2">
        <v>14050227</v>
      </c>
      <c r="B972" s="3" t="s">
        <v>166</v>
      </c>
      <c r="C972" s="9"/>
    </row>
    <row r="973" spans="1:3" ht="15" x14ac:dyDescent="0.25">
      <c r="A973" s="2">
        <v>14050299</v>
      </c>
      <c r="B973" s="3" t="s">
        <v>117</v>
      </c>
      <c r="C973" s="9"/>
    </row>
    <row r="974" spans="1:3" ht="15" x14ac:dyDescent="0.25">
      <c r="A974" s="2">
        <v>1405029901</v>
      </c>
      <c r="B974" s="3" t="s">
        <v>118</v>
      </c>
      <c r="C974" s="9"/>
    </row>
    <row r="975" spans="1:3" ht="15" x14ac:dyDescent="0.25">
      <c r="A975" s="2">
        <v>1405029902</v>
      </c>
      <c r="B975" s="3" t="s">
        <v>119</v>
      </c>
      <c r="C975" s="9"/>
    </row>
    <row r="976" spans="1:3" ht="15" x14ac:dyDescent="0.25">
      <c r="A976" s="2">
        <v>140503</v>
      </c>
      <c r="B976" s="3" t="s">
        <v>120</v>
      </c>
      <c r="C976" s="9"/>
    </row>
    <row r="977" spans="1:3" ht="13.8" x14ac:dyDescent="0.25">
      <c r="A977" s="5">
        <v>14050302</v>
      </c>
      <c r="B977" s="6" t="s">
        <v>96</v>
      </c>
      <c r="C977" s="12"/>
    </row>
    <row r="978" spans="1:3" ht="15" x14ac:dyDescent="0.25">
      <c r="A978" s="2">
        <v>14050303</v>
      </c>
      <c r="B978" s="3" t="s">
        <v>97</v>
      </c>
      <c r="C978" s="9"/>
    </row>
    <row r="979" spans="1:3" ht="15" x14ac:dyDescent="0.25">
      <c r="A979" s="2">
        <v>1405030301</v>
      </c>
      <c r="B979" s="3" t="s">
        <v>98</v>
      </c>
      <c r="C979" s="9"/>
    </row>
    <row r="980" spans="1:3" ht="15" x14ac:dyDescent="0.25">
      <c r="A980" s="2">
        <v>1405030302</v>
      </c>
      <c r="B980" s="3" t="s">
        <v>99</v>
      </c>
      <c r="C980" s="9"/>
    </row>
    <row r="981" spans="1:3" ht="15" x14ac:dyDescent="0.25">
      <c r="A981" s="2">
        <v>1405030303</v>
      </c>
      <c r="B981" s="3" t="s">
        <v>100</v>
      </c>
      <c r="C981" s="9"/>
    </row>
    <row r="982" spans="1:3" ht="15" x14ac:dyDescent="0.25">
      <c r="A982" s="2">
        <v>14050306</v>
      </c>
      <c r="B982" s="3" t="s">
        <v>111</v>
      </c>
      <c r="C982" s="9"/>
    </row>
    <row r="983" spans="1:3" ht="15" x14ac:dyDescent="0.25">
      <c r="A983" s="2">
        <v>1405030602</v>
      </c>
      <c r="B983" s="3" t="s">
        <v>121</v>
      </c>
      <c r="C983" s="9"/>
    </row>
    <row r="984" spans="1:3" s="15" customFormat="1" ht="15" x14ac:dyDescent="0.25">
      <c r="A984" s="18" t="s">
        <v>1261</v>
      </c>
      <c r="B984" s="19" t="s">
        <v>1262</v>
      </c>
      <c r="C984" s="20">
        <v>10374238.27</v>
      </c>
    </row>
    <row r="985" spans="1:3" ht="15" x14ac:dyDescent="0.25">
      <c r="A985" s="2">
        <v>1405030604</v>
      </c>
      <c r="B985" s="3" t="s">
        <v>123</v>
      </c>
      <c r="C985" s="9"/>
    </row>
    <row r="986" spans="1:3" ht="15" x14ac:dyDescent="0.25">
      <c r="A986" s="2">
        <v>1405030605</v>
      </c>
      <c r="B986" s="3" t="s">
        <v>124</v>
      </c>
      <c r="C986" s="9"/>
    </row>
    <row r="987" spans="1:3" ht="30" x14ac:dyDescent="0.25">
      <c r="A987" s="2">
        <v>1405030612</v>
      </c>
      <c r="B987" s="4" t="s">
        <v>184</v>
      </c>
      <c r="C987" s="11"/>
    </row>
    <row r="988" spans="1:3" ht="15" x14ac:dyDescent="0.25">
      <c r="A988" s="2">
        <v>14050307</v>
      </c>
      <c r="B988" s="3" t="s">
        <v>112</v>
      </c>
      <c r="C988" s="9"/>
    </row>
    <row r="989" spans="1:3" ht="15" x14ac:dyDescent="0.25">
      <c r="A989" s="2">
        <v>1405030701</v>
      </c>
      <c r="B989" s="3" t="s">
        <v>127</v>
      </c>
      <c r="C989" s="9"/>
    </row>
    <row r="990" spans="1:3" ht="15" x14ac:dyDescent="0.25">
      <c r="A990" s="2">
        <v>1405030702</v>
      </c>
      <c r="B990" s="3" t="s">
        <v>128</v>
      </c>
      <c r="C990" s="9"/>
    </row>
    <row r="991" spans="1:3" ht="15" x14ac:dyDescent="0.25">
      <c r="A991" s="2">
        <v>14050311</v>
      </c>
      <c r="B991" s="3" t="s">
        <v>113</v>
      </c>
      <c r="C991" s="9"/>
    </row>
    <row r="992" spans="1:3" ht="15" x14ac:dyDescent="0.25">
      <c r="A992" s="2">
        <v>14050312</v>
      </c>
      <c r="B992" s="3" t="s">
        <v>114</v>
      </c>
      <c r="C992" s="9"/>
    </row>
    <row r="993" spans="1:3" ht="15" x14ac:dyDescent="0.25">
      <c r="A993" s="2">
        <v>14050313</v>
      </c>
      <c r="B993" s="3" t="s">
        <v>129</v>
      </c>
      <c r="C993" s="9"/>
    </row>
    <row r="994" spans="1:3" ht="15" x14ac:dyDescent="0.25">
      <c r="A994" s="2">
        <v>14050319</v>
      </c>
      <c r="B994" s="3" t="s">
        <v>182</v>
      </c>
      <c r="C994" s="9"/>
    </row>
    <row r="995" spans="1:3" ht="13.8" x14ac:dyDescent="0.25">
      <c r="A995" s="5">
        <v>1405031902</v>
      </c>
      <c r="B995" s="6" t="s">
        <v>96</v>
      </c>
      <c r="C995" s="12"/>
    </row>
    <row r="996" spans="1:3" ht="15" x14ac:dyDescent="0.25">
      <c r="A996" s="2">
        <v>1405031903</v>
      </c>
      <c r="B996" s="3" t="s">
        <v>97</v>
      </c>
      <c r="C996" s="9"/>
    </row>
    <row r="997" spans="1:3" s="15" customFormat="1" ht="15" x14ac:dyDescent="0.25">
      <c r="A997" s="18" t="s">
        <v>1263</v>
      </c>
      <c r="B997" s="19" t="s">
        <v>1264</v>
      </c>
      <c r="C997" s="20">
        <v>855479.07</v>
      </c>
    </row>
    <row r="998" spans="1:3" ht="15" x14ac:dyDescent="0.25">
      <c r="A998" s="2">
        <v>1405031907</v>
      </c>
      <c r="B998" s="3" t="s">
        <v>112</v>
      </c>
      <c r="C998" s="9"/>
    </row>
    <row r="999" spans="1:3" ht="15" x14ac:dyDescent="0.25">
      <c r="A999" s="2">
        <v>1405031911</v>
      </c>
      <c r="B999" s="3" t="s">
        <v>113</v>
      </c>
      <c r="C999" s="9"/>
    </row>
    <row r="1000" spans="1:3" ht="15" x14ac:dyDescent="0.25">
      <c r="A1000" s="2">
        <v>1405031912</v>
      </c>
      <c r="B1000" s="3" t="s">
        <v>114</v>
      </c>
      <c r="C1000" s="9"/>
    </row>
    <row r="1001" spans="1:3" ht="15" x14ac:dyDescent="0.25">
      <c r="A1001" s="2">
        <v>1405031999</v>
      </c>
      <c r="B1001" s="3" t="s">
        <v>117</v>
      </c>
      <c r="C1001" s="9"/>
    </row>
    <row r="1002" spans="1:3" ht="15" x14ac:dyDescent="0.25">
      <c r="A1002" s="2">
        <v>14050399</v>
      </c>
      <c r="B1002" s="3" t="s">
        <v>117</v>
      </c>
      <c r="C1002" s="9"/>
    </row>
    <row r="1003" spans="1:3" ht="15" x14ac:dyDescent="0.25">
      <c r="A1003" s="2">
        <v>1405039901</v>
      </c>
      <c r="B1003" s="3" t="s">
        <v>118</v>
      </c>
      <c r="C1003" s="9"/>
    </row>
    <row r="1004" spans="1:3" ht="15" x14ac:dyDescent="0.25">
      <c r="A1004" s="2">
        <v>1405039902</v>
      </c>
      <c r="B1004" s="3" t="s">
        <v>119</v>
      </c>
      <c r="C1004" s="9"/>
    </row>
    <row r="1005" spans="1:3" ht="15" x14ac:dyDescent="0.25">
      <c r="A1005" s="2">
        <v>140504</v>
      </c>
      <c r="B1005" s="3" t="s">
        <v>130</v>
      </c>
      <c r="C1005" s="9"/>
    </row>
    <row r="1006" spans="1:3" ht="15" x14ac:dyDescent="0.25">
      <c r="A1006" s="2">
        <v>14050406</v>
      </c>
      <c r="B1006" s="3" t="s">
        <v>131</v>
      </c>
      <c r="C1006" s="9"/>
    </row>
    <row r="1007" spans="1:3" ht="15" x14ac:dyDescent="0.25">
      <c r="A1007" s="2">
        <v>1405040601</v>
      </c>
      <c r="B1007" s="3" t="s">
        <v>132</v>
      </c>
      <c r="C1007" s="9"/>
    </row>
    <row r="1008" spans="1:3" ht="15" x14ac:dyDescent="0.25">
      <c r="A1008" s="2">
        <v>1405040602</v>
      </c>
      <c r="B1008" s="3" t="s">
        <v>133</v>
      </c>
      <c r="C1008" s="9"/>
    </row>
    <row r="1009" spans="1:3" ht="15" x14ac:dyDescent="0.25">
      <c r="A1009" s="2">
        <v>14050419</v>
      </c>
      <c r="B1009" s="3" t="s">
        <v>182</v>
      </c>
      <c r="C1009" s="9"/>
    </row>
    <row r="1010" spans="1:3" ht="15" x14ac:dyDescent="0.25">
      <c r="A1010" s="2">
        <v>1405041906</v>
      </c>
      <c r="B1010" s="3" t="s">
        <v>131</v>
      </c>
      <c r="C1010" s="9"/>
    </row>
    <row r="1011" spans="1:3" ht="15" x14ac:dyDescent="0.25">
      <c r="A1011" s="2">
        <v>1405041923</v>
      </c>
      <c r="B1011" s="3" t="s">
        <v>179</v>
      </c>
      <c r="C1011" s="9"/>
    </row>
    <row r="1012" spans="1:3" ht="30" x14ac:dyDescent="0.25">
      <c r="A1012" s="2">
        <v>1405041924</v>
      </c>
      <c r="B1012" s="4" t="s">
        <v>135</v>
      </c>
      <c r="C1012" s="11"/>
    </row>
    <row r="1013" spans="1:3" ht="30" x14ac:dyDescent="0.25">
      <c r="A1013" s="2">
        <v>1405041925</v>
      </c>
      <c r="B1013" s="4" t="s">
        <v>136</v>
      </c>
      <c r="C1013" s="11"/>
    </row>
    <row r="1014" spans="1:3" ht="15" x14ac:dyDescent="0.25">
      <c r="A1014" s="2">
        <v>1405041928</v>
      </c>
      <c r="B1014" s="3" t="s">
        <v>137</v>
      </c>
      <c r="C1014" s="9"/>
    </row>
    <row r="1015" spans="1:3" ht="15" x14ac:dyDescent="0.25">
      <c r="A1015" s="2">
        <v>1405041999</v>
      </c>
      <c r="B1015" s="3" t="s">
        <v>117</v>
      </c>
      <c r="C1015" s="9"/>
    </row>
    <row r="1016" spans="1:3" ht="15" x14ac:dyDescent="0.25">
      <c r="A1016" s="2">
        <v>14050423</v>
      </c>
      <c r="B1016" s="3" t="s">
        <v>179</v>
      </c>
      <c r="C1016" s="9"/>
    </row>
    <row r="1017" spans="1:3" ht="30" x14ac:dyDescent="0.25">
      <c r="A1017" s="2">
        <v>14050424</v>
      </c>
      <c r="B1017" s="4" t="s">
        <v>135</v>
      </c>
      <c r="C1017" s="11"/>
    </row>
    <row r="1018" spans="1:3" ht="30" x14ac:dyDescent="0.25">
      <c r="A1018" s="2">
        <v>14050425</v>
      </c>
      <c r="B1018" s="4" t="s">
        <v>136</v>
      </c>
      <c r="C1018" s="11"/>
    </row>
    <row r="1019" spans="1:3" ht="15" x14ac:dyDescent="0.25">
      <c r="A1019" s="2">
        <v>14050428</v>
      </c>
      <c r="B1019" s="3" t="s">
        <v>137</v>
      </c>
      <c r="C1019" s="9"/>
    </row>
    <row r="1020" spans="1:3" ht="15" x14ac:dyDescent="0.25">
      <c r="A1020" s="2">
        <v>14050499</v>
      </c>
      <c r="B1020" s="3" t="s">
        <v>117</v>
      </c>
      <c r="C1020" s="9"/>
    </row>
    <row r="1021" spans="1:3" ht="13.8" x14ac:dyDescent="0.25">
      <c r="A1021" s="5">
        <v>140507</v>
      </c>
      <c r="B1021" s="6" t="s">
        <v>138</v>
      </c>
      <c r="C1021" s="12"/>
    </row>
    <row r="1022" spans="1:3" ht="13.8" x14ac:dyDescent="0.25">
      <c r="A1022" s="5">
        <v>14050702</v>
      </c>
      <c r="B1022" s="6" t="s">
        <v>96</v>
      </c>
      <c r="C1022" s="12"/>
    </row>
    <row r="1023" spans="1:3" ht="13.8" x14ac:dyDescent="0.25">
      <c r="A1023" s="5">
        <v>14050703</v>
      </c>
      <c r="B1023" s="6" t="s">
        <v>139</v>
      </c>
      <c r="C1023" s="12"/>
    </row>
    <row r="1024" spans="1:3" ht="13.8" x14ac:dyDescent="0.25">
      <c r="A1024" s="5">
        <v>14050704</v>
      </c>
      <c r="B1024" s="6" t="s">
        <v>140</v>
      </c>
      <c r="C1024" s="12"/>
    </row>
    <row r="1025" spans="1:3" ht="13.8" x14ac:dyDescent="0.25">
      <c r="A1025" s="5">
        <v>14050705</v>
      </c>
      <c r="B1025" s="6" t="s">
        <v>145</v>
      </c>
      <c r="C1025" s="12"/>
    </row>
    <row r="1026" spans="1:3" ht="13.8" x14ac:dyDescent="0.25">
      <c r="A1026" s="5">
        <v>14050706</v>
      </c>
      <c r="B1026" s="6" t="s">
        <v>150</v>
      </c>
      <c r="C1026" s="12"/>
    </row>
    <row r="1027" spans="1:3" ht="13.8" x14ac:dyDescent="0.25">
      <c r="A1027" s="5">
        <v>14050707</v>
      </c>
      <c r="B1027" s="6" t="s">
        <v>151</v>
      </c>
      <c r="C1027" s="12"/>
    </row>
    <row r="1028" spans="1:3" ht="13.8" x14ac:dyDescent="0.25">
      <c r="A1028" s="5">
        <v>14050711</v>
      </c>
      <c r="B1028" s="6" t="s">
        <v>152</v>
      </c>
      <c r="C1028" s="12"/>
    </row>
    <row r="1029" spans="1:3" ht="13.8" x14ac:dyDescent="0.25">
      <c r="A1029" s="5">
        <v>14050712</v>
      </c>
      <c r="B1029" s="6" t="s">
        <v>153</v>
      </c>
      <c r="C1029" s="12"/>
    </row>
    <row r="1030" spans="1:3" ht="13.8" x14ac:dyDescent="0.25">
      <c r="A1030" s="5">
        <v>14050719</v>
      </c>
      <c r="B1030" s="6" t="s">
        <v>185</v>
      </c>
      <c r="C1030" s="12"/>
    </row>
    <row r="1031" spans="1:3" ht="13.8" x14ac:dyDescent="0.25">
      <c r="A1031" s="5">
        <v>1405071902</v>
      </c>
      <c r="B1031" s="6" t="s">
        <v>96</v>
      </c>
      <c r="C1031" s="12"/>
    </row>
    <row r="1032" spans="1:3" ht="13.8" x14ac:dyDescent="0.25">
      <c r="A1032" s="5">
        <v>1405071903</v>
      </c>
      <c r="B1032" s="6" t="s">
        <v>139</v>
      </c>
      <c r="C1032" s="12"/>
    </row>
    <row r="1033" spans="1:3" ht="13.8" x14ac:dyDescent="0.25">
      <c r="A1033" s="5">
        <v>1405071904</v>
      </c>
      <c r="B1033" s="6" t="s">
        <v>140</v>
      </c>
      <c r="C1033" s="12"/>
    </row>
    <row r="1034" spans="1:3" ht="13.8" x14ac:dyDescent="0.25">
      <c r="A1034" s="5">
        <v>1405071905</v>
      </c>
      <c r="B1034" s="6" t="s">
        <v>145</v>
      </c>
      <c r="C1034" s="12"/>
    </row>
    <row r="1035" spans="1:3" ht="13.8" x14ac:dyDescent="0.25">
      <c r="A1035" s="5">
        <v>1405071906</v>
      </c>
      <c r="B1035" s="6" t="s">
        <v>150</v>
      </c>
      <c r="C1035" s="12"/>
    </row>
    <row r="1036" spans="1:3" ht="13.8" x14ac:dyDescent="0.25">
      <c r="A1036" s="5">
        <v>1405071907</v>
      </c>
      <c r="B1036" s="6" t="s">
        <v>151</v>
      </c>
      <c r="C1036" s="12"/>
    </row>
    <row r="1037" spans="1:3" ht="13.8" x14ac:dyDescent="0.25">
      <c r="A1037" s="5">
        <v>1405071911</v>
      </c>
      <c r="B1037" s="6" t="s">
        <v>152</v>
      </c>
      <c r="C1037" s="12"/>
    </row>
    <row r="1038" spans="1:3" ht="13.8" x14ac:dyDescent="0.25">
      <c r="A1038" s="5">
        <v>1405071912</v>
      </c>
      <c r="B1038" s="6" t="s">
        <v>153</v>
      </c>
      <c r="C1038" s="12"/>
    </row>
    <row r="1039" spans="1:3" ht="13.8" x14ac:dyDescent="0.25">
      <c r="A1039" s="5">
        <v>1405071927</v>
      </c>
      <c r="B1039" s="6" t="s">
        <v>177</v>
      </c>
      <c r="C1039" s="12"/>
    </row>
    <row r="1040" spans="1:3" ht="13.8" x14ac:dyDescent="0.25">
      <c r="A1040" s="5">
        <v>1405071999</v>
      </c>
      <c r="B1040" s="6" t="s">
        <v>156</v>
      </c>
      <c r="C1040" s="12"/>
    </row>
    <row r="1041" spans="1:3" ht="13.8" x14ac:dyDescent="0.25">
      <c r="A1041" s="5">
        <v>14050721</v>
      </c>
      <c r="B1041" s="6" t="s">
        <v>154</v>
      </c>
      <c r="C1041" s="12"/>
    </row>
    <row r="1042" spans="1:3" ht="13.8" x14ac:dyDescent="0.25">
      <c r="A1042" s="5">
        <v>14050722</v>
      </c>
      <c r="B1042" s="6" t="s">
        <v>186</v>
      </c>
      <c r="C1042" s="12"/>
    </row>
    <row r="1043" spans="1:3" ht="13.8" x14ac:dyDescent="0.25">
      <c r="A1043" s="5">
        <v>1405072206</v>
      </c>
      <c r="B1043" s="6" t="s">
        <v>150</v>
      </c>
      <c r="C1043" s="12"/>
    </row>
    <row r="1044" spans="1:3" ht="13.8" x14ac:dyDescent="0.25">
      <c r="A1044" s="5">
        <v>1405072207</v>
      </c>
      <c r="B1044" s="6" t="s">
        <v>151</v>
      </c>
      <c r="C1044" s="12"/>
    </row>
    <row r="1045" spans="1:3" ht="13.8" x14ac:dyDescent="0.25">
      <c r="A1045" s="5">
        <v>1405072211</v>
      </c>
      <c r="B1045" s="6" t="s">
        <v>152</v>
      </c>
      <c r="C1045" s="12"/>
    </row>
    <row r="1046" spans="1:3" ht="13.8" x14ac:dyDescent="0.25">
      <c r="A1046" s="5">
        <v>1405072212</v>
      </c>
      <c r="B1046" s="6" t="s">
        <v>153</v>
      </c>
      <c r="C1046" s="12"/>
    </row>
    <row r="1047" spans="1:3" ht="13.8" x14ac:dyDescent="0.25">
      <c r="A1047" s="5">
        <v>1405072227</v>
      </c>
      <c r="B1047" s="6" t="s">
        <v>177</v>
      </c>
      <c r="C1047" s="12"/>
    </row>
    <row r="1048" spans="1:3" ht="13.8" x14ac:dyDescent="0.25">
      <c r="A1048" s="5">
        <v>1405072299</v>
      </c>
      <c r="B1048" s="6" t="s">
        <v>156</v>
      </c>
      <c r="C1048" s="12"/>
    </row>
    <row r="1049" spans="1:3" ht="13.8" x14ac:dyDescent="0.25">
      <c r="A1049" s="5">
        <v>14050727</v>
      </c>
      <c r="B1049" s="6" t="s">
        <v>177</v>
      </c>
      <c r="C1049" s="12"/>
    </row>
    <row r="1050" spans="1:3" ht="13.8" x14ac:dyDescent="0.25">
      <c r="A1050" s="5">
        <v>14050799</v>
      </c>
      <c r="B1050" s="6" t="s">
        <v>156</v>
      </c>
      <c r="C1050" s="12"/>
    </row>
    <row r="1051" spans="1:3" ht="13.8" x14ac:dyDescent="0.25">
      <c r="A1051" s="5">
        <v>1405079901</v>
      </c>
      <c r="B1051" s="6" t="s">
        <v>157</v>
      </c>
      <c r="C1051" s="12"/>
    </row>
    <row r="1052" spans="1:3" ht="13.8" x14ac:dyDescent="0.25">
      <c r="A1052" s="5">
        <v>1405079902</v>
      </c>
      <c r="B1052" s="6" t="s">
        <v>158</v>
      </c>
      <c r="C1052" s="12"/>
    </row>
    <row r="1053" spans="1:3" ht="15" x14ac:dyDescent="0.25">
      <c r="A1053" s="2">
        <v>140509</v>
      </c>
      <c r="B1053" s="3" t="s">
        <v>159</v>
      </c>
      <c r="C1053" s="9"/>
    </row>
    <row r="1054" spans="1:3" ht="15" x14ac:dyDescent="0.25">
      <c r="A1054" s="2">
        <v>14050906</v>
      </c>
      <c r="B1054" s="3" t="s">
        <v>131</v>
      </c>
      <c r="C1054" s="9"/>
    </row>
    <row r="1055" spans="1:3" ht="15" x14ac:dyDescent="0.25">
      <c r="A1055" s="2">
        <v>1405090611</v>
      </c>
      <c r="B1055" s="3" t="s">
        <v>160</v>
      </c>
      <c r="C1055" s="9"/>
    </row>
    <row r="1056" spans="1:3" ht="15" x14ac:dyDescent="0.25">
      <c r="A1056" s="2">
        <v>1405090612</v>
      </c>
      <c r="B1056" s="3" t="s">
        <v>161</v>
      </c>
      <c r="C1056" s="9"/>
    </row>
    <row r="1057" spans="1:3" ht="15" x14ac:dyDescent="0.25">
      <c r="A1057" s="2">
        <v>14050919</v>
      </c>
      <c r="B1057" s="3" t="s">
        <v>182</v>
      </c>
      <c r="C1057" s="9"/>
    </row>
    <row r="1058" spans="1:3" ht="15" x14ac:dyDescent="0.25">
      <c r="A1058" s="2">
        <v>1405091906</v>
      </c>
      <c r="B1058" s="3" t="s">
        <v>131</v>
      </c>
      <c r="C1058" s="9"/>
    </row>
    <row r="1059" spans="1:3" ht="15" x14ac:dyDescent="0.25">
      <c r="A1059" s="2">
        <v>1405091999</v>
      </c>
      <c r="B1059" s="3" t="s">
        <v>117</v>
      </c>
      <c r="C1059" s="9"/>
    </row>
    <row r="1060" spans="1:3" ht="15" x14ac:dyDescent="0.25">
      <c r="A1060" s="2">
        <v>14050999</v>
      </c>
      <c r="B1060" s="3" t="s">
        <v>117</v>
      </c>
      <c r="C1060" s="9"/>
    </row>
    <row r="1061" spans="1:3" ht="15" x14ac:dyDescent="0.25">
      <c r="A1061" s="2">
        <v>1405099901</v>
      </c>
      <c r="B1061" s="3" t="s">
        <v>118</v>
      </c>
      <c r="C1061" s="9"/>
    </row>
    <row r="1062" spans="1:3" ht="15" x14ac:dyDescent="0.25">
      <c r="A1062" s="2">
        <v>1405099902</v>
      </c>
      <c r="B1062" s="3" t="s">
        <v>119</v>
      </c>
      <c r="C1062" s="9"/>
    </row>
    <row r="1063" spans="1:3" ht="15" x14ac:dyDescent="0.25">
      <c r="A1063" s="2">
        <v>140510</v>
      </c>
      <c r="B1063" s="3" t="s">
        <v>162</v>
      </c>
      <c r="C1063" s="9"/>
    </row>
    <row r="1064" spans="1:3" ht="13.8" x14ac:dyDescent="0.25">
      <c r="A1064" s="5">
        <v>14051002</v>
      </c>
      <c r="B1064" s="6" t="s">
        <v>96</v>
      </c>
      <c r="C1064" s="12"/>
    </row>
    <row r="1065" spans="1:3" ht="15" x14ac:dyDescent="0.25">
      <c r="A1065" s="2">
        <v>14051003</v>
      </c>
      <c r="B1065" s="3" t="s">
        <v>97</v>
      </c>
      <c r="C1065" s="9"/>
    </row>
    <row r="1066" spans="1:3" ht="15" x14ac:dyDescent="0.25">
      <c r="A1066" s="2">
        <v>14051004</v>
      </c>
      <c r="B1066" s="3" t="s">
        <v>101</v>
      </c>
      <c r="C1066" s="9"/>
    </row>
    <row r="1067" spans="1:3" ht="15" x14ac:dyDescent="0.25">
      <c r="A1067" s="2">
        <v>14051005</v>
      </c>
      <c r="B1067" s="3" t="s">
        <v>106</v>
      </c>
      <c r="C1067" s="9"/>
    </row>
    <row r="1068" spans="1:3" ht="15" x14ac:dyDescent="0.25">
      <c r="A1068" s="2">
        <v>14051006</v>
      </c>
      <c r="B1068" s="3" t="s">
        <v>111</v>
      </c>
      <c r="C1068" s="9"/>
    </row>
    <row r="1069" spans="1:3" ht="15" x14ac:dyDescent="0.25">
      <c r="A1069" s="2">
        <v>14051007</v>
      </c>
      <c r="B1069" s="3" t="s">
        <v>112</v>
      </c>
      <c r="C1069" s="9"/>
    </row>
    <row r="1070" spans="1:3" ht="15" x14ac:dyDescent="0.25">
      <c r="A1070" s="2">
        <v>14051011</v>
      </c>
      <c r="B1070" s="3" t="s">
        <v>113</v>
      </c>
      <c r="C1070" s="9"/>
    </row>
    <row r="1071" spans="1:3" ht="15" x14ac:dyDescent="0.25">
      <c r="A1071" s="2">
        <v>14051012</v>
      </c>
      <c r="B1071" s="3" t="s">
        <v>114</v>
      </c>
      <c r="C1071" s="9"/>
    </row>
    <row r="1072" spans="1:3" ht="15" x14ac:dyDescent="0.25">
      <c r="A1072" s="2">
        <v>14051019</v>
      </c>
      <c r="B1072" s="3" t="s">
        <v>182</v>
      </c>
      <c r="C1072" s="9"/>
    </row>
    <row r="1073" spans="1:3" ht="13.8" x14ac:dyDescent="0.25">
      <c r="A1073" s="5">
        <v>1405101902</v>
      </c>
      <c r="B1073" s="6" t="s">
        <v>96</v>
      </c>
      <c r="C1073" s="12"/>
    </row>
    <row r="1074" spans="1:3" ht="15" x14ac:dyDescent="0.25">
      <c r="A1074" s="2">
        <v>1405101903</v>
      </c>
      <c r="B1074" s="3" t="s">
        <v>97</v>
      </c>
      <c r="C1074" s="9"/>
    </row>
    <row r="1075" spans="1:3" ht="15" x14ac:dyDescent="0.25">
      <c r="A1075" s="2">
        <v>1405101904</v>
      </c>
      <c r="B1075" s="3" t="s">
        <v>101</v>
      </c>
      <c r="C1075" s="9"/>
    </row>
    <row r="1076" spans="1:3" ht="15" x14ac:dyDescent="0.25">
      <c r="A1076" s="2">
        <v>1405101905</v>
      </c>
      <c r="B1076" s="3" t="s">
        <v>106</v>
      </c>
      <c r="C1076" s="9"/>
    </row>
    <row r="1077" spans="1:3" ht="15" x14ac:dyDescent="0.25">
      <c r="A1077" s="2">
        <v>1405101906</v>
      </c>
      <c r="B1077" s="3" t="s">
        <v>111</v>
      </c>
      <c r="C1077" s="9"/>
    </row>
    <row r="1078" spans="1:3" ht="15" x14ac:dyDescent="0.25">
      <c r="A1078" s="2">
        <v>1405101907</v>
      </c>
      <c r="B1078" s="3" t="s">
        <v>112</v>
      </c>
      <c r="C1078" s="9"/>
    </row>
    <row r="1079" spans="1:3" ht="15" x14ac:dyDescent="0.25">
      <c r="A1079" s="2">
        <v>1405101911</v>
      </c>
      <c r="B1079" s="3" t="s">
        <v>113</v>
      </c>
      <c r="C1079" s="9"/>
    </row>
    <row r="1080" spans="1:3" ht="15" x14ac:dyDescent="0.25">
      <c r="A1080" s="2">
        <v>1405101912</v>
      </c>
      <c r="B1080" s="3" t="s">
        <v>114</v>
      </c>
      <c r="C1080" s="9"/>
    </row>
    <row r="1081" spans="1:3" ht="15" x14ac:dyDescent="0.25">
      <c r="A1081" s="2">
        <v>1405101927</v>
      </c>
      <c r="B1081" s="3" t="s">
        <v>166</v>
      </c>
      <c r="C1081" s="9"/>
    </row>
    <row r="1082" spans="1:3" ht="13.8" x14ac:dyDescent="0.25">
      <c r="A1082" s="5">
        <v>1405101930</v>
      </c>
      <c r="B1082" s="6" t="s">
        <v>167</v>
      </c>
      <c r="C1082" s="12"/>
    </row>
    <row r="1083" spans="1:3" ht="13.8" x14ac:dyDescent="0.25">
      <c r="A1083" s="5">
        <v>1405101931</v>
      </c>
      <c r="B1083" s="6" t="s">
        <v>168</v>
      </c>
      <c r="C1083" s="12"/>
    </row>
    <row r="1084" spans="1:3" ht="13.8" x14ac:dyDescent="0.25">
      <c r="A1084" s="5">
        <v>1405101932</v>
      </c>
      <c r="B1084" s="6" t="s">
        <v>169</v>
      </c>
      <c r="C1084" s="12"/>
    </row>
    <row r="1085" spans="1:3" ht="13.8" x14ac:dyDescent="0.25">
      <c r="A1085" s="5">
        <v>1405101933</v>
      </c>
      <c r="B1085" s="6" t="s">
        <v>170</v>
      </c>
      <c r="C1085" s="12"/>
    </row>
    <row r="1086" spans="1:3" ht="13.8" x14ac:dyDescent="0.25">
      <c r="A1086" s="5">
        <v>1405101934</v>
      </c>
      <c r="B1086" s="6" t="s">
        <v>171</v>
      </c>
      <c r="C1086" s="12"/>
    </row>
    <row r="1087" spans="1:3" ht="15" x14ac:dyDescent="0.25">
      <c r="A1087" s="2">
        <v>1405101999</v>
      </c>
      <c r="B1087" s="3" t="s">
        <v>117</v>
      </c>
      <c r="C1087" s="9"/>
    </row>
    <row r="1088" spans="1:3" ht="15" x14ac:dyDescent="0.25">
      <c r="A1088" s="2">
        <v>14051021</v>
      </c>
      <c r="B1088" s="3" t="s">
        <v>115</v>
      </c>
      <c r="C1088" s="9"/>
    </row>
    <row r="1089" spans="1:3" ht="15" x14ac:dyDescent="0.25">
      <c r="A1089" s="2">
        <v>14051022</v>
      </c>
      <c r="B1089" s="3" t="s">
        <v>183</v>
      </c>
      <c r="C1089" s="9"/>
    </row>
    <row r="1090" spans="1:3" ht="15" x14ac:dyDescent="0.25">
      <c r="A1090" s="2">
        <v>1405102206</v>
      </c>
      <c r="B1090" s="3" t="s">
        <v>111</v>
      </c>
      <c r="C1090" s="9"/>
    </row>
    <row r="1091" spans="1:3" ht="15" x14ac:dyDescent="0.25">
      <c r="A1091" s="2">
        <v>1405102207</v>
      </c>
      <c r="B1091" s="3" t="s">
        <v>112</v>
      </c>
      <c r="C1091" s="9"/>
    </row>
    <row r="1092" spans="1:3" ht="15" x14ac:dyDescent="0.25">
      <c r="A1092" s="2">
        <v>1405102211</v>
      </c>
      <c r="B1092" s="3" t="s">
        <v>113</v>
      </c>
      <c r="C1092" s="9"/>
    </row>
    <row r="1093" spans="1:3" ht="15" x14ac:dyDescent="0.25">
      <c r="A1093" s="2">
        <v>1405102212</v>
      </c>
      <c r="B1093" s="3" t="s">
        <v>114</v>
      </c>
      <c r="C1093" s="9"/>
    </row>
    <row r="1094" spans="1:3" ht="15" x14ac:dyDescent="0.25">
      <c r="A1094" s="2">
        <v>1405102227</v>
      </c>
      <c r="B1094" s="3" t="s">
        <v>166</v>
      </c>
      <c r="C1094" s="9"/>
    </row>
    <row r="1095" spans="1:3" ht="15" x14ac:dyDescent="0.25">
      <c r="A1095" s="2">
        <v>1405102299</v>
      </c>
      <c r="B1095" s="3" t="s">
        <v>117</v>
      </c>
      <c r="C1095" s="9"/>
    </row>
    <row r="1096" spans="1:3" ht="15" x14ac:dyDescent="0.25">
      <c r="A1096" s="2">
        <v>14051027</v>
      </c>
      <c r="B1096" s="3" t="s">
        <v>166</v>
      </c>
      <c r="C1096" s="9"/>
    </row>
    <row r="1097" spans="1:3" ht="13.8" x14ac:dyDescent="0.25">
      <c r="A1097" s="5">
        <v>14051030</v>
      </c>
      <c r="B1097" s="6" t="s">
        <v>167</v>
      </c>
      <c r="C1097" s="12"/>
    </row>
    <row r="1098" spans="1:3" ht="13.8" x14ac:dyDescent="0.25">
      <c r="A1098" s="5">
        <v>14051031</v>
      </c>
      <c r="B1098" s="6" t="s">
        <v>168</v>
      </c>
      <c r="C1098" s="12"/>
    </row>
    <row r="1099" spans="1:3" ht="13.8" x14ac:dyDescent="0.25">
      <c r="A1099" s="5">
        <v>14051032</v>
      </c>
      <c r="B1099" s="6" t="s">
        <v>169</v>
      </c>
      <c r="C1099" s="12"/>
    </row>
    <row r="1100" spans="1:3" ht="13.8" x14ac:dyDescent="0.25">
      <c r="A1100" s="5">
        <v>14051033</v>
      </c>
      <c r="B1100" s="6" t="s">
        <v>170</v>
      </c>
      <c r="C1100" s="12"/>
    </row>
    <row r="1101" spans="1:3" ht="13.8" x14ac:dyDescent="0.25">
      <c r="A1101" s="5">
        <v>14051034</v>
      </c>
      <c r="B1101" s="6" t="s">
        <v>171</v>
      </c>
      <c r="C1101" s="12"/>
    </row>
    <row r="1102" spans="1:3" ht="15" x14ac:dyDescent="0.25">
      <c r="A1102" s="2">
        <v>14051099</v>
      </c>
      <c r="B1102" s="3" t="s">
        <v>117</v>
      </c>
      <c r="C1102" s="9"/>
    </row>
    <row r="1103" spans="1:3" ht="15" x14ac:dyDescent="0.25">
      <c r="A1103" s="2">
        <v>1405109901</v>
      </c>
      <c r="B1103" s="3" t="s">
        <v>118</v>
      </c>
      <c r="C1103" s="9"/>
    </row>
    <row r="1104" spans="1:3" ht="15" x14ac:dyDescent="0.25">
      <c r="A1104" s="2">
        <v>1405109902</v>
      </c>
      <c r="B1104" s="3" t="s">
        <v>119</v>
      </c>
      <c r="C1104" s="9"/>
    </row>
    <row r="1105" spans="1:3" ht="15" x14ac:dyDescent="0.25">
      <c r="A1105" s="2">
        <v>140511</v>
      </c>
      <c r="B1105" s="3" t="s">
        <v>172</v>
      </c>
      <c r="C1105" s="9"/>
    </row>
    <row r="1106" spans="1:3" ht="13.8" x14ac:dyDescent="0.25">
      <c r="A1106" s="5">
        <v>14051102</v>
      </c>
      <c r="B1106" s="6" t="s">
        <v>96</v>
      </c>
      <c r="C1106" s="12"/>
    </row>
    <row r="1107" spans="1:3" ht="15" x14ac:dyDescent="0.25">
      <c r="A1107" s="2">
        <v>14051103</v>
      </c>
      <c r="B1107" s="3" t="s">
        <v>97</v>
      </c>
      <c r="C1107" s="9"/>
    </row>
    <row r="1108" spans="1:3" ht="15" x14ac:dyDescent="0.25">
      <c r="A1108" s="2">
        <v>14051104</v>
      </c>
      <c r="B1108" s="3" t="s">
        <v>101</v>
      </c>
      <c r="C1108" s="9"/>
    </row>
    <row r="1109" spans="1:3" ht="15" x14ac:dyDescent="0.25">
      <c r="A1109" s="2">
        <v>14051105</v>
      </c>
      <c r="B1109" s="3" t="s">
        <v>106</v>
      </c>
      <c r="C1109" s="9"/>
    </row>
    <row r="1110" spans="1:3" ht="15" x14ac:dyDescent="0.25">
      <c r="A1110" s="2">
        <v>14051106</v>
      </c>
      <c r="B1110" s="3" t="s">
        <v>111</v>
      </c>
      <c r="C1110" s="9"/>
    </row>
    <row r="1111" spans="1:3" ht="15" x14ac:dyDescent="0.25">
      <c r="A1111" s="2">
        <v>14051107</v>
      </c>
      <c r="B1111" s="3" t="s">
        <v>112</v>
      </c>
      <c r="C1111" s="9"/>
    </row>
    <row r="1112" spans="1:3" ht="15" x14ac:dyDescent="0.25">
      <c r="A1112" s="2">
        <v>14051111</v>
      </c>
      <c r="B1112" s="3" t="s">
        <v>113</v>
      </c>
      <c r="C1112" s="9"/>
    </row>
    <row r="1113" spans="1:3" ht="15" x14ac:dyDescent="0.25">
      <c r="A1113" s="2">
        <v>14051112</v>
      </c>
      <c r="B1113" s="3" t="s">
        <v>114</v>
      </c>
      <c r="C1113" s="9"/>
    </row>
    <row r="1114" spans="1:3" ht="15" x14ac:dyDescent="0.25">
      <c r="A1114" s="2">
        <v>14051119</v>
      </c>
      <c r="B1114" s="3" t="s">
        <v>182</v>
      </c>
      <c r="C1114" s="9"/>
    </row>
    <row r="1115" spans="1:3" ht="13.8" x14ac:dyDescent="0.25">
      <c r="A1115" s="5">
        <v>1405111902</v>
      </c>
      <c r="B1115" s="6" t="s">
        <v>96</v>
      </c>
      <c r="C1115" s="12"/>
    </row>
    <row r="1116" spans="1:3" ht="15" x14ac:dyDescent="0.25">
      <c r="A1116" s="2">
        <v>1405111903</v>
      </c>
      <c r="B1116" s="3" t="s">
        <v>97</v>
      </c>
      <c r="C1116" s="9"/>
    </row>
    <row r="1117" spans="1:3" ht="15" x14ac:dyDescent="0.25">
      <c r="A1117" s="2">
        <v>1405111904</v>
      </c>
      <c r="B1117" s="3" t="s">
        <v>101</v>
      </c>
      <c r="C1117" s="9"/>
    </row>
    <row r="1118" spans="1:3" ht="15" x14ac:dyDescent="0.25">
      <c r="A1118" s="2">
        <v>1405111905</v>
      </c>
      <c r="B1118" s="3" t="s">
        <v>106</v>
      </c>
      <c r="C1118" s="9"/>
    </row>
    <row r="1119" spans="1:3" ht="15" x14ac:dyDescent="0.25">
      <c r="A1119" s="2">
        <v>1405111906</v>
      </c>
      <c r="B1119" s="3" t="s">
        <v>111</v>
      </c>
      <c r="C1119" s="9"/>
    </row>
    <row r="1120" spans="1:3" ht="15" x14ac:dyDescent="0.25">
      <c r="A1120" s="2">
        <v>1405111907</v>
      </c>
      <c r="B1120" s="3" t="s">
        <v>112</v>
      </c>
      <c r="C1120" s="9"/>
    </row>
    <row r="1121" spans="1:3" ht="15" x14ac:dyDescent="0.25">
      <c r="A1121" s="2">
        <v>1405111911</v>
      </c>
      <c r="B1121" s="3" t="s">
        <v>113</v>
      </c>
      <c r="C1121" s="9"/>
    </row>
    <row r="1122" spans="1:3" ht="15" x14ac:dyDescent="0.25">
      <c r="A1122" s="2">
        <v>1405111912</v>
      </c>
      <c r="B1122" s="3" t="s">
        <v>114</v>
      </c>
      <c r="C1122" s="9"/>
    </row>
    <row r="1123" spans="1:3" ht="15" x14ac:dyDescent="0.25">
      <c r="A1123" s="2">
        <v>1405111927</v>
      </c>
      <c r="B1123" s="3" t="s">
        <v>166</v>
      </c>
      <c r="C1123" s="9"/>
    </row>
    <row r="1124" spans="1:3" ht="13.8" x14ac:dyDescent="0.25">
      <c r="A1124" s="5">
        <v>1405111930</v>
      </c>
      <c r="B1124" s="6" t="s">
        <v>167</v>
      </c>
      <c r="C1124" s="12"/>
    </row>
    <row r="1125" spans="1:3" ht="13.8" x14ac:dyDescent="0.25">
      <c r="A1125" s="5">
        <v>1405111931</v>
      </c>
      <c r="B1125" s="6" t="s">
        <v>168</v>
      </c>
      <c r="C1125" s="12"/>
    </row>
    <row r="1126" spans="1:3" ht="13.8" x14ac:dyDescent="0.25">
      <c r="A1126" s="5">
        <v>1405111932</v>
      </c>
      <c r="B1126" s="6" t="s">
        <v>169</v>
      </c>
      <c r="C1126" s="12"/>
    </row>
    <row r="1127" spans="1:3" ht="13.8" x14ac:dyDescent="0.25">
      <c r="A1127" s="5">
        <v>1405111933</v>
      </c>
      <c r="B1127" s="6" t="s">
        <v>170</v>
      </c>
      <c r="C1127" s="12"/>
    </row>
    <row r="1128" spans="1:3" ht="13.8" x14ac:dyDescent="0.25">
      <c r="A1128" s="5">
        <v>1405111934</v>
      </c>
      <c r="B1128" s="6" t="s">
        <v>171</v>
      </c>
      <c r="C1128" s="12"/>
    </row>
    <row r="1129" spans="1:3" ht="15" x14ac:dyDescent="0.25">
      <c r="A1129" s="2">
        <v>1405111999</v>
      </c>
      <c r="B1129" s="3" t="s">
        <v>117</v>
      </c>
      <c r="C1129" s="9"/>
    </row>
    <row r="1130" spans="1:3" ht="15" x14ac:dyDescent="0.25">
      <c r="A1130" s="2">
        <v>14051121</v>
      </c>
      <c r="B1130" s="3" t="s">
        <v>115</v>
      </c>
      <c r="C1130" s="9"/>
    </row>
    <row r="1131" spans="1:3" ht="15" x14ac:dyDescent="0.25">
      <c r="A1131" s="2">
        <v>14051122</v>
      </c>
      <c r="B1131" s="3" t="s">
        <v>183</v>
      </c>
      <c r="C1131" s="9"/>
    </row>
    <row r="1132" spans="1:3" ht="15" x14ac:dyDescent="0.25">
      <c r="A1132" s="2">
        <v>1405112206</v>
      </c>
      <c r="B1132" s="3" t="s">
        <v>131</v>
      </c>
      <c r="C1132" s="9"/>
    </row>
    <row r="1133" spans="1:3" ht="15" x14ac:dyDescent="0.25">
      <c r="A1133" s="2">
        <v>1405112227</v>
      </c>
      <c r="B1133" s="3" t="s">
        <v>166</v>
      </c>
      <c r="C1133" s="9"/>
    </row>
    <row r="1134" spans="1:3" ht="15" x14ac:dyDescent="0.25">
      <c r="A1134" s="2">
        <v>1405112299</v>
      </c>
      <c r="B1134" s="3" t="s">
        <v>117</v>
      </c>
      <c r="C1134" s="9"/>
    </row>
    <row r="1135" spans="1:3" ht="15" x14ac:dyDescent="0.25">
      <c r="A1135" s="2">
        <v>14051127</v>
      </c>
      <c r="B1135" s="3" t="s">
        <v>166</v>
      </c>
      <c r="C1135" s="9"/>
    </row>
    <row r="1136" spans="1:3" ht="13.8" x14ac:dyDescent="0.25">
      <c r="A1136" s="5">
        <v>14051130</v>
      </c>
      <c r="B1136" s="6" t="s">
        <v>167</v>
      </c>
      <c r="C1136" s="12"/>
    </row>
    <row r="1137" spans="1:3" ht="13.8" x14ac:dyDescent="0.25">
      <c r="A1137" s="5">
        <v>14051131</v>
      </c>
      <c r="B1137" s="6" t="s">
        <v>168</v>
      </c>
      <c r="C1137" s="12"/>
    </row>
    <row r="1138" spans="1:3" ht="13.8" x14ac:dyDescent="0.25">
      <c r="A1138" s="5">
        <v>14051132</v>
      </c>
      <c r="B1138" s="6" t="s">
        <v>169</v>
      </c>
      <c r="C1138" s="12"/>
    </row>
    <row r="1139" spans="1:3" ht="13.8" x14ac:dyDescent="0.25">
      <c r="A1139" s="5">
        <v>14051133</v>
      </c>
      <c r="B1139" s="6" t="s">
        <v>187</v>
      </c>
      <c r="C1139" s="12"/>
    </row>
    <row r="1140" spans="1:3" ht="13.8" x14ac:dyDescent="0.25">
      <c r="A1140" s="5">
        <v>14051134</v>
      </c>
      <c r="B1140" s="6" t="s">
        <v>171</v>
      </c>
      <c r="C1140" s="12"/>
    </row>
    <row r="1141" spans="1:3" ht="15" x14ac:dyDescent="0.25">
      <c r="A1141" s="2">
        <v>14051199</v>
      </c>
      <c r="B1141" s="3" t="s">
        <v>117</v>
      </c>
      <c r="C1141" s="9"/>
    </row>
    <row r="1142" spans="1:3" ht="15" x14ac:dyDescent="0.25">
      <c r="A1142" s="2">
        <v>1405119901</v>
      </c>
      <c r="B1142" s="3" t="s">
        <v>118</v>
      </c>
      <c r="C1142" s="9"/>
    </row>
    <row r="1143" spans="1:3" ht="15" x14ac:dyDescent="0.25">
      <c r="A1143" s="2">
        <v>1405119902</v>
      </c>
      <c r="B1143" s="3" t="s">
        <v>119</v>
      </c>
      <c r="C1143" s="9"/>
    </row>
    <row r="1144" spans="1:3" ht="15" x14ac:dyDescent="0.25">
      <c r="A1144" s="2">
        <v>140512</v>
      </c>
      <c r="B1144" s="3" t="s">
        <v>174</v>
      </c>
      <c r="C1144" s="9"/>
    </row>
    <row r="1145" spans="1:3" ht="13.8" x14ac:dyDescent="0.25">
      <c r="A1145" s="5">
        <v>14051202</v>
      </c>
      <c r="B1145" s="6" t="s">
        <v>96</v>
      </c>
      <c r="C1145" s="12"/>
    </row>
    <row r="1146" spans="1:3" ht="15" x14ac:dyDescent="0.25">
      <c r="A1146" s="2">
        <v>14051203</v>
      </c>
      <c r="B1146" s="3" t="s">
        <v>97</v>
      </c>
      <c r="C1146" s="9"/>
    </row>
    <row r="1147" spans="1:3" ht="15" x14ac:dyDescent="0.25">
      <c r="A1147" s="2">
        <v>14051204</v>
      </c>
      <c r="B1147" s="3" t="s">
        <v>101</v>
      </c>
      <c r="C1147" s="9"/>
    </row>
    <row r="1148" spans="1:3" ht="15" x14ac:dyDescent="0.25">
      <c r="A1148" s="2">
        <v>14051205</v>
      </c>
      <c r="B1148" s="3" t="s">
        <v>106</v>
      </c>
      <c r="C1148" s="9"/>
    </row>
    <row r="1149" spans="1:3" ht="15" x14ac:dyDescent="0.25">
      <c r="A1149" s="2">
        <v>14051206</v>
      </c>
      <c r="B1149" s="3" t="s">
        <v>111</v>
      </c>
      <c r="C1149" s="9"/>
    </row>
    <row r="1150" spans="1:3" ht="15" x14ac:dyDescent="0.25">
      <c r="A1150" s="2">
        <v>14051207</v>
      </c>
      <c r="B1150" s="3" t="s">
        <v>112</v>
      </c>
      <c r="C1150" s="9"/>
    </row>
    <row r="1151" spans="1:3" ht="15" x14ac:dyDescent="0.25">
      <c r="A1151" s="2">
        <v>14051211</v>
      </c>
      <c r="B1151" s="3" t="s">
        <v>113</v>
      </c>
      <c r="C1151" s="9"/>
    </row>
    <row r="1152" spans="1:3" ht="15" x14ac:dyDescent="0.25">
      <c r="A1152" s="2">
        <v>14051212</v>
      </c>
      <c r="B1152" s="3" t="s">
        <v>114</v>
      </c>
      <c r="C1152" s="9"/>
    </row>
    <row r="1153" spans="1:3" ht="15" x14ac:dyDescent="0.25">
      <c r="A1153" s="2">
        <v>14051219</v>
      </c>
      <c r="B1153" s="3" t="s">
        <v>182</v>
      </c>
      <c r="C1153" s="9"/>
    </row>
    <row r="1154" spans="1:3" ht="13.8" x14ac:dyDescent="0.25">
      <c r="A1154" s="5">
        <v>1405121902</v>
      </c>
      <c r="B1154" s="6" t="s">
        <v>96</v>
      </c>
      <c r="C1154" s="12"/>
    </row>
    <row r="1155" spans="1:3" ht="15" x14ac:dyDescent="0.25">
      <c r="A1155" s="2">
        <v>1405121903</v>
      </c>
      <c r="B1155" s="3" t="s">
        <v>97</v>
      </c>
      <c r="C1155" s="9"/>
    </row>
    <row r="1156" spans="1:3" ht="15" x14ac:dyDescent="0.25">
      <c r="A1156" s="2">
        <v>1405121904</v>
      </c>
      <c r="B1156" s="3" t="s">
        <v>101</v>
      </c>
      <c r="C1156" s="9"/>
    </row>
    <row r="1157" spans="1:3" ht="15" x14ac:dyDescent="0.25">
      <c r="A1157" s="2">
        <v>1405121905</v>
      </c>
      <c r="B1157" s="3" t="s">
        <v>106</v>
      </c>
      <c r="C1157" s="9"/>
    </row>
    <row r="1158" spans="1:3" ht="15" x14ac:dyDescent="0.25">
      <c r="A1158" s="2">
        <v>1405121906</v>
      </c>
      <c r="B1158" s="3" t="s">
        <v>111</v>
      </c>
      <c r="C1158" s="9"/>
    </row>
    <row r="1159" spans="1:3" ht="15" x14ac:dyDescent="0.25">
      <c r="A1159" s="2">
        <v>1405121907</v>
      </c>
      <c r="B1159" s="3" t="s">
        <v>112</v>
      </c>
      <c r="C1159" s="9"/>
    </row>
    <row r="1160" spans="1:3" ht="15" x14ac:dyDescent="0.25">
      <c r="A1160" s="2">
        <v>1405121911</v>
      </c>
      <c r="B1160" s="3" t="s">
        <v>113</v>
      </c>
      <c r="C1160" s="9"/>
    </row>
    <row r="1161" spans="1:3" ht="15" x14ac:dyDescent="0.25">
      <c r="A1161" s="2">
        <v>1405121912</v>
      </c>
      <c r="B1161" s="3" t="s">
        <v>114</v>
      </c>
      <c r="C1161" s="9"/>
    </row>
    <row r="1162" spans="1:3" ht="15" x14ac:dyDescent="0.25">
      <c r="A1162" s="2">
        <v>1405121927</v>
      </c>
      <c r="B1162" s="3" t="s">
        <v>166</v>
      </c>
      <c r="C1162" s="9"/>
    </row>
    <row r="1163" spans="1:3" ht="13.8" x14ac:dyDescent="0.25">
      <c r="A1163" s="5">
        <v>1405121930</v>
      </c>
      <c r="B1163" s="6" t="s">
        <v>167</v>
      </c>
      <c r="C1163" s="12"/>
    </row>
    <row r="1164" spans="1:3" ht="13.8" x14ac:dyDescent="0.25">
      <c r="A1164" s="5">
        <v>1405121931</v>
      </c>
      <c r="B1164" s="6" t="s">
        <v>168</v>
      </c>
      <c r="C1164" s="12"/>
    </row>
    <row r="1165" spans="1:3" ht="13.8" x14ac:dyDescent="0.25">
      <c r="A1165" s="5">
        <v>1405121932</v>
      </c>
      <c r="B1165" s="6" t="s">
        <v>169</v>
      </c>
      <c r="C1165" s="12"/>
    </row>
    <row r="1166" spans="1:3" ht="13.8" x14ac:dyDescent="0.25">
      <c r="A1166" s="5">
        <v>1405121933</v>
      </c>
      <c r="B1166" s="6" t="s">
        <v>170</v>
      </c>
      <c r="C1166" s="12"/>
    </row>
    <row r="1167" spans="1:3" ht="13.8" x14ac:dyDescent="0.25">
      <c r="A1167" s="5">
        <v>1405121934</v>
      </c>
      <c r="B1167" s="6" t="s">
        <v>171</v>
      </c>
      <c r="C1167" s="12"/>
    </row>
    <row r="1168" spans="1:3" ht="15" x14ac:dyDescent="0.25">
      <c r="A1168" s="2">
        <v>1405121999</v>
      </c>
      <c r="B1168" s="3" t="s">
        <v>117</v>
      </c>
      <c r="C1168" s="9"/>
    </row>
    <row r="1169" spans="1:3" ht="15" x14ac:dyDescent="0.25">
      <c r="A1169" s="2">
        <v>14051221</v>
      </c>
      <c r="B1169" s="3" t="s">
        <v>115</v>
      </c>
      <c r="C1169" s="9"/>
    </row>
    <row r="1170" spans="1:3" ht="15" x14ac:dyDescent="0.25">
      <c r="A1170" s="2">
        <v>14051222</v>
      </c>
      <c r="B1170" s="3" t="s">
        <v>183</v>
      </c>
      <c r="C1170" s="9"/>
    </row>
    <row r="1171" spans="1:3" ht="15" x14ac:dyDescent="0.25">
      <c r="A1171" s="2">
        <v>1405122206</v>
      </c>
      <c r="B1171" s="3" t="s">
        <v>111</v>
      </c>
      <c r="C1171" s="9"/>
    </row>
    <row r="1172" spans="1:3" ht="15" x14ac:dyDescent="0.25">
      <c r="A1172" s="2">
        <v>1405122207</v>
      </c>
      <c r="B1172" s="3" t="s">
        <v>112</v>
      </c>
      <c r="C1172" s="9"/>
    </row>
    <row r="1173" spans="1:3" ht="15" x14ac:dyDescent="0.25">
      <c r="A1173" s="2">
        <v>1405122211</v>
      </c>
      <c r="B1173" s="3" t="s">
        <v>113</v>
      </c>
      <c r="C1173" s="9"/>
    </row>
    <row r="1174" spans="1:3" ht="15" x14ac:dyDescent="0.25">
      <c r="A1174" s="2">
        <v>1405122212</v>
      </c>
      <c r="B1174" s="3" t="s">
        <v>114</v>
      </c>
      <c r="C1174" s="9"/>
    </row>
    <row r="1175" spans="1:3" ht="15" x14ac:dyDescent="0.25">
      <c r="A1175" s="2">
        <v>1405122227</v>
      </c>
      <c r="B1175" s="3" t="s">
        <v>166</v>
      </c>
      <c r="C1175" s="9"/>
    </row>
    <row r="1176" spans="1:3" ht="15" x14ac:dyDescent="0.25">
      <c r="A1176" s="2">
        <v>1405122299</v>
      </c>
      <c r="B1176" s="3" t="s">
        <v>117</v>
      </c>
      <c r="C1176" s="9"/>
    </row>
    <row r="1177" spans="1:3" ht="15" x14ac:dyDescent="0.25">
      <c r="A1177" s="2">
        <v>14051227</v>
      </c>
      <c r="B1177" s="3" t="s">
        <v>166</v>
      </c>
      <c r="C1177" s="9"/>
    </row>
    <row r="1178" spans="1:3" ht="13.8" x14ac:dyDescent="0.25">
      <c r="A1178" s="5">
        <v>14051230</v>
      </c>
      <c r="B1178" s="6" t="s">
        <v>167</v>
      </c>
      <c r="C1178" s="12"/>
    </row>
    <row r="1179" spans="1:3" ht="13.8" x14ac:dyDescent="0.25">
      <c r="A1179" s="5">
        <v>14051231</v>
      </c>
      <c r="B1179" s="6" t="s">
        <v>168</v>
      </c>
      <c r="C1179" s="12"/>
    </row>
    <row r="1180" spans="1:3" ht="13.8" x14ac:dyDescent="0.25">
      <c r="A1180" s="5">
        <v>14051232</v>
      </c>
      <c r="B1180" s="6" t="s">
        <v>169</v>
      </c>
      <c r="C1180" s="12"/>
    </row>
    <row r="1181" spans="1:3" ht="13.8" x14ac:dyDescent="0.25">
      <c r="A1181" s="5">
        <v>14051233</v>
      </c>
      <c r="B1181" s="6" t="s">
        <v>170</v>
      </c>
      <c r="C1181" s="12"/>
    </row>
    <row r="1182" spans="1:3" ht="13.8" x14ac:dyDescent="0.25">
      <c r="A1182" s="5">
        <v>14051234</v>
      </c>
      <c r="B1182" s="6" t="s">
        <v>171</v>
      </c>
      <c r="C1182" s="12"/>
    </row>
    <row r="1183" spans="1:3" ht="15" x14ac:dyDescent="0.25">
      <c r="A1183" s="2">
        <v>14051299</v>
      </c>
      <c r="B1183" s="3" t="s">
        <v>117</v>
      </c>
      <c r="C1183" s="9"/>
    </row>
    <row r="1184" spans="1:3" ht="15" x14ac:dyDescent="0.25">
      <c r="A1184" s="2">
        <v>1405129901</v>
      </c>
      <c r="B1184" s="3" t="s">
        <v>118</v>
      </c>
      <c r="C1184" s="9"/>
    </row>
    <row r="1185" spans="1:3" ht="15" x14ac:dyDescent="0.25">
      <c r="A1185" s="2">
        <v>1405129902</v>
      </c>
      <c r="B1185" s="3" t="s">
        <v>119</v>
      </c>
      <c r="C1185" s="9"/>
    </row>
    <row r="1186" spans="1:3" ht="15" x14ac:dyDescent="0.25">
      <c r="A1186" s="2">
        <v>140513</v>
      </c>
      <c r="B1186" s="3" t="s">
        <v>175</v>
      </c>
      <c r="C1186" s="9"/>
    </row>
    <row r="1187" spans="1:3" ht="13.8" x14ac:dyDescent="0.25">
      <c r="A1187" s="5">
        <v>14051302</v>
      </c>
      <c r="B1187" s="6" t="s">
        <v>96</v>
      </c>
      <c r="C1187" s="12"/>
    </row>
    <row r="1188" spans="1:3" ht="15" x14ac:dyDescent="0.25">
      <c r="A1188" s="2">
        <v>14051303</v>
      </c>
      <c r="B1188" s="3" t="s">
        <v>97</v>
      </c>
      <c r="C1188" s="9"/>
    </row>
    <row r="1189" spans="1:3" ht="15" x14ac:dyDescent="0.25">
      <c r="A1189" s="2">
        <v>14051304</v>
      </c>
      <c r="B1189" s="3" t="s">
        <v>101</v>
      </c>
      <c r="C1189" s="9"/>
    </row>
    <row r="1190" spans="1:3" ht="15" x14ac:dyDescent="0.25">
      <c r="A1190" s="2">
        <v>14051305</v>
      </c>
      <c r="B1190" s="3" t="s">
        <v>106</v>
      </c>
      <c r="C1190" s="9"/>
    </row>
    <row r="1191" spans="1:3" ht="15" x14ac:dyDescent="0.25">
      <c r="A1191" s="2">
        <v>14051306</v>
      </c>
      <c r="B1191" s="3" t="s">
        <v>111</v>
      </c>
      <c r="C1191" s="9"/>
    </row>
    <row r="1192" spans="1:3" ht="15" x14ac:dyDescent="0.25">
      <c r="A1192" s="2">
        <v>14051307</v>
      </c>
      <c r="B1192" s="3" t="s">
        <v>112</v>
      </c>
      <c r="C1192" s="9"/>
    </row>
    <row r="1193" spans="1:3" ht="15" x14ac:dyDescent="0.25">
      <c r="A1193" s="2">
        <v>14051311</v>
      </c>
      <c r="B1193" s="3" t="s">
        <v>113</v>
      </c>
      <c r="C1193" s="9"/>
    </row>
    <row r="1194" spans="1:3" ht="15" x14ac:dyDescent="0.25">
      <c r="A1194" s="2">
        <v>14051312</v>
      </c>
      <c r="B1194" s="3" t="s">
        <v>114</v>
      </c>
      <c r="C1194" s="9"/>
    </row>
    <row r="1195" spans="1:3" ht="15" x14ac:dyDescent="0.25">
      <c r="A1195" s="2">
        <v>14051319</v>
      </c>
      <c r="B1195" s="3" t="s">
        <v>182</v>
      </c>
      <c r="C1195" s="9"/>
    </row>
    <row r="1196" spans="1:3" ht="13.8" x14ac:dyDescent="0.25">
      <c r="A1196" s="5">
        <v>1405131902</v>
      </c>
      <c r="B1196" s="6" t="s">
        <v>96</v>
      </c>
      <c r="C1196" s="12"/>
    </row>
    <row r="1197" spans="1:3" ht="15" x14ac:dyDescent="0.25">
      <c r="A1197" s="2">
        <v>1405131903</v>
      </c>
      <c r="B1197" s="3" t="s">
        <v>97</v>
      </c>
      <c r="C1197" s="9"/>
    </row>
    <row r="1198" spans="1:3" ht="15" x14ac:dyDescent="0.25">
      <c r="A1198" s="2">
        <v>1405131904</v>
      </c>
      <c r="B1198" s="3" t="s">
        <v>101</v>
      </c>
      <c r="C1198" s="9"/>
    </row>
    <row r="1199" spans="1:3" ht="15" x14ac:dyDescent="0.25">
      <c r="A1199" s="2">
        <v>1405131905</v>
      </c>
      <c r="B1199" s="3" t="s">
        <v>106</v>
      </c>
      <c r="C1199" s="9"/>
    </row>
    <row r="1200" spans="1:3" ht="15" x14ac:dyDescent="0.25">
      <c r="A1200" s="2">
        <v>1405131906</v>
      </c>
      <c r="B1200" s="3" t="s">
        <v>111</v>
      </c>
      <c r="C1200" s="9"/>
    </row>
    <row r="1201" spans="1:3" ht="15" x14ac:dyDescent="0.25">
      <c r="A1201" s="2">
        <v>1405131907</v>
      </c>
      <c r="B1201" s="3" t="s">
        <v>112</v>
      </c>
      <c r="C1201" s="9"/>
    </row>
    <row r="1202" spans="1:3" ht="15" x14ac:dyDescent="0.25">
      <c r="A1202" s="2">
        <v>1405131911</v>
      </c>
      <c r="B1202" s="3" t="s">
        <v>113</v>
      </c>
      <c r="C1202" s="9"/>
    </row>
    <row r="1203" spans="1:3" ht="15" x14ac:dyDescent="0.25">
      <c r="A1203" s="2">
        <v>1405131912</v>
      </c>
      <c r="B1203" s="3" t="s">
        <v>114</v>
      </c>
      <c r="C1203" s="9"/>
    </row>
    <row r="1204" spans="1:3" ht="15" x14ac:dyDescent="0.25">
      <c r="A1204" s="2">
        <v>1405131927</v>
      </c>
      <c r="B1204" s="3" t="s">
        <v>166</v>
      </c>
      <c r="C1204" s="9"/>
    </row>
    <row r="1205" spans="1:3" ht="15" x14ac:dyDescent="0.25">
      <c r="A1205" s="2">
        <v>1405131999</v>
      </c>
      <c r="B1205" s="3" t="s">
        <v>188</v>
      </c>
      <c r="C1205" s="9"/>
    </row>
    <row r="1206" spans="1:3" ht="15" x14ac:dyDescent="0.25">
      <c r="A1206" s="2">
        <v>14051321</v>
      </c>
      <c r="B1206" s="3" t="s">
        <v>115</v>
      </c>
      <c r="C1206" s="9"/>
    </row>
    <row r="1207" spans="1:3" ht="15" x14ac:dyDescent="0.25">
      <c r="A1207" s="2">
        <v>14051322</v>
      </c>
      <c r="B1207" s="3" t="s">
        <v>183</v>
      </c>
      <c r="C1207" s="9"/>
    </row>
    <row r="1208" spans="1:3" ht="15" x14ac:dyDescent="0.25">
      <c r="A1208" s="2">
        <v>1405132206</v>
      </c>
      <c r="B1208" s="3" t="s">
        <v>111</v>
      </c>
      <c r="C1208" s="9"/>
    </row>
    <row r="1209" spans="1:3" ht="15" x14ac:dyDescent="0.25">
      <c r="A1209" s="2">
        <v>1405132207</v>
      </c>
      <c r="B1209" s="3" t="s">
        <v>112</v>
      </c>
      <c r="C1209" s="9"/>
    </row>
    <row r="1210" spans="1:3" ht="15" x14ac:dyDescent="0.25">
      <c r="A1210" s="2">
        <v>1405132211</v>
      </c>
      <c r="B1210" s="3" t="s">
        <v>113</v>
      </c>
      <c r="C1210" s="9"/>
    </row>
    <row r="1211" spans="1:3" ht="15" x14ac:dyDescent="0.25">
      <c r="A1211" s="2">
        <v>1405132212</v>
      </c>
      <c r="B1211" s="3" t="s">
        <v>114</v>
      </c>
      <c r="C1211" s="9"/>
    </row>
    <row r="1212" spans="1:3" ht="15" x14ac:dyDescent="0.25">
      <c r="A1212" s="2">
        <v>1405132227</v>
      </c>
      <c r="B1212" s="3" t="s">
        <v>166</v>
      </c>
      <c r="C1212" s="9"/>
    </row>
    <row r="1213" spans="1:3" ht="15" x14ac:dyDescent="0.25">
      <c r="A1213" s="2">
        <v>1405132299</v>
      </c>
      <c r="B1213" s="3" t="s">
        <v>117</v>
      </c>
      <c r="C1213" s="9"/>
    </row>
    <row r="1214" spans="1:3" ht="15" x14ac:dyDescent="0.25">
      <c r="A1214" s="2">
        <v>14051327</v>
      </c>
      <c r="B1214" s="3" t="s">
        <v>166</v>
      </c>
      <c r="C1214" s="9"/>
    </row>
    <row r="1215" spans="1:3" ht="15" x14ac:dyDescent="0.25">
      <c r="A1215" s="2">
        <v>14051399</v>
      </c>
      <c r="B1215" s="3" t="s">
        <v>117</v>
      </c>
      <c r="C1215" s="9"/>
    </row>
    <row r="1216" spans="1:3" ht="15" x14ac:dyDescent="0.25">
      <c r="A1216" s="2">
        <v>1405139901</v>
      </c>
      <c r="B1216" s="3" t="s">
        <v>118</v>
      </c>
      <c r="C1216" s="9"/>
    </row>
    <row r="1217" spans="1:3" ht="15" x14ac:dyDescent="0.25">
      <c r="A1217" s="2">
        <v>1405139902</v>
      </c>
      <c r="B1217" s="3" t="s">
        <v>119</v>
      </c>
      <c r="C1217" s="9"/>
    </row>
    <row r="1218" spans="1:3" ht="15" x14ac:dyDescent="0.25">
      <c r="A1218" s="2">
        <v>1406</v>
      </c>
      <c r="B1218" s="3" t="s">
        <v>189</v>
      </c>
      <c r="C1218" s="9"/>
    </row>
    <row r="1219" spans="1:3" ht="15" x14ac:dyDescent="0.25">
      <c r="A1219" s="2">
        <v>140602</v>
      </c>
      <c r="B1219" s="3" t="s">
        <v>94</v>
      </c>
      <c r="C1219" s="9"/>
    </row>
    <row r="1220" spans="1:3" ht="13.8" x14ac:dyDescent="0.25">
      <c r="A1220" s="5">
        <v>14060202</v>
      </c>
      <c r="B1220" s="6" t="s">
        <v>96</v>
      </c>
      <c r="C1220" s="12"/>
    </row>
    <row r="1221" spans="1:3" ht="15" x14ac:dyDescent="0.25">
      <c r="A1221" s="2">
        <v>14060203</v>
      </c>
      <c r="B1221" s="3" t="s">
        <v>97</v>
      </c>
      <c r="C1221" s="9"/>
    </row>
    <row r="1222" spans="1:3" ht="15" x14ac:dyDescent="0.25">
      <c r="A1222" s="2">
        <v>1406020301</v>
      </c>
      <c r="B1222" s="3" t="s">
        <v>98</v>
      </c>
      <c r="C1222" s="9"/>
    </row>
    <row r="1223" spans="1:3" ht="15" x14ac:dyDescent="0.25">
      <c r="A1223" s="2">
        <v>1406020302</v>
      </c>
      <c r="B1223" s="3" t="s">
        <v>99</v>
      </c>
      <c r="C1223" s="9"/>
    </row>
    <row r="1224" spans="1:3" ht="15" x14ac:dyDescent="0.25">
      <c r="A1224" s="2">
        <v>1406020303</v>
      </c>
      <c r="B1224" s="3" t="s">
        <v>100</v>
      </c>
      <c r="C1224" s="9"/>
    </row>
    <row r="1225" spans="1:3" ht="15" x14ac:dyDescent="0.25">
      <c r="A1225" s="2">
        <v>14060204</v>
      </c>
      <c r="B1225" s="3" t="s">
        <v>101</v>
      </c>
      <c r="C1225" s="9"/>
    </row>
    <row r="1226" spans="1:3" ht="15" x14ac:dyDescent="0.25">
      <c r="A1226" s="2">
        <v>1406020401</v>
      </c>
      <c r="B1226" s="3" t="s">
        <v>102</v>
      </c>
      <c r="C1226" s="9"/>
    </row>
    <row r="1227" spans="1:3" ht="15" x14ac:dyDescent="0.25">
      <c r="A1227" s="2">
        <v>1406020402</v>
      </c>
      <c r="B1227" s="3" t="s">
        <v>103</v>
      </c>
      <c r="C1227" s="9"/>
    </row>
    <row r="1228" spans="1:3" ht="15" x14ac:dyDescent="0.25">
      <c r="A1228" s="2">
        <v>1406020403</v>
      </c>
      <c r="B1228" s="3" t="s">
        <v>104</v>
      </c>
      <c r="C1228" s="9"/>
    </row>
    <row r="1229" spans="1:3" ht="15" x14ac:dyDescent="0.25">
      <c r="A1229" s="2">
        <v>1406020409</v>
      </c>
      <c r="B1229" s="3" t="s">
        <v>105</v>
      </c>
      <c r="C1229" s="9"/>
    </row>
    <row r="1230" spans="1:3" ht="15" x14ac:dyDescent="0.25">
      <c r="A1230" s="2">
        <v>14060205</v>
      </c>
      <c r="B1230" s="3" t="s">
        <v>106</v>
      </c>
      <c r="C1230" s="9"/>
    </row>
    <row r="1231" spans="1:3" ht="15" x14ac:dyDescent="0.25">
      <c r="A1231" s="2">
        <v>1406020501</v>
      </c>
      <c r="B1231" s="3" t="s">
        <v>107</v>
      </c>
      <c r="C1231" s="9"/>
    </row>
    <row r="1232" spans="1:3" ht="15" x14ac:dyDescent="0.25">
      <c r="A1232" s="2">
        <v>1406020502</v>
      </c>
      <c r="B1232" s="3" t="s">
        <v>108</v>
      </c>
      <c r="C1232" s="9"/>
    </row>
    <row r="1233" spans="1:3" ht="15" x14ac:dyDescent="0.25">
      <c r="A1233" s="2">
        <v>1406020503</v>
      </c>
      <c r="B1233" s="3" t="s">
        <v>109</v>
      </c>
      <c r="C1233" s="9"/>
    </row>
    <row r="1234" spans="1:3" ht="15" x14ac:dyDescent="0.25">
      <c r="A1234" s="2">
        <v>1406020509</v>
      </c>
      <c r="B1234" s="3" t="s">
        <v>181</v>
      </c>
      <c r="C1234" s="9"/>
    </row>
    <row r="1235" spans="1:3" ht="15" x14ac:dyDescent="0.25">
      <c r="A1235" s="2">
        <v>14060206</v>
      </c>
      <c r="B1235" s="3" t="s">
        <v>111</v>
      </c>
      <c r="C1235" s="9"/>
    </row>
    <row r="1236" spans="1:3" ht="15" x14ac:dyDescent="0.25">
      <c r="A1236" s="2">
        <v>14060207</v>
      </c>
      <c r="B1236" s="3" t="s">
        <v>112</v>
      </c>
      <c r="C1236" s="9"/>
    </row>
    <row r="1237" spans="1:3" ht="15" x14ac:dyDescent="0.25">
      <c r="A1237" s="2">
        <v>14060211</v>
      </c>
      <c r="B1237" s="3" t="s">
        <v>113</v>
      </c>
      <c r="C1237" s="9"/>
    </row>
    <row r="1238" spans="1:3" ht="15" x14ac:dyDescent="0.25">
      <c r="A1238" s="2">
        <v>14060212</v>
      </c>
      <c r="B1238" s="3" t="s">
        <v>114</v>
      </c>
      <c r="C1238" s="9"/>
    </row>
    <row r="1239" spans="1:3" ht="15" x14ac:dyDescent="0.25">
      <c r="A1239" s="2">
        <v>14060219</v>
      </c>
      <c r="B1239" s="3" t="s">
        <v>182</v>
      </c>
      <c r="C1239" s="9"/>
    </row>
    <row r="1240" spans="1:3" ht="13.8" x14ac:dyDescent="0.25">
      <c r="A1240" s="5">
        <v>1406021902</v>
      </c>
      <c r="B1240" s="6" t="s">
        <v>96</v>
      </c>
      <c r="C1240" s="12"/>
    </row>
    <row r="1241" spans="1:3" ht="15" x14ac:dyDescent="0.25">
      <c r="A1241" s="2">
        <v>1406021903</v>
      </c>
      <c r="B1241" s="3" t="s">
        <v>97</v>
      </c>
      <c r="C1241" s="9"/>
    </row>
    <row r="1242" spans="1:3" ht="15" x14ac:dyDescent="0.25">
      <c r="A1242" s="2">
        <v>1406021904</v>
      </c>
      <c r="B1242" s="3" t="s">
        <v>101</v>
      </c>
      <c r="C1242" s="9"/>
    </row>
    <row r="1243" spans="1:3" ht="15" x14ac:dyDescent="0.25">
      <c r="A1243" s="2">
        <v>1406021905</v>
      </c>
      <c r="B1243" s="3" t="s">
        <v>106</v>
      </c>
      <c r="C1243" s="9"/>
    </row>
    <row r="1244" spans="1:3" ht="15" x14ac:dyDescent="0.25">
      <c r="A1244" s="2">
        <v>1406021906</v>
      </c>
      <c r="B1244" s="3" t="s">
        <v>111</v>
      </c>
      <c r="C1244" s="9"/>
    </row>
    <row r="1245" spans="1:3" ht="15" x14ac:dyDescent="0.25">
      <c r="A1245" s="2">
        <v>1406021907</v>
      </c>
      <c r="B1245" s="3" t="s">
        <v>112</v>
      </c>
      <c r="C1245" s="9"/>
    </row>
    <row r="1246" spans="1:3" ht="15" x14ac:dyDescent="0.25">
      <c r="A1246" s="2">
        <v>1406021911</v>
      </c>
      <c r="B1246" s="3" t="s">
        <v>113</v>
      </c>
      <c r="C1246" s="9"/>
    </row>
    <row r="1247" spans="1:3" ht="15" x14ac:dyDescent="0.25">
      <c r="A1247" s="2">
        <v>1406021912</v>
      </c>
      <c r="B1247" s="3" t="s">
        <v>114</v>
      </c>
      <c r="C1247" s="9"/>
    </row>
    <row r="1248" spans="1:3" ht="15" x14ac:dyDescent="0.25">
      <c r="A1248" s="2">
        <v>1406021927</v>
      </c>
      <c r="B1248" s="3" t="s">
        <v>166</v>
      </c>
      <c r="C1248" s="9"/>
    </row>
    <row r="1249" spans="1:3" ht="15" x14ac:dyDescent="0.25">
      <c r="A1249" s="2">
        <v>1406021999</v>
      </c>
      <c r="B1249" s="3" t="s">
        <v>117</v>
      </c>
      <c r="C1249" s="9"/>
    </row>
    <row r="1250" spans="1:3" ht="15" x14ac:dyDescent="0.25">
      <c r="A1250" s="2">
        <v>14060221</v>
      </c>
      <c r="B1250" s="3" t="s">
        <v>115</v>
      </c>
      <c r="C1250" s="9"/>
    </row>
    <row r="1251" spans="1:3" ht="15" x14ac:dyDescent="0.25">
      <c r="A1251" s="2">
        <v>14060222</v>
      </c>
      <c r="B1251" s="3" t="s">
        <v>183</v>
      </c>
      <c r="C1251" s="9"/>
    </row>
    <row r="1252" spans="1:3" ht="15" x14ac:dyDescent="0.25">
      <c r="A1252" s="2">
        <v>1406022206</v>
      </c>
      <c r="B1252" s="3" t="s">
        <v>111</v>
      </c>
      <c r="C1252" s="9"/>
    </row>
    <row r="1253" spans="1:3" ht="15" x14ac:dyDescent="0.25">
      <c r="A1253" s="2">
        <v>1406022207</v>
      </c>
      <c r="B1253" s="3" t="s">
        <v>112</v>
      </c>
      <c r="C1253" s="9"/>
    </row>
    <row r="1254" spans="1:3" ht="15" x14ac:dyDescent="0.25">
      <c r="A1254" s="2">
        <v>1406022211</v>
      </c>
      <c r="B1254" s="3" t="s">
        <v>113</v>
      </c>
      <c r="C1254" s="9"/>
    </row>
    <row r="1255" spans="1:3" ht="15" x14ac:dyDescent="0.25">
      <c r="A1255" s="2">
        <v>1406022212</v>
      </c>
      <c r="B1255" s="3" t="s">
        <v>114</v>
      </c>
      <c r="C1255" s="9"/>
    </row>
    <row r="1256" spans="1:3" ht="15" x14ac:dyDescent="0.25">
      <c r="A1256" s="2">
        <v>1406022227</v>
      </c>
      <c r="B1256" s="3" t="s">
        <v>166</v>
      </c>
      <c r="C1256" s="9"/>
    </row>
    <row r="1257" spans="1:3" ht="15" x14ac:dyDescent="0.25">
      <c r="A1257" s="2">
        <v>1406022299</v>
      </c>
      <c r="B1257" s="3" t="s">
        <v>117</v>
      </c>
      <c r="C1257" s="9"/>
    </row>
    <row r="1258" spans="1:3" ht="15" x14ac:dyDescent="0.25">
      <c r="A1258" s="2">
        <v>14060227</v>
      </c>
      <c r="B1258" s="3" t="s">
        <v>166</v>
      </c>
      <c r="C1258" s="9"/>
    </row>
    <row r="1259" spans="1:3" ht="15" x14ac:dyDescent="0.25">
      <c r="A1259" s="2">
        <v>14060299</v>
      </c>
      <c r="B1259" s="3" t="s">
        <v>117</v>
      </c>
      <c r="C1259" s="9"/>
    </row>
    <row r="1260" spans="1:3" ht="15" x14ac:dyDescent="0.25">
      <c r="A1260" s="2">
        <v>1406029901</v>
      </c>
      <c r="B1260" s="3" t="s">
        <v>118</v>
      </c>
      <c r="C1260" s="9"/>
    </row>
    <row r="1261" spans="1:3" ht="15" x14ac:dyDescent="0.25">
      <c r="A1261" s="2">
        <v>1406029902</v>
      </c>
      <c r="B1261" s="3" t="s">
        <v>119</v>
      </c>
      <c r="C1261" s="9"/>
    </row>
    <row r="1262" spans="1:3" ht="15" x14ac:dyDescent="0.25">
      <c r="A1262" s="2">
        <v>140603</v>
      </c>
      <c r="B1262" s="3" t="s">
        <v>120</v>
      </c>
      <c r="C1262" s="9"/>
    </row>
    <row r="1263" spans="1:3" ht="13.8" x14ac:dyDescent="0.25">
      <c r="A1263" s="5">
        <v>14060302</v>
      </c>
      <c r="B1263" s="6" t="s">
        <v>96</v>
      </c>
      <c r="C1263" s="12"/>
    </row>
    <row r="1264" spans="1:3" ht="15" x14ac:dyDescent="0.25">
      <c r="A1264" s="2">
        <v>14060303</v>
      </c>
      <c r="B1264" s="3" t="s">
        <v>97</v>
      </c>
      <c r="C1264" s="9"/>
    </row>
    <row r="1265" spans="1:3" ht="15" x14ac:dyDescent="0.25">
      <c r="A1265" s="2">
        <v>1406030301</v>
      </c>
      <c r="B1265" s="3" t="s">
        <v>98</v>
      </c>
      <c r="C1265" s="9"/>
    </row>
    <row r="1266" spans="1:3" ht="15" x14ac:dyDescent="0.25">
      <c r="A1266" s="2">
        <v>1406030302</v>
      </c>
      <c r="B1266" s="3" t="s">
        <v>99</v>
      </c>
      <c r="C1266" s="9"/>
    </row>
    <row r="1267" spans="1:3" ht="15" x14ac:dyDescent="0.25">
      <c r="A1267" s="2">
        <v>1406030303</v>
      </c>
      <c r="B1267" s="3" t="s">
        <v>100</v>
      </c>
      <c r="C1267" s="9"/>
    </row>
    <row r="1268" spans="1:3" ht="15" x14ac:dyDescent="0.25">
      <c r="A1268" s="2">
        <v>14060306</v>
      </c>
      <c r="B1268" s="3" t="s">
        <v>111</v>
      </c>
      <c r="C1268" s="9"/>
    </row>
    <row r="1269" spans="1:3" ht="15" x14ac:dyDescent="0.25">
      <c r="A1269" s="2">
        <v>1406030602</v>
      </c>
      <c r="B1269" s="3" t="s">
        <v>190</v>
      </c>
      <c r="C1269" s="9"/>
    </row>
    <row r="1270" spans="1:3" ht="15" x14ac:dyDescent="0.25">
      <c r="A1270" s="2">
        <v>1406030603</v>
      </c>
      <c r="B1270" s="3" t="s">
        <v>191</v>
      </c>
      <c r="C1270" s="9"/>
    </row>
    <row r="1271" spans="1:3" ht="15" x14ac:dyDescent="0.25">
      <c r="A1271" s="2">
        <v>1406030604</v>
      </c>
      <c r="B1271" s="3" t="s">
        <v>192</v>
      </c>
      <c r="C1271" s="9"/>
    </row>
    <row r="1272" spans="1:3" ht="15" x14ac:dyDescent="0.25">
      <c r="A1272" s="2">
        <v>1406030605</v>
      </c>
      <c r="B1272" s="3" t="s">
        <v>193</v>
      </c>
      <c r="C1272" s="9"/>
    </row>
    <row r="1273" spans="1:3" ht="30" x14ac:dyDescent="0.25">
      <c r="A1273" s="2">
        <v>1406030612</v>
      </c>
      <c r="B1273" s="4" t="s">
        <v>194</v>
      </c>
      <c r="C1273" s="11"/>
    </row>
    <row r="1274" spans="1:3" ht="15" x14ac:dyDescent="0.25">
      <c r="A1274" s="2">
        <v>14060307</v>
      </c>
      <c r="B1274" s="3" t="s">
        <v>112</v>
      </c>
      <c r="C1274" s="9"/>
    </row>
    <row r="1275" spans="1:3" ht="15" x14ac:dyDescent="0.25">
      <c r="A1275" s="2">
        <v>1406030701</v>
      </c>
      <c r="B1275" s="3" t="s">
        <v>127</v>
      </c>
      <c r="C1275" s="9"/>
    </row>
    <row r="1276" spans="1:3" ht="15" x14ac:dyDescent="0.25">
      <c r="A1276" s="2">
        <v>1406030702</v>
      </c>
      <c r="B1276" s="3" t="s">
        <v>128</v>
      </c>
      <c r="C1276" s="9"/>
    </row>
    <row r="1277" spans="1:3" ht="15" x14ac:dyDescent="0.25">
      <c r="A1277" s="2">
        <v>14060311</v>
      </c>
      <c r="B1277" s="3" t="s">
        <v>113</v>
      </c>
      <c r="C1277" s="9"/>
    </row>
    <row r="1278" spans="1:3" ht="15" x14ac:dyDescent="0.25">
      <c r="A1278" s="2">
        <v>14060312</v>
      </c>
      <c r="B1278" s="3" t="s">
        <v>114</v>
      </c>
      <c r="C1278" s="9"/>
    </row>
    <row r="1279" spans="1:3" ht="15" x14ac:dyDescent="0.25">
      <c r="A1279" s="2">
        <v>14060313</v>
      </c>
      <c r="B1279" s="3" t="s">
        <v>129</v>
      </c>
      <c r="C1279" s="9"/>
    </row>
    <row r="1280" spans="1:3" ht="15" x14ac:dyDescent="0.25">
      <c r="A1280" s="2">
        <v>14060319</v>
      </c>
      <c r="B1280" s="3" t="s">
        <v>182</v>
      </c>
      <c r="C1280" s="9"/>
    </row>
    <row r="1281" spans="1:3" ht="13.8" x14ac:dyDescent="0.25">
      <c r="A1281" s="5">
        <v>1406031902</v>
      </c>
      <c r="B1281" s="6" t="s">
        <v>96</v>
      </c>
      <c r="C1281" s="12"/>
    </row>
    <row r="1282" spans="1:3" ht="15" x14ac:dyDescent="0.25">
      <c r="A1282" s="2">
        <v>1406031903</v>
      </c>
      <c r="B1282" s="3" t="s">
        <v>97</v>
      </c>
      <c r="C1282" s="9"/>
    </row>
    <row r="1283" spans="1:3" ht="15" x14ac:dyDescent="0.25">
      <c r="A1283" s="2">
        <v>1406031906</v>
      </c>
      <c r="B1283" s="3" t="s">
        <v>111</v>
      </c>
      <c r="C1283" s="9"/>
    </row>
    <row r="1284" spans="1:3" ht="15" x14ac:dyDescent="0.25">
      <c r="A1284" s="2">
        <v>1406031907</v>
      </c>
      <c r="B1284" s="3" t="s">
        <v>112</v>
      </c>
      <c r="C1284" s="9"/>
    </row>
    <row r="1285" spans="1:3" ht="15" x14ac:dyDescent="0.25">
      <c r="A1285" s="2">
        <v>1406031911</v>
      </c>
      <c r="B1285" s="3" t="s">
        <v>113</v>
      </c>
      <c r="C1285" s="9"/>
    </row>
    <row r="1286" spans="1:3" ht="15" x14ac:dyDescent="0.25">
      <c r="A1286" s="2">
        <v>1406031912</v>
      </c>
      <c r="B1286" s="3" t="s">
        <v>114</v>
      </c>
      <c r="C1286" s="9"/>
    </row>
    <row r="1287" spans="1:3" ht="15" x14ac:dyDescent="0.25">
      <c r="A1287" s="2">
        <v>1406031999</v>
      </c>
      <c r="B1287" s="3" t="s">
        <v>117</v>
      </c>
      <c r="C1287" s="9"/>
    </row>
    <row r="1288" spans="1:3" ht="15" x14ac:dyDescent="0.25">
      <c r="A1288" s="2">
        <v>14060399</v>
      </c>
      <c r="B1288" s="3" t="s">
        <v>117</v>
      </c>
      <c r="C1288" s="9"/>
    </row>
    <row r="1289" spans="1:3" ht="15" x14ac:dyDescent="0.25">
      <c r="A1289" s="2">
        <v>1406039901</v>
      </c>
      <c r="B1289" s="3" t="s">
        <v>118</v>
      </c>
      <c r="C1289" s="9"/>
    </row>
    <row r="1290" spans="1:3" ht="15" x14ac:dyDescent="0.25">
      <c r="A1290" s="2">
        <v>1406039902</v>
      </c>
      <c r="B1290" s="3" t="s">
        <v>119</v>
      </c>
      <c r="C1290" s="9"/>
    </row>
    <row r="1291" spans="1:3" ht="15" x14ac:dyDescent="0.25">
      <c r="A1291" s="2">
        <v>140604</v>
      </c>
      <c r="B1291" s="3" t="s">
        <v>130</v>
      </c>
      <c r="C1291" s="9"/>
    </row>
    <row r="1292" spans="1:3" ht="15" x14ac:dyDescent="0.25">
      <c r="A1292" s="2">
        <v>14060406</v>
      </c>
      <c r="B1292" s="3" t="s">
        <v>131</v>
      </c>
      <c r="C1292" s="9"/>
    </row>
    <row r="1293" spans="1:3" ht="15" x14ac:dyDescent="0.25">
      <c r="A1293" s="2">
        <v>1406040601</v>
      </c>
      <c r="B1293" s="3" t="s">
        <v>132</v>
      </c>
      <c r="C1293" s="9"/>
    </row>
    <row r="1294" spans="1:3" ht="15" x14ac:dyDescent="0.25">
      <c r="A1294" s="2">
        <v>1406040602</v>
      </c>
      <c r="B1294" s="3" t="s">
        <v>133</v>
      </c>
      <c r="C1294" s="9"/>
    </row>
    <row r="1295" spans="1:3" ht="15" x14ac:dyDescent="0.25">
      <c r="A1295" s="2">
        <v>14060419</v>
      </c>
      <c r="B1295" s="3" t="s">
        <v>182</v>
      </c>
      <c r="C1295" s="9"/>
    </row>
    <row r="1296" spans="1:3" ht="15" x14ac:dyDescent="0.25">
      <c r="A1296" s="2">
        <v>1406041906</v>
      </c>
      <c r="B1296" s="3" t="s">
        <v>131</v>
      </c>
      <c r="C1296" s="9"/>
    </row>
    <row r="1297" spans="1:3" ht="15" x14ac:dyDescent="0.25">
      <c r="A1297" s="2">
        <v>1406041923</v>
      </c>
      <c r="B1297" s="3" t="s">
        <v>179</v>
      </c>
      <c r="C1297" s="9"/>
    </row>
    <row r="1298" spans="1:3" ht="30" x14ac:dyDescent="0.25">
      <c r="A1298" s="2">
        <v>1406041924</v>
      </c>
      <c r="B1298" s="4" t="s">
        <v>135</v>
      </c>
      <c r="C1298" s="11"/>
    </row>
    <row r="1299" spans="1:3" ht="30" x14ac:dyDescent="0.25">
      <c r="A1299" s="2">
        <v>1406041925</v>
      </c>
      <c r="B1299" s="4" t="s">
        <v>136</v>
      </c>
      <c r="C1299" s="11"/>
    </row>
    <row r="1300" spans="1:3" ht="15" x14ac:dyDescent="0.25">
      <c r="A1300" s="2">
        <v>1406041928</v>
      </c>
      <c r="B1300" s="3" t="s">
        <v>137</v>
      </c>
      <c r="C1300" s="9"/>
    </row>
    <row r="1301" spans="1:3" ht="15" x14ac:dyDescent="0.25">
      <c r="A1301" s="2">
        <v>1406041999</v>
      </c>
      <c r="B1301" s="3" t="s">
        <v>117</v>
      </c>
      <c r="C1301" s="9"/>
    </row>
    <row r="1302" spans="1:3" ht="15" x14ac:dyDescent="0.25">
      <c r="A1302" s="2">
        <v>14060423</v>
      </c>
      <c r="B1302" s="3" t="s">
        <v>179</v>
      </c>
      <c r="C1302" s="9"/>
    </row>
    <row r="1303" spans="1:3" ht="30" x14ac:dyDescent="0.25">
      <c r="A1303" s="2">
        <v>14060424</v>
      </c>
      <c r="B1303" s="4" t="s">
        <v>135</v>
      </c>
      <c r="C1303" s="11"/>
    </row>
    <row r="1304" spans="1:3" ht="30" x14ac:dyDescent="0.25">
      <c r="A1304" s="2">
        <v>14060425</v>
      </c>
      <c r="B1304" s="4" t="s">
        <v>136</v>
      </c>
      <c r="C1304" s="11"/>
    </row>
    <row r="1305" spans="1:3" ht="15" x14ac:dyDescent="0.25">
      <c r="A1305" s="2">
        <v>14060428</v>
      </c>
      <c r="B1305" s="3" t="s">
        <v>137</v>
      </c>
      <c r="C1305" s="9"/>
    </row>
    <row r="1306" spans="1:3" ht="15" x14ac:dyDescent="0.25">
      <c r="A1306" s="2">
        <v>14060499</v>
      </c>
      <c r="B1306" s="3" t="s">
        <v>117</v>
      </c>
      <c r="C1306" s="9"/>
    </row>
    <row r="1307" spans="1:3" ht="13.8" x14ac:dyDescent="0.25">
      <c r="A1307" s="5">
        <v>140607</v>
      </c>
      <c r="B1307" s="6" t="s">
        <v>138</v>
      </c>
      <c r="C1307" s="12"/>
    </row>
    <row r="1308" spans="1:3" ht="13.8" x14ac:dyDescent="0.25">
      <c r="A1308" s="5">
        <v>14060702</v>
      </c>
      <c r="B1308" s="6" t="s">
        <v>96</v>
      </c>
      <c r="C1308" s="12"/>
    </row>
    <row r="1309" spans="1:3" ht="13.8" x14ac:dyDescent="0.25">
      <c r="A1309" s="5">
        <v>14060703</v>
      </c>
      <c r="B1309" s="6" t="s">
        <v>139</v>
      </c>
      <c r="C1309" s="12"/>
    </row>
    <row r="1310" spans="1:3" ht="13.8" x14ac:dyDescent="0.25">
      <c r="A1310" s="5">
        <v>14060704</v>
      </c>
      <c r="B1310" s="6" t="s">
        <v>140</v>
      </c>
      <c r="C1310" s="12"/>
    </row>
    <row r="1311" spans="1:3" ht="13.8" x14ac:dyDescent="0.25">
      <c r="A1311" s="5">
        <v>14060705</v>
      </c>
      <c r="B1311" s="6" t="s">
        <v>145</v>
      </c>
      <c r="C1311" s="12"/>
    </row>
    <row r="1312" spans="1:3" ht="13.8" x14ac:dyDescent="0.25">
      <c r="A1312" s="5">
        <v>14060706</v>
      </c>
      <c r="B1312" s="6" t="s">
        <v>150</v>
      </c>
      <c r="C1312" s="12"/>
    </row>
    <row r="1313" spans="1:3" ht="13.8" x14ac:dyDescent="0.25">
      <c r="A1313" s="5">
        <v>14060707</v>
      </c>
      <c r="B1313" s="6" t="s">
        <v>151</v>
      </c>
      <c r="C1313" s="12"/>
    </row>
    <row r="1314" spans="1:3" ht="13.8" x14ac:dyDescent="0.25">
      <c r="A1314" s="5">
        <v>14060711</v>
      </c>
      <c r="B1314" s="6" t="s">
        <v>152</v>
      </c>
      <c r="C1314" s="12"/>
    </row>
    <row r="1315" spans="1:3" ht="13.8" x14ac:dyDescent="0.25">
      <c r="A1315" s="5">
        <v>14060712</v>
      </c>
      <c r="B1315" s="6" t="s">
        <v>153</v>
      </c>
      <c r="C1315" s="12"/>
    </row>
    <row r="1316" spans="1:3" ht="13.8" x14ac:dyDescent="0.25">
      <c r="A1316" s="5">
        <v>14060719</v>
      </c>
      <c r="B1316" s="6" t="s">
        <v>185</v>
      </c>
      <c r="C1316" s="12"/>
    </row>
    <row r="1317" spans="1:3" ht="13.8" x14ac:dyDescent="0.25">
      <c r="A1317" s="5">
        <v>1406071902</v>
      </c>
      <c r="B1317" s="6" t="s">
        <v>96</v>
      </c>
      <c r="C1317" s="12"/>
    </row>
    <row r="1318" spans="1:3" ht="13.8" x14ac:dyDescent="0.25">
      <c r="A1318" s="5">
        <v>1406071903</v>
      </c>
      <c r="B1318" s="6" t="s">
        <v>139</v>
      </c>
      <c r="C1318" s="12"/>
    </row>
    <row r="1319" spans="1:3" ht="13.8" x14ac:dyDescent="0.25">
      <c r="A1319" s="5">
        <v>1406071904</v>
      </c>
      <c r="B1319" s="6" t="s">
        <v>140</v>
      </c>
      <c r="C1319" s="12"/>
    </row>
    <row r="1320" spans="1:3" ht="13.8" x14ac:dyDescent="0.25">
      <c r="A1320" s="5">
        <v>1406071905</v>
      </c>
      <c r="B1320" s="6" t="s">
        <v>145</v>
      </c>
      <c r="C1320" s="12"/>
    </row>
    <row r="1321" spans="1:3" ht="13.8" x14ac:dyDescent="0.25">
      <c r="A1321" s="5">
        <v>1406071906</v>
      </c>
      <c r="B1321" s="6" t="s">
        <v>150</v>
      </c>
      <c r="C1321" s="12"/>
    </row>
    <row r="1322" spans="1:3" ht="13.8" x14ac:dyDescent="0.25">
      <c r="A1322" s="5">
        <v>1406071907</v>
      </c>
      <c r="B1322" s="6" t="s">
        <v>151</v>
      </c>
      <c r="C1322" s="12"/>
    </row>
    <row r="1323" spans="1:3" ht="13.8" x14ac:dyDescent="0.25">
      <c r="A1323" s="5">
        <v>1406071911</v>
      </c>
      <c r="B1323" s="6" t="s">
        <v>152</v>
      </c>
      <c r="C1323" s="12"/>
    </row>
    <row r="1324" spans="1:3" ht="13.8" x14ac:dyDescent="0.25">
      <c r="A1324" s="5">
        <v>1406071912</v>
      </c>
      <c r="B1324" s="6" t="s">
        <v>153</v>
      </c>
      <c r="C1324" s="12"/>
    </row>
    <row r="1325" spans="1:3" ht="13.8" x14ac:dyDescent="0.25">
      <c r="A1325" s="5">
        <v>1406071927</v>
      </c>
      <c r="B1325" s="6" t="s">
        <v>177</v>
      </c>
      <c r="C1325" s="12"/>
    </row>
    <row r="1326" spans="1:3" ht="13.8" x14ac:dyDescent="0.25">
      <c r="A1326" s="5">
        <v>1406071999</v>
      </c>
      <c r="B1326" s="6" t="s">
        <v>156</v>
      </c>
      <c r="C1326" s="12"/>
    </row>
    <row r="1327" spans="1:3" ht="13.8" x14ac:dyDescent="0.25">
      <c r="A1327" s="5">
        <v>14060721</v>
      </c>
      <c r="B1327" s="6" t="s">
        <v>154</v>
      </c>
      <c r="C1327" s="12"/>
    </row>
    <row r="1328" spans="1:3" ht="13.8" x14ac:dyDescent="0.25">
      <c r="A1328" s="5">
        <v>14060722</v>
      </c>
      <c r="B1328" s="6" t="s">
        <v>186</v>
      </c>
      <c r="C1328" s="12"/>
    </row>
    <row r="1329" spans="1:3" ht="13.8" x14ac:dyDescent="0.25">
      <c r="A1329" s="5">
        <v>1406072206</v>
      </c>
      <c r="B1329" s="6" t="s">
        <v>150</v>
      </c>
      <c r="C1329" s="12"/>
    </row>
    <row r="1330" spans="1:3" ht="13.8" x14ac:dyDescent="0.25">
      <c r="A1330" s="5">
        <v>1406072207</v>
      </c>
      <c r="B1330" s="6" t="s">
        <v>151</v>
      </c>
      <c r="C1330" s="12"/>
    </row>
    <row r="1331" spans="1:3" ht="13.8" x14ac:dyDescent="0.25">
      <c r="A1331" s="5">
        <v>1406072211</v>
      </c>
      <c r="B1331" s="6" t="s">
        <v>152</v>
      </c>
      <c r="C1331" s="12"/>
    </row>
    <row r="1332" spans="1:3" ht="13.8" x14ac:dyDescent="0.25">
      <c r="A1332" s="5">
        <v>1406072212</v>
      </c>
      <c r="B1332" s="6" t="s">
        <v>153</v>
      </c>
      <c r="C1332" s="12"/>
    </row>
    <row r="1333" spans="1:3" ht="13.8" x14ac:dyDescent="0.25">
      <c r="A1333" s="5">
        <v>1406072227</v>
      </c>
      <c r="B1333" s="6" t="s">
        <v>177</v>
      </c>
      <c r="C1333" s="12"/>
    </row>
    <row r="1334" spans="1:3" ht="13.8" x14ac:dyDescent="0.25">
      <c r="A1334" s="5">
        <v>1406072299</v>
      </c>
      <c r="B1334" s="6" t="s">
        <v>156</v>
      </c>
      <c r="C1334" s="12"/>
    </row>
    <row r="1335" spans="1:3" ht="13.8" x14ac:dyDescent="0.25">
      <c r="A1335" s="5">
        <v>14060727</v>
      </c>
      <c r="B1335" s="6" t="s">
        <v>177</v>
      </c>
      <c r="C1335" s="12"/>
    </row>
    <row r="1336" spans="1:3" ht="13.8" x14ac:dyDescent="0.25">
      <c r="A1336" s="5">
        <v>14060799</v>
      </c>
      <c r="B1336" s="6" t="s">
        <v>156</v>
      </c>
      <c r="C1336" s="12"/>
    </row>
    <row r="1337" spans="1:3" ht="13.8" x14ac:dyDescent="0.25">
      <c r="A1337" s="5">
        <v>1406079901</v>
      </c>
      <c r="B1337" s="6" t="s">
        <v>157</v>
      </c>
      <c r="C1337" s="12"/>
    </row>
    <row r="1338" spans="1:3" ht="13.8" x14ac:dyDescent="0.25">
      <c r="A1338" s="5">
        <v>1406079902</v>
      </c>
      <c r="B1338" s="6" t="s">
        <v>158</v>
      </c>
      <c r="C1338" s="12"/>
    </row>
    <row r="1339" spans="1:3" ht="15" x14ac:dyDescent="0.25">
      <c r="A1339" s="2">
        <v>140609</v>
      </c>
      <c r="B1339" s="3" t="s">
        <v>159</v>
      </c>
      <c r="C1339" s="9"/>
    </row>
    <row r="1340" spans="1:3" ht="15" x14ac:dyDescent="0.25">
      <c r="A1340" s="2">
        <v>14060906</v>
      </c>
      <c r="B1340" s="3" t="s">
        <v>131</v>
      </c>
      <c r="C1340" s="9"/>
    </row>
    <row r="1341" spans="1:3" ht="15" x14ac:dyDescent="0.25">
      <c r="A1341" s="2">
        <v>1406090611</v>
      </c>
      <c r="B1341" s="3" t="s">
        <v>160</v>
      </c>
      <c r="C1341" s="9"/>
    </row>
    <row r="1342" spans="1:3" ht="15" x14ac:dyDescent="0.25">
      <c r="A1342" s="2">
        <v>1406090612</v>
      </c>
      <c r="B1342" s="3" t="s">
        <v>161</v>
      </c>
      <c r="C1342" s="9"/>
    </row>
    <row r="1343" spans="1:3" ht="15" x14ac:dyDescent="0.25">
      <c r="A1343" s="2">
        <v>14060919</v>
      </c>
      <c r="B1343" s="3" t="s">
        <v>182</v>
      </c>
      <c r="C1343" s="9"/>
    </row>
    <row r="1344" spans="1:3" ht="15" x14ac:dyDescent="0.25">
      <c r="A1344" s="2">
        <v>1406091906</v>
      </c>
      <c r="B1344" s="3" t="s">
        <v>131</v>
      </c>
      <c r="C1344" s="9"/>
    </row>
    <row r="1345" spans="1:3" ht="15" x14ac:dyDescent="0.25">
      <c r="A1345" s="2">
        <v>1406091999</v>
      </c>
      <c r="B1345" s="3" t="s">
        <v>117</v>
      </c>
      <c r="C1345" s="9"/>
    </row>
    <row r="1346" spans="1:3" ht="15" x14ac:dyDescent="0.25">
      <c r="A1346" s="2">
        <v>14060999</v>
      </c>
      <c r="B1346" s="3" t="s">
        <v>117</v>
      </c>
      <c r="C1346" s="9"/>
    </row>
    <row r="1347" spans="1:3" ht="15" x14ac:dyDescent="0.25">
      <c r="A1347" s="2">
        <v>1406099901</v>
      </c>
      <c r="B1347" s="3" t="s">
        <v>118</v>
      </c>
      <c r="C1347" s="9"/>
    </row>
    <row r="1348" spans="1:3" ht="15" x14ac:dyDescent="0.25">
      <c r="A1348" s="2">
        <v>1406099902</v>
      </c>
      <c r="B1348" s="3" t="s">
        <v>119</v>
      </c>
      <c r="C1348" s="9"/>
    </row>
    <row r="1349" spans="1:3" ht="15" x14ac:dyDescent="0.25">
      <c r="A1349" s="2">
        <v>140610</v>
      </c>
      <c r="B1349" s="3" t="s">
        <v>162</v>
      </c>
      <c r="C1349" s="9"/>
    </row>
    <row r="1350" spans="1:3" ht="13.8" x14ac:dyDescent="0.25">
      <c r="A1350" s="5">
        <v>14061002</v>
      </c>
      <c r="B1350" s="6" t="s">
        <v>96</v>
      </c>
      <c r="C1350" s="12"/>
    </row>
    <row r="1351" spans="1:3" ht="15" x14ac:dyDescent="0.25">
      <c r="A1351" s="2">
        <v>14061003</v>
      </c>
      <c r="B1351" s="3" t="s">
        <v>97</v>
      </c>
      <c r="C1351" s="9"/>
    </row>
    <row r="1352" spans="1:3" ht="15" x14ac:dyDescent="0.25">
      <c r="A1352" s="2">
        <v>14061004</v>
      </c>
      <c r="B1352" s="3" t="s">
        <v>101</v>
      </c>
      <c r="C1352" s="9"/>
    </row>
    <row r="1353" spans="1:3" ht="15" x14ac:dyDescent="0.25">
      <c r="A1353" s="2">
        <v>14061005</v>
      </c>
      <c r="B1353" s="3" t="s">
        <v>106</v>
      </c>
      <c r="C1353" s="9"/>
    </row>
    <row r="1354" spans="1:3" ht="15" x14ac:dyDescent="0.25">
      <c r="A1354" s="2">
        <v>14061006</v>
      </c>
      <c r="B1354" s="3" t="s">
        <v>111</v>
      </c>
      <c r="C1354" s="9"/>
    </row>
    <row r="1355" spans="1:3" ht="15" x14ac:dyDescent="0.25">
      <c r="A1355" s="2">
        <v>14061007</v>
      </c>
      <c r="B1355" s="3" t="s">
        <v>112</v>
      </c>
      <c r="C1355" s="9"/>
    </row>
    <row r="1356" spans="1:3" ht="15" x14ac:dyDescent="0.25">
      <c r="A1356" s="2">
        <v>14061011</v>
      </c>
      <c r="B1356" s="3" t="s">
        <v>113</v>
      </c>
      <c r="C1356" s="9"/>
    </row>
    <row r="1357" spans="1:3" ht="15" x14ac:dyDescent="0.25">
      <c r="A1357" s="2">
        <v>14061012</v>
      </c>
      <c r="B1357" s="3" t="s">
        <v>114</v>
      </c>
      <c r="C1357" s="9"/>
    </row>
    <row r="1358" spans="1:3" ht="15" x14ac:dyDescent="0.25">
      <c r="A1358" s="2">
        <v>14061019</v>
      </c>
      <c r="B1358" s="3" t="s">
        <v>182</v>
      </c>
      <c r="C1358" s="9"/>
    </row>
    <row r="1359" spans="1:3" ht="13.8" x14ac:dyDescent="0.25">
      <c r="A1359" s="5">
        <v>1406101902</v>
      </c>
      <c r="B1359" s="6" t="s">
        <v>96</v>
      </c>
      <c r="C1359" s="12"/>
    </row>
    <row r="1360" spans="1:3" ht="15" x14ac:dyDescent="0.25">
      <c r="A1360" s="2">
        <v>1406101903</v>
      </c>
      <c r="B1360" s="3" t="s">
        <v>97</v>
      </c>
      <c r="C1360" s="9"/>
    </row>
    <row r="1361" spans="1:3" ht="15" x14ac:dyDescent="0.25">
      <c r="A1361" s="2">
        <v>1406101904</v>
      </c>
      <c r="B1361" s="3" t="s">
        <v>101</v>
      </c>
      <c r="C1361" s="9"/>
    </row>
    <row r="1362" spans="1:3" ht="15" x14ac:dyDescent="0.25">
      <c r="A1362" s="2">
        <v>1406101905</v>
      </c>
      <c r="B1362" s="3" t="s">
        <v>106</v>
      </c>
      <c r="C1362" s="9"/>
    </row>
    <row r="1363" spans="1:3" ht="15" x14ac:dyDescent="0.25">
      <c r="A1363" s="2">
        <v>1406101906</v>
      </c>
      <c r="B1363" s="3" t="s">
        <v>111</v>
      </c>
      <c r="C1363" s="9"/>
    </row>
    <row r="1364" spans="1:3" ht="15" x14ac:dyDescent="0.25">
      <c r="A1364" s="2">
        <v>1406101907</v>
      </c>
      <c r="B1364" s="3" t="s">
        <v>112</v>
      </c>
      <c r="C1364" s="9"/>
    </row>
    <row r="1365" spans="1:3" ht="15" x14ac:dyDescent="0.25">
      <c r="A1365" s="2">
        <v>1406101911</v>
      </c>
      <c r="B1365" s="3" t="s">
        <v>113</v>
      </c>
      <c r="C1365" s="9"/>
    </row>
    <row r="1366" spans="1:3" ht="15" x14ac:dyDescent="0.25">
      <c r="A1366" s="2">
        <v>1406101912</v>
      </c>
      <c r="B1366" s="3" t="s">
        <v>114</v>
      </c>
      <c r="C1366" s="9"/>
    </row>
    <row r="1367" spans="1:3" ht="15" x14ac:dyDescent="0.25">
      <c r="A1367" s="2">
        <v>1406101927</v>
      </c>
      <c r="B1367" s="3" t="s">
        <v>166</v>
      </c>
      <c r="C1367" s="9"/>
    </row>
    <row r="1368" spans="1:3" ht="13.8" x14ac:dyDescent="0.25">
      <c r="A1368" s="5">
        <v>1406101930</v>
      </c>
      <c r="B1368" s="6" t="s">
        <v>167</v>
      </c>
      <c r="C1368" s="12"/>
    </row>
    <row r="1369" spans="1:3" ht="13.8" x14ac:dyDescent="0.25">
      <c r="A1369" s="5">
        <v>1406101931</v>
      </c>
      <c r="B1369" s="6" t="s">
        <v>168</v>
      </c>
      <c r="C1369" s="12"/>
    </row>
    <row r="1370" spans="1:3" ht="13.8" x14ac:dyDescent="0.25">
      <c r="A1370" s="5">
        <v>1406101932</v>
      </c>
      <c r="B1370" s="6" t="s">
        <v>169</v>
      </c>
      <c r="C1370" s="12"/>
    </row>
    <row r="1371" spans="1:3" ht="13.8" x14ac:dyDescent="0.25">
      <c r="A1371" s="5">
        <v>1406101933</v>
      </c>
      <c r="B1371" s="6" t="s">
        <v>170</v>
      </c>
      <c r="C1371" s="12"/>
    </row>
    <row r="1372" spans="1:3" ht="13.8" x14ac:dyDescent="0.25">
      <c r="A1372" s="5">
        <v>1406101934</v>
      </c>
      <c r="B1372" s="6" t="s">
        <v>171</v>
      </c>
      <c r="C1372" s="12"/>
    </row>
    <row r="1373" spans="1:3" ht="15" x14ac:dyDescent="0.25">
      <c r="A1373" s="2">
        <v>1406101999</v>
      </c>
      <c r="B1373" s="3" t="s">
        <v>117</v>
      </c>
      <c r="C1373" s="9"/>
    </row>
    <row r="1374" spans="1:3" ht="15" x14ac:dyDescent="0.25">
      <c r="A1374" s="2">
        <v>14061021</v>
      </c>
      <c r="B1374" s="3" t="s">
        <v>115</v>
      </c>
      <c r="C1374" s="9"/>
    </row>
    <row r="1375" spans="1:3" ht="15" x14ac:dyDescent="0.25">
      <c r="A1375" s="2">
        <v>14061022</v>
      </c>
      <c r="B1375" s="3" t="s">
        <v>183</v>
      </c>
      <c r="C1375" s="9"/>
    </row>
    <row r="1376" spans="1:3" ht="15" x14ac:dyDescent="0.25">
      <c r="A1376" s="2">
        <v>1406102206</v>
      </c>
      <c r="B1376" s="3" t="s">
        <v>111</v>
      </c>
      <c r="C1376" s="9"/>
    </row>
    <row r="1377" spans="1:3" ht="15" x14ac:dyDescent="0.25">
      <c r="A1377" s="2">
        <v>1406102207</v>
      </c>
      <c r="B1377" s="3" t="s">
        <v>112</v>
      </c>
      <c r="C1377" s="9"/>
    </row>
    <row r="1378" spans="1:3" ht="15" x14ac:dyDescent="0.25">
      <c r="A1378" s="2">
        <v>1406102211</v>
      </c>
      <c r="B1378" s="3" t="s">
        <v>113</v>
      </c>
      <c r="C1378" s="9"/>
    </row>
    <row r="1379" spans="1:3" ht="15" x14ac:dyDescent="0.25">
      <c r="A1379" s="2">
        <v>1406102212</v>
      </c>
      <c r="B1379" s="3" t="s">
        <v>114</v>
      </c>
      <c r="C1379" s="9"/>
    </row>
    <row r="1380" spans="1:3" ht="15" x14ac:dyDescent="0.25">
      <c r="A1380" s="2">
        <v>1406102227</v>
      </c>
      <c r="B1380" s="3" t="s">
        <v>166</v>
      </c>
      <c r="C1380" s="9"/>
    </row>
    <row r="1381" spans="1:3" ht="15" x14ac:dyDescent="0.25">
      <c r="A1381" s="2">
        <v>1406102299</v>
      </c>
      <c r="B1381" s="3" t="s">
        <v>117</v>
      </c>
      <c r="C1381" s="9"/>
    </row>
    <row r="1382" spans="1:3" ht="15" x14ac:dyDescent="0.25">
      <c r="A1382" s="2">
        <v>14061027</v>
      </c>
      <c r="B1382" s="3" t="s">
        <v>166</v>
      </c>
      <c r="C1382" s="9"/>
    </row>
    <row r="1383" spans="1:3" ht="13.8" x14ac:dyDescent="0.25">
      <c r="A1383" s="5">
        <v>14061030</v>
      </c>
      <c r="B1383" s="6" t="s">
        <v>167</v>
      </c>
      <c r="C1383" s="12"/>
    </row>
    <row r="1384" spans="1:3" ht="13.8" x14ac:dyDescent="0.25">
      <c r="A1384" s="5">
        <v>14061031</v>
      </c>
      <c r="B1384" s="6" t="s">
        <v>168</v>
      </c>
      <c r="C1384" s="12"/>
    </row>
    <row r="1385" spans="1:3" ht="13.8" x14ac:dyDescent="0.25">
      <c r="A1385" s="5">
        <v>14061032</v>
      </c>
      <c r="B1385" s="6" t="s">
        <v>169</v>
      </c>
      <c r="C1385" s="12"/>
    </row>
    <row r="1386" spans="1:3" ht="13.8" x14ac:dyDescent="0.25">
      <c r="A1386" s="5">
        <v>14061033</v>
      </c>
      <c r="B1386" s="6" t="s">
        <v>170</v>
      </c>
      <c r="C1386" s="12"/>
    </row>
    <row r="1387" spans="1:3" ht="13.8" x14ac:dyDescent="0.25">
      <c r="A1387" s="5">
        <v>14061034</v>
      </c>
      <c r="B1387" s="6" t="s">
        <v>171</v>
      </c>
      <c r="C1387" s="12"/>
    </row>
    <row r="1388" spans="1:3" ht="15" x14ac:dyDescent="0.25">
      <c r="A1388" s="2">
        <v>14061099</v>
      </c>
      <c r="B1388" s="3" t="s">
        <v>117</v>
      </c>
      <c r="C1388" s="9"/>
    </row>
    <row r="1389" spans="1:3" ht="15" x14ac:dyDescent="0.25">
      <c r="A1389" s="2">
        <v>1406109901</v>
      </c>
      <c r="B1389" s="3" t="s">
        <v>118</v>
      </c>
      <c r="C1389" s="9"/>
    </row>
    <row r="1390" spans="1:3" ht="15" x14ac:dyDescent="0.25">
      <c r="A1390" s="2">
        <v>1406109902</v>
      </c>
      <c r="B1390" s="3" t="s">
        <v>119</v>
      </c>
      <c r="C1390" s="9"/>
    </row>
    <row r="1391" spans="1:3" ht="15" x14ac:dyDescent="0.25">
      <c r="A1391" s="2">
        <v>140611</v>
      </c>
      <c r="B1391" s="3" t="s">
        <v>172</v>
      </c>
      <c r="C1391" s="9"/>
    </row>
    <row r="1392" spans="1:3" ht="13.8" x14ac:dyDescent="0.25">
      <c r="A1392" s="5">
        <v>14061102</v>
      </c>
      <c r="B1392" s="6" t="s">
        <v>96</v>
      </c>
      <c r="C1392" s="12"/>
    </row>
    <row r="1393" spans="1:3" ht="15" x14ac:dyDescent="0.25">
      <c r="A1393" s="2">
        <v>14061103</v>
      </c>
      <c r="B1393" s="3" t="s">
        <v>97</v>
      </c>
      <c r="C1393" s="9"/>
    </row>
    <row r="1394" spans="1:3" ht="15" x14ac:dyDescent="0.25">
      <c r="A1394" s="2">
        <v>14061104</v>
      </c>
      <c r="B1394" s="3" t="s">
        <v>101</v>
      </c>
      <c r="C1394" s="9"/>
    </row>
    <row r="1395" spans="1:3" ht="15" x14ac:dyDescent="0.25">
      <c r="A1395" s="2">
        <v>14061105</v>
      </c>
      <c r="B1395" s="3" t="s">
        <v>106</v>
      </c>
      <c r="C1395" s="9"/>
    </row>
    <row r="1396" spans="1:3" ht="15" x14ac:dyDescent="0.25">
      <c r="A1396" s="2">
        <v>14061106</v>
      </c>
      <c r="B1396" s="3" t="s">
        <v>111</v>
      </c>
      <c r="C1396" s="9"/>
    </row>
    <row r="1397" spans="1:3" ht="15" x14ac:dyDescent="0.25">
      <c r="A1397" s="2">
        <v>14061107</v>
      </c>
      <c r="B1397" s="3" t="s">
        <v>112</v>
      </c>
      <c r="C1397" s="9"/>
    </row>
    <row r="1398" spans="1:3" ht="15" x14ac:dyDescent="0.25">
      <c r="A1398" s="2">
        <v>14061111</v>
      </c>
      <c r="B1398" s="3" t="s">
        <v>113</v>
      </c>
      <c r="C1398" s="9"/>
    </row>
    <row r="1399" spans="1:3" ht="15" x14ac:dyDescent="0.25">
      <c r="A1399" s="2">
        <v>14061112</v>
      </c>
      <c r="B1399" s="3" t="s">
        <v>114</v>
      </c>
      <c r="C1399" s="9"/>
    </row>
    <row r="1400" spans="1:3" ht="15" x14ac:dyDescent="0.25">
      <c r="A1400" s="2">
        <v>14061119</v>
      </c>
      <c r="B1400" s="3" t="s">
        <v>182</v>
      </c>
      <c r="C1400" s="9"/>
    </row>
    <row r="1401" spans="1:3" ht="13.8" x14ac:dyDescent="0.25">
      <c r="A1401" s="5">
        <v>1406111902</v>
      </c>
      <c r="B1401" s="6" t="s">
        <v>96</v>
      </c>
      <c r="C1401" s="12"/>
    </row>
    <row r="1402" spans="1:3" ht="15" x14ac:dyDescent="0.25">
      <c r="A1402" s="2">
        <v>1406111903</v>
      </c>
      <c r="B1402" s="3" t="s">
        <v>97</v>
      </c>
      <c r="C1402" s="9"/>
    </row>
    <row r="1403" spans="1:3" ht="15" x14ac:dyDescent="0.25">
      <c r="A1403" s="2">
        <v>1406111904</v>
      </c>
      <c r="B1403" s="3" t="s">
        <v>101</v>
      </c>
      <c r="C1403" s="9"/>
    </row>
    <row r="1404" spans="1:3" ht="15" x14ac:dyDescent="0.25">
      <c r="A1404" s="2">
        <v>1406111905</v>
      </c>
      <c r="B1404" s="3" t="s">
        <v>106</v>
      </c>
      <c r="C1404" s="9"/>
    </row>
    <row r="1405" spans="1:3" ht="15" x14ac:dyDescent="0.25">
      <c r="A1405" s="2">
        <v>1406111906</v>
      </c>
      <c r="B1405" s="3" t="s">
        <v>111</v>
      </c>
      <c r="C1405" s="9"/>
    </row>
    <row r="1406" spans="1:3" ht="15" x14ac:dyDescent="0.25">
      <c r="A1406" s="2">
        <v>1406111907</v>
      </c>
      <c r="B1406" s="3" t="s">
        <v>112</v>
      </c>
      <c r="C1406" s="9"/>
    </row>
    <row r="1407" spans="1:3" ht="15" x14ac:dyDescent="0.25">
      <c r="A1407" s="2">
        <v>1406111911</v>
      </c>
      <c r="B1407" s="3" t="s">
        <v>113</v>
      </c>
      <c r="C1407" s="9"/>
    </row>
    <row r="1408" spans="1:3" ht="15" x14ac:dyDescent="0.25">
      <c r="A1408" s="2">
        <v>1406111912</v>
      </c>
      <c r="B1408" s="3" t="s">
        <v>114</v>
      </c>
      <c r="C1408" s="9"/>
    </row>
    <row r="1409" spans="1:3" ht="15" x14ac:dyDescent="0.25">
      <c r="A1409" s="2">
        <v>1406111927</v>
      </c>
      <c r="B1409" s="3" t="s">
        <v>166</v>
      </c>
      <c r="C1409" s="9"/>
    </row>
    <row r="1410" spans="1:3" ht="13.8" x14ac:dyDescent="0.25">
      <c r="A1410" s="5">
        <v>1406111930</v>
      </c>
      <c r="B1410" s="6" t="s">
        <v>167</v>
      </c>
      <c r="C1410" s="12"/>
    </row>
    <row r="1411" spans="1:3" ht="13.8" x14ac:dyDescent="0.25">
      <c r="A1411" s="5">
        <v>1406111931</v>
      </c>
      <c r="B1411" s="6" t="s">
        <v>168</v>
      </c>
      <c r="C1411" s="12"/>
    </row>
    <row r="1412" spans="1:3" ht="13.8" x14ac:dyDescent="0.25">
      <c r="A1412" s="5">
        <v>1406111932</v>
      </c>
      <c r="B1412" s="6" t="s">
        <v>169</v>
      </c>
      <c r="C1412" s="12"/>
    </row>
    <row r="1413" spans="1:3" ht="13.8" x14ac:dyDescent="0.25">
      <c r="A1413" s="5">
        <v>1406111933</v>
      </c>
      <c r="B1413" s="6" t="s">
        <v>170</v>
      </c>
      <c r="C1413" s="12"/>
    </row>
    <row r="1414" spans="1:3" ht="13.8" x14ac:dyDescent="0.25">
      <c r="A1414" s="5">
        <v>1406111934</v>
      </c>
      <c r="B1414" s="6" t="s">
        <v>171</v>
      </c>
      <c r="C1414" s="12"/>
    </row>
    <row r="1415" spans="1:3" ht="15" x14ac:dyDescent="0.25">
      <c r="A1415" s="2">
        <v>1406111999</v>
      </c>
      <c r="B1415" s="3" t="s">
        <v>117</v>
      </c>
      <c r="C1415" s="9"/>
    </row>
    <row r="1416" spans="1:3" ht="15" x14ac:dyDescent="0.25">
      <c r="A1416" s="2">
        <v>14061121</v>
      </c>
      <c r="B1416" s="3" t="s">
        <v>115</v>
      </c>
      <c r="C1416" s="9"/>
    </row>
    <row r="1417" spans="1:3" ht="15" x14ac:dyDescent="0.25">
      <c r="A1417" s="2">
        <v>14061122</v>
      </c>
      <c r="B1417" s="3" t="s">
        <v>183</v>
      </c>
      <c r="C1417" s="9"/>
    </row>
    <row r="1418" spans="1:3" ht="15" x14ac:dyDescent="0.25">
      <c r="A1418" s="2">
        <v>1406112206</v>
      </c>
      <c r="B1418" s="3" t="s">
        <v>111</v>
      </c>
      <c r="C1418" s="9"/>
    </row>
    <row r="1419" spans="1:3" ht="15" x14ac:dyDescent="0.25">
      <c r="A1419" s="2">
        <v>1406112207</v>
      </c>
      <c r="B1419" s="3" t="s">
        <v>112</v>
      </c>
      <c r="C1419" s="9"/>
    </row>
    <row r="1420" spans="1:3" ht="15" x14ac:dyDescent="0.25">
      <c r="A1420" s="2">
        <v>1406112211</v>
      </c>
      <c r="B1420" s="3" t="s">
        <v>113</v>
      </c>
      <c r="C1420" s="9"/>
    </row>
    <row r="1421" spans="1:3" ht="15" x14ac:dyDescent="0.25">
      <c r="A1421" s="2">
        <v>1406112212</v>
      </c>
      <c r="B1421" s="3" t="s">
        <v>114</v>
      </c>
      <c r="C1421" s="9"/>
    </row>
    <row r="1422" spans="1:3" ht="15" x14ac:dyDescent="0.25">
      <c r="A1422" s="2">
        <v>1406112227</v>
      </c>
      <c r="B1422" s="3" t="s">
        <v>166</v>
      </c>
      <c r="C1422" s="9"/>
    </row>
    <row r="1423" spans="1:3" ht="15" x14ac:dyDescent="0.25">
      <c r="A1423" s="2">
        <v>1406112299</v>
      </c>
      <c r="B1423" s="3" t="s">
        <v>117</v>
      </c>
      <c r="C1423" s="9"/>
    </row>
    <row r="1424" spans="1:3" ht="15" x14ac:dyDescent="0.25">
      <c r="A1424" s="2">
        <v>14061127</v>
      </c>
      <c r="B1424" s="3" t="s">
        <v>166</v>
      </c>
      <c r="C1424" s="9"/>
    </row>
    <row r="1425" spans="1:3" ht="13.8" x14ac:dyDescent="0.25">
      <c r="A1425" s="5">
        <v>14061130</v>
      </c>
      <c r="B1425" s="6" t="s">
        <v>167</v>
      </c>
      <c r="C1425" s="12"/>
    </row>
    <row r="1426" spans="1:3" ht="13.8" x14ac:dyDescent="0.25">
      <c r="A1426" s="5">
        <v>14061131</v>
      </c>
      <c r="B1426" s="6" t="s">
        <v>168</v>
      </c>
      <c r="C1426" s="12"/>
    </row>
    <row r="1427" spans="1:3" ht="13.8" x14ac:dyDescent="0.25">
      <c r="A1427" s="5">
        <v>14061132</v>
      </c>
      <c r="B1427" s="6" t="s">
        <v>169</v>
      </c>
      <c r="C1427" s="12"/>
    </row>
    <row r="1428" spans="1:3" ht="13.8" x14ac:dyDescent="0.25">
      <c r="A1428" s="5">
        <v>14061133</v>
      </c>
      <c r="B1428" s="6" t="s">
        <v>170</v>
      </c>
      <c r="C1428" s="12"/>
    </row>
    <row r="1429" spans="1:3" ht="13.8" x14ac:dyDescent="0.25">
      <c r="A1429" s="5">
        <v>14061134</v>
      </c>
      <c r="B1429" s="6" t="s">
        <v>171</v>
      </c>
      <c r="C1429" s="12"/>
    </row>
    <row r="1430" spans="1:3" ht="15" x14ac:dyDescent="0.25">
      <c r="A1430" s="2">
        <v>14061199</v>
      </c>
      <c r="B1430" s="3" t="s">
        <v>117</v>
      </c>
      <c r="C1430" s="9"/>
    </row>
    <row r="1431" spans="1:3" ht="15" x14ac:dyDescent="0.25">
      <c r="A1431" s="2">
        <v>1406119901</v>
      </c>
      <c r="B1431" s="3" t="s">
        <v>118</v>
      </c>
      <c r="C1431" s="9"/>
    </row>
    <row r="1432" spans="1:3" ht="15" x14ac:dyDescent="0.25">
      <c r="A1432" s="2">
        <v>1406119902</v>
      </c>
      <c r="B1432" s="3" t="s">
        <v>119</v>
      </c>
      <c r="C1432" s="9"/>
    </row>
    <row r="1433" spans="1:3" ht="15" x14ac:dyDescent="0.25">
      <c r="A1433" s="2">
        <v>140612</v>
      </c>
      <c r="B1433" s="3" t="s">
        <v>174</v>
      </c>
      <c r="C1433" s="9"/>
    </row>
    <row r="1434" spans="1:3" ht="13.8" x14ac:dyDescent="0.25">
      <c r="A1434" s="5">
        <v>14061202</v>
      </c>
      <c r="B1434" s="6" t="s">
        <v>96</v>
      </c>
      <c r="C1434" s="12"/>
    </row>
    <row r="1435" spans="1:3" ht="15" x14ac:dyDescent="0.25">
      <c r="A1435" s="2">
        <v>14061203</v>
      </c>
      <c r="B1435" s="3" t="s">
        <v>97</v>
      </c>
      <c r="C1435" s="9"/>
    </row>
    <row r="1436" spans="1:3" ht="15" x14ac:dyDescent="0.25">
      <c r="A1436" s="2">
        <v>14061204</v>
      </c>
      <c r="B1436" s="3" t="s">
        <v>101</v>
      </c>
      <c r="C1436" s="9"/>
    </row>
    <row r="1437" spans="1:3" ht="15" x14ac:dyDescent="0.25">
      <c r="A1437" s="2">
        <v>14061205</v>
      </c>
      <c r="B1437" s="3" t="s">
        <v>106</v>
      </c>
      <c r="C1437" s="9"/>
    </row>
    <row r="1438" spans="1:3" ht="15" x14ac:dyDescent="0.25">
      <c r="A1438" s="2">
        <v>14061206</v>
      </c>
      <c r="B1438" s="3" t="s">
        <v>111</v>
      </c>
      <c r="C1438" s="9"/>
    </row>
    <row r="1439" spans="1:3" ht="15" x14ac:dyDescent="0.25">
      <c r="A1439" s="2">
        <v>14061207</v>
      </c>
      <c r="B1439" s="3" t="s">
        <v>112</v>
      </c>
      <c r="C1439" s="9"/>
    </row>
    <row r="1440" spans="1:3" ht="15" x14ac:dyDescent="0.25">
      <c r="A1440" s="2">
        <v>14061211</v>
      </c>
      <c r="B1440" s="3" t="s">
        <v>113</v>
      </c>
      <c r="C1440" s="9"/>
    </row>
    <row r="1441" spans="1:3" ht="15" x14ac:dyDescent="0.25">
      <c r="A1441" s="2">
        <v>14061212</v>
      </c>
      <c r="B1441" s="3" t="s">
        <v>114</v>
      </c>
      <c r="C1441" s="9"/>
    </row>
    <row r="1442" spans="1:3" ht="15" x14ac:dyDescent="0.25">
      <c r="A1442" s="2">
        <v>14061219</v>
      </c>
      <c r="B1442" s="3" t="s">
        <v>182</v>
      </c>
      <c r="C1442" s="9"/>
    </row>
    <row r="1443" spans="1:3" ht="13.8" x14ac:dyDescent="0.25">
      <c r="A1443" s="5">
        <v>1406121902</v>
      </c>
      <c r="B1443" s="6" t="s">
        <v>96</v>
      </c>
      <c r="C1443" s="12"/>
    </row>
    <row r="1444" spans="1:3" ht="15" x14ac:dyDescent="0.25">
      <c r="A1444" s="2">
        <v>1406121903</v>
      </c>
      <c r="B1444" s="3" t="s">
        <v>97</v>
      </c>
      <c r="C1444" s="9"/>
    </row>
    <row r="1445" spans="1:3" ht="15" x14ac:dyDescent="0.25">
      <c r="A1445" s="2">
        <v>1406121904</v>
      </c>
      <c r="B1445" s="3" t="s">
        <v>101</v>
      </c>
      <c r="C1445" s="9"/>
    </row>
    <row r="1446" spans="1:3" ht="15" x14ac:dyDescent="0.25">
      <c r="A1446" s="2">
        <v>1406121905</v>
      </c>
      <c r="B1446" s="3" t="s">
        <v>106</v>
      </c>
      <c r="C1446" s="9"/>
    </row>
    <row r="1447" spans="1:3" ht="15" x14ac:dyDescent="0.25">
      <c r="A1447" s="2">
        <v>1406121906</v>
      </c>
      <c r="B1447" s="3" t="s">
        <v>111</v>
      </c>
      <c r="C1447" s="9"/>
    </row>
    <row r="1448" spans="1:3" ht="15" x14ac:dyDescent="0.25">
      <c r="A1448" s="2">
        <v>1406121907</v>
      </c>
      <c r="B1448" s="3" t="s">
        <v>112</v>
      </c>
      <c r="C1448" s="9"/>
    </row>
    <row r="1449" spans="1:3" ht="15" x14ac:dyDescent="0.25">
      <c r="A1449" s="2">
        <v>1406121911</v>
      </c>
      <c r="B1449" s="3" t="s">
        <v>113</v>
      </c>
      <c r="C1449" s="9"/>
    </row>
    <row r="1450" spans="1:3" ht="15" x14ac:dyDescent="0.25">
      <c r="A1450" s="2">
        <v>1406121912</v>
      </c>
      <c r="B1450" s="3" t="s">
        <v>114</v>
      </c>
      <c r="C1450" s="9"/>
    </row>
    <row r="1451" spans="1:3" ht="15" x14ac:dyDescent="0.25">
      <c r="A1451" s="2">
        <v>1406121927</v>
      </c>
      <c r="B1451" s="3" t="s">
        <v>166</v>
      </c>
      <c r="C1451" s="9"/>
    </row>
    <row r="1452" spans="1:3" ht="13.8" x14ac:dyDescent="0.25">
      <c r="A1452" s="5">
        <v>1406121930</v>
      </c>
      <c r="B1452" s="6" t="s">
        <v>167</v>
      </c>
      <c r="C1452" s="12"/>
    </row>
    <row r="1453" spans="1:3" ht="13.8" x14ac:dyDescent="0.25">
      <c r="A1453" s="5">
        <v>1406121931</v>
      </c>
      <c r="B1453" s="6" t="s">
        <v>168</v>
      </c>
      <c r="C1453" s="12"/>
    </row>
    <row r="1454" spans="1:3" ht="13.8" x14ac:dyDescent="0.25">
      <c r="A1454" s="5">
        <v>1406121932</v>
      </c>
      <c r="B1454" s="6" t="s">
        <v>169</v>
      </c>
      <c r="C1454" s="12"/>
    </row>
    <row r="1455" spans="1:3" ht="13.8" x14ac:dyDescent="0.25">
      <c r="A1455" s="5">
        <v>1406121933</v>
      </c>
      <c r="B1455" s="6" t="s">
        <v>170</v>
      </c>
      <c r="C1455" s="12"/>
    </row>
    <row r="1456" spans="1:3" ht="13.8" x14ac:dyDescent="0.25">
      <c r="A1456" s="5">
        <v>1406121934</v>
      </c>
      <c r="B1456" s="6" t="s">
        <v>171</v>
      </c>
      <c r="C1456" s="12"/>
    </row>
    <row r="1457" spans="1:3" ht="15" x14ac:dyDescent="0.25">
      <c r="A1457" s="2">
        <v>1406121999</v>
      </c>
      <c r="B1457" s="3" t="s">
        <v>117</v>
      </c>
      <c r="C1457" s="9"/>
    </row>
    <row r="1458" spans="1:3" ht="15" x14ac:dyDescent="0.25">
      <c r="A1458" s="2">
        <v>14061221</v>
      </c>
      <c r="B1458" s="3" t="s">
        <v>115</v>
      </c>
      <c r="C1458" s="9"/>
    </row>
    <row r="1459" spans="1:3" ht="15" x14ac:dyDescent="0.25">
      <c r="A1459" s="2">
        <v>14061222</v>
      </c>
      <c r="B1459" s="3" t="s">
        <v>183</v>
      </c>
      <c r="C1459" s="9"/>
    </row>
    <row r="1460" spans="1:3" ht="15" x14ac:dyDescent="0.25">
      <c r="A1460" s="2">
        <v>1406122206</v>
      </c>
      <c r="B1460" s="3" t="s">
        <v>111</v>
      </c>
      <c r="C1460" s="9"/>
    </row>
    <row r="1461" spans="1:3" ht="15" x14ac:dyDescent="0.25">
      <c r="A1461" s="2">
        <v>1406122207</v>
      </c>
      <c r="B1461" s="3" t="s">
        <v>112</v>
      </c>
      <c r="C1461" s="9"/>
    </row>
    <row r="1462" spans="1:3" ht="15" x14ac:dyDescent="0.25">
      <c r="A1462" s="2">
        <v>1406122211</v>
      </c>
      <c r="B1462" s="3" t="s">
        <v>113</v>
      </c>
      <c r="C1462" s="9"/>
    </row>
    <row r="1463" spans="1:3" ht="15" x14ac:dyDescent="0.25">
      <c r="A1463" s="2">
        <v>1406122212</v>
      </c>
      <c r="B1463" s="3" t="s">
        <v>114</v>
      </c>
      <c r="C1463" s="9"/>
    </row>
    <row r="1464" spans="1:3" ht="15" x14ac:dyDescent="0.25">
      <c r="A1464" s="2">
        <v>1406122227</v>
      </c>
      <c r="B1464" s="3" t="s">
        <v>166</v>
      </c>
      <c r="C1464" s="9"/>
    </row>
    <row r="1465" spans="1:3" ht="15" x14ac:dyDescent="0.25">
      <c r="A1465" s="2">
        <v>1406122299</v>
      </c>
      <c r="B1465" s="3" t="s">
        <v>117</v>
      </c>
      <c r="C1465" s="9"/>
    </row>
    <row r="1466" spans="1:3" ht="15" x14ac:dyDescent="0.25">
      <c r="A1466" s="2">
        <v>14061227</v>
      </c>
      <c r="B1466" s="3" t="s">
        <v>166</v>
      </c>
      <c r="C1466" s="9"/>
    </row>
    <row r="1467" spans="1:3" ht="13.8" x14ac:dyDescent="0.25">
      <c r="A1467" s="5">
        <v>14061230</v>
      </c>
      <c r="B1467" s="6" t="s">
        <v>167</v>
      </c>
      <c r="C1467" s="12"/>
    </row>
    <row r="1468" spans="1:3" ht="13.8" x14ac:dyDescent="0.25">
      <c r="A1468" s="5">
        <v>14061231</v>
      </c>
      <c r="B1468" s="6" t="s">
        <v>168</v>
      </c>
      <c r="C1468" s="12"/>
    </row>
    <row r="1469" spans="1:3" ht="13.8" x14ac:dyDescent="0.25">
      <c r="A1469" s="5">
        <v>14061232</v>
      </c>
      <c r="B1469" s="6" t="s">
        <v>169</v>
      </c>
      <c r="C1469" s="12"/>
    </row>
    <row r="1470" spans="1:3" ht="13.8" x14ac:dyDescent="0.25">
      <c r="A1470" s="5">
        <v>14061233</v>
      </c>
      <c r="B1470" s="6" t="s">
        <v>170</v>
      </c>
      <c r="C1470" s="12"/>
    </row>
    <row r="1471" spans="1:3" ht="13.8" x14ac:dyDescent="0.25">
      <c r="A1471" s="5">
        <v>14061234</v>
      </c>
      <c r="B1471" s="6" t="s">
        <v>171</v>
      </c>
      <c r="C1471" s="12"/>
    </row>
    <row r="1472" spans="1:3" ht="15" x14ac:dyDescent="0.25">
      <c r="A1472" s="2">
        <v>14061299</v>
      </c>
      <c r="B1472" s="3" t="s">
        <v>117</v>
      </c>
      <c r="C1472" s="9"/>
    </row>
    <row r="1473" spans="1:3" ht="15" x14ac:dyDescent="0.25">
      <c r="A1473" s="2">
        <v>1406129901</v>
      </c>
      <c r="B1473" s="3" t="s">
        <v>118</v>
      </c>
      <c r="C1473" s="9"/>
    </row>
    <row r="1474" spans="1:3" ht="15" x14ac:dyDescent="0.25">
      <c r="A1474" s="2">
        <v>1406129902</v>
      </c>
      <c r="B1474" s="3" t="s">
        <v>119</v>
      </c>
      <c r="C1474" s="9"/>
    </row>
    <row r="1475" spans="1:3" ht="15" x14ac:dyDescent="0.25">
      <c r="A1475" s="2">
        <v>140613</v>
      </c>
      <c r="B1475" s="3" t="s">
        <v>175</v>
      </c>
      <c r="C1475" s="9"/>
    </row>
    <row r="1476" spans="1:3" ht="13.8" x14ac:dyDescent="0.25">
      <c r="A1476" s="5">
        <v>14061302</v>
      </c>
      <c r="B1476" s="6" t="s">
        <v>96</v>
      </c>
      <c r="C1476" s="12"/>
    </row>
    <row r="1477" spans="1:3" ht="15" x14ac:dyDescent="0.25">
      <c r="A1477" s="2">
        <v>14061303</v>
      </c>
      <c r="B1477" s="3" t="s">
        <v>97</v>
      </c>
      <c r="C1477" s="9"/>
    </row>
    <row r="1478" spans="1:3" ht="15" x14ac:dyDescent="0.25">
      <c r="A1478" s="2">
        <v>14061304</v>
      </c>
      <c r="B1478" s="3" t="s">
        <v>101</v>
      </c>
      <c r="C1478" s="9"/>
    </row>
    <row r="1479" spans="1:3" ht="15" x14ac:dyDescent="0.25">
      <c r="A1479" s="2">
        <v>14061305</v>
      </c>
      <c r="B1479" s="3" t="s">
        <v>106</v>
      </c>
      <c r="C1479" s="9"/>
    </row>
    <row r="1480" spans="1:3" ht="15" x14ac:dyDescent="0.25">
      <c r="A1480" s="2">
        <v>14061306</v>
      </c>
      <c r="B1480" s="3" t="s">
        <v>111</v>
      </c>
      <c r="C1480" s="9"/>
    </row>
    <row r="1481" spans="1:3" ht="15" x14ac:dyDescent="0.25">
      <c r="A1481" s="2">
        <v>14061307</v>
      </c>
      <c r="B1481" s="3" t="s">
        <v>112</v>
      </c>
      <c r="C1481" s="9"/>
    </row>
    <row r="1482" spans="1:3" ht="15" x14ac:dyDescent="0.25">
      <c r="A1482" s="2">
        <v>14061311</v>
      </c>
      <c r="B1482" s="3" t="s">
        <v>113</v>
      </c>
      <c r="C1482" s="9"/>
    </row>
    <row r="1483" spans="1:3" ht="15" x14ac:dyDescent="0.25">
      <c r="A1483" s="2">
        <v>14061312</v>
      </c>
      <c r="B1483" s="3" t="s">
        <v>114</v>
      </c>
      <c r="C1483" s="9"/>
    </row>
    <row r="1484" spans="1:3" ht="15" x14ac:dyDescent="0.25">
      <c r="A1484" s="2">
        <v>14061319</v>
      </c>
      <c r="B1484" s="3" t="s">
        <v>182</v>
      </c>
      <c r="C1484" s="9"/>
    </row>
    <row r="1485" spans="1:3" ht="13.8" x14ac:dyDescent="0.25">
      <c r="A1485" s="5">
        <v>1406131902</v>
      </c>
      <c r="B1485" s="6" t="s">
        <v>96</v>
      </c>
      <c r="C1485" s="12"/>
    </row>
    <row r="1486" spans="1:3" ht="15" x14ac:dyDescent="0.25">
      <c r="A1486" s="2">
        <v>1406131903</v>
      </c>
      <c r="B1486" s="3" t="s">
        <v>97</v>
      </c>
      <c r="C1486" s="9"/>
    </row>
    <row r="1487" spans="1:3" ht="15" x14ac:dyDescent="0.25">
      <c r="A1487" s="2">
        <v>1406131904</v>
      </c>
      <c r="B1487" s="3" t="s">
        <v>101</v>
      </c>
      <c r="C1487" s="9"/>
    </row>
    <row r="1488" spans="1:3" ht="15" x14ac:dyDescent="0.25">
      <c r="A1488" s="2">
        <v>1406131905</v>
      </c>
      <c r="B1488" s="3" t="s">
        <v>106</v>
      </c>
      <c r="C1488" s="9"/>
    </row>
    <row r="1489" spans="1:3" ht="15" x14ac:dyDescent="0.25">
      <c r="A1489" s="2">
        <v>1406131906</v>
      </c>
      <c r="B1489" s="3" t="s">
        <v>111</v>
      </c>
      <c r="C1489" s="9"/>
    </row>
    <row r="1490" spans="1:3" ht="15" x14ac:dyDescent="0.25">
      <c r="A1490" s="2">
        <v>1406131907</v>
      </c>
      <c r="B1490" s="3" t="s">
        <v>112</v>
      </c>
      <c r="C1490" s="9"/>
    </row>
    <row r="1491" spans="1:3" ht="15" x14ac:dyDescent="0.25">
      <c r="A1491" s="2">
        <v>1406131911</v>
      </c>
      <c r="B1491" s="3" t="s">
        <v>113</v>
      </c>
      <c r="C1491" s="9"/>
    </row>
    <row r="1492" spans="1:3" ht="15" x14ac:dyDescent="0.25">
      <c r="A1492" s="2">
        <v>1406131912</v>
      </c>
      <c r="B1492" s="3" t="s">
        <v>114</v>
      </c>
      <c r="C1492" s="9"/>
    </row>
    <row r="1493" spans="1:3" ht="15" x14ac:dyDescent="0.25">
      <c r="A1493" s="2">
        <v>1406131927</v>
      </c>
      <c r="B1493" s="3" t="s">
        <v>166</v>
      </c>
      <c r="C1493" s="9"/>
    </row>
    <row r="1494" spans="1:3" ht="15" x14ac:dyDescent="0.25">
      <c r="A1494" s="2">
        <v>1406131999</v>
      </c>
      <c r="B1494" s="3" t="s">
        <v>188</v>
      </c>
      <c r="C1494" s="9"/>
    </row>
    <row r="1495" spans="1:3" ht="15" x14ac:dyDescent="0.25">
      <c r="A1495" s="2">
        <v>14061321</v>
      </c>
      <c r="B1495" s="3" t="s">
        <v>115</v>
      </c>
      <c r="C1495" s="9"/>
    </row>
    <row r="1496" spans="1:3" ht="15" x14ac:dyDescent="0.25">
      <c r="A1496" s="2">
        <v>14061322</v>
      </c>
      <c r="B1496" s="3" t="s">
        <v>183</v>
      </c>
      <c r="C1496" s="9"/>
    </row>
    <row r="1497" spans="1:3" ht="15" x14ac:dyDescent="0.25">
      <c r="A1497" s="2">
        <v>1406132206</v>
      </c>
      <c r="B1497" s="3" t="s">
        <v>111</v>
      </c>
      <c r="C1497" s="9"/>
    </row>
    <row r="1498" spans="1:3" ht="15" x14ac:dyDescent="0.25">
      <c r="A1498" s="2">
        <v>1406132207</v>
      </c>
      <c r="B1498" s="3" t="s">
        <v>112</v>
      </c>
      <c r="C1498" s="9"/>
    </row>
    <row r="1499" spans="1:3" ht="15" x14ac:dyDescent="0.25">
      <c r="A1499" s="2">
        <v>1406132211</v>
      </c>
      <c r="B1499" s="3" t="s">
        <v>113</v>
      </c>
      <c r="C1499" s="9"/>
    </row>
    <row r="1500" spans="1:3" ht="15" x14ac:dyDescent="0.25">
      <c r="A1500" s="2">
        <v>1406132212</v>
      </c>
      <c r="B1500" s="3" t="s">
        <v>114</v>
      </c>
      <c r="C1500" s="9"/>
    </row>
    <row r="1501" spans="1:3" ht="15" x14ac:dyDescent="0.25">
      <c r="A1501" s="2">
        <v>1406132227</v>
      </c>
      <c r="B1501" s="3" t="s">
        <v>166</v>
      </c>
      <c r="C1501" s="9"/>
    </row>
    <row r="1502" spans="1:3" ht="15" x14ac:dyDescent="0.25">
      <c r="A1502" s="2">
        <v>1406132299</v>
      </c>
      <c r="B1502" s="3" t="s">
        <v>117</v>
      </c>
      <c r="C1502" s="9"/>
    </row>
    <row r="1503" spans="1:3" ht="15" x14ac:dyDescent="0.25">
      <c r="A1503" s="2">
        <v>14061327</v>
      </c>
      <c r="B1503" s="3" t="s">
        <v>166</v>
      </c>
      <c r="C1503" s="9"/>
    </row>
    <row r="1504" spans="1:3" ht="15" x14ac:dyDescent="0.25">
      <c r="A1504" s="2">
        <v>14061399</v>
      </c>
      <c r="B1504" s="3" t="s">
        <v>117</v>
      </c>
      <c r="C1504" s="9"/>
    </row>
    <row r="1505" spans="1:3" ht="15" x14ac:dyDescent="0.25">
      <c r="A1505" s="2">
        <v>1406139901</v>
      </c>
      <c r="B1505" s="3" t="s">
        <v>118</v>
      </c>
      <c r="C1505" s="9"/>
    </row>
    <row r="1506" spans="1:3" ht="15" x14ac:dyDescent="0.25">
      <c r="A1506" s="2">
        <v>1406139902</v>
      </c>
      <c r="B1506" s="3" t="s">
        <v>119</v>
      </c>
      <c r="C1506" s="9"/>
    </row>
    <row r="1507" spans="1:3" ht="15" x14ac:dyDescent="0.25">
      <c r="A1507" s="2">
        <v>1408</v>
      </c>
      <c r="B1507" s="3" t="s">
        <v>195</v>
      </c>
      <c r="C1507" s="20">
        <f t="shared" ref="C1507" si="19">+C1510</f>
        <v>78239.350000000006</v>
      </c>
    </row>
    <row r="1508" spans="1:3" ht="15" x14ac:dyDescent="0.25">
      <c r="A1508" s="2">
        <v>140802</v>
      </c>
      <c r="B1508" s="3" t="s">
        <v>196</v>
      </c>
      <c r="C1508" s="9"/>
    </row>
    <row r="1509" spans="1:3" ht="15" x14ac:dyDescent="0.25">
      <c r="A1509" s="2">
        <v>140803</v>
      </c>
      <c r="B1509" s="3" t="s">
        <v>197</v>
      </c>
      <c r="C1509" s="9"/>
    </row>
    <row r="1510" spans="1:3" s="15" customFormat="1" ht="15" x14ac:dyDescent="0.25">
      <c r="A1510" s="18" t="s">
        <v>1265</v>
      </c>
      <c r="B1510" s="19" t="s">
        <v>1266</v>
      </c>
      <c r="C1510" s="20">
        <v>78239.350000000006</v>
      </c>
    </row>
    <row r="1511" spans="1:3" ht="15" x14ac:dyDescent="0.25">
      <c r="A1511" s="2">
        <v>140804</v>
      </c>
      <c r="B1511" s="3" t="s">
        <v>198</v>
      </c>
      <c r="C1511" s="9"/>
    </row>
    <row r="1512" spans="1:3" ht="13.8" x14ac:dyDescent="0.25">
      <c r="A1512" s="5">
        <v>140807</v>
      </c>
      <c r="B1512" s="6" t="s">
        <v>199</v>
      </c>
      <c r="C1512" s="12"/>
    </row>
    <row r="1513" spans="1:3" ht="15" x14ac:dyDescent="0.25">
      <c r="A1513" s="2">
        <v>140809</v>
      </c>
      <c r="B1513" s="3" t="s">
        <v>200</v>
      </c>
      <c r="C1513" s="9"/>
    </row>
    <row r="1514" spans="1:3" ht="15" x14ac:dyDescent="0.25">
      <c r="A1514" s="2">
        <v>140810</v>
      </c>
      <c r="B1514" s="3" t="s">
        <v>201</v>
      </c>
      <c r="C1514" s="9"/>
    </row>
    <row r="1515" spans="1:3" ht="15" x14ac:dyDescent="0.25">
      <c r="A1515" s="2">
        <v>140811</v>
      </c>
      <c r="B1515" s="3" t="s">
        <v>202</v>
      </c>
      <c r="C1515" s="9"/>
    </row>
    <row r="1516" spans="1:3" ht="15" x14ac:dyDescent="0.25">
      <c r="A1516" s="2">
        <v>140812</v>
      </c>
      <c r="B1516" s="3" t="s">
        <v>203</v>
      </c>
      <c r="C1516" s="9"/>
    </row>
    <row r="1517" spans="1:3" ht="15" x14ac:dyDescent="0.25">
      <c r="A1517" s="2">
        <v>140813</v>
      </c>
      <c r="B1517" s="3" t="s">
        <v>204</v>
      </c>
      <c r="C1517" s="9"/>
    </row>
    <row r="1518" spans="1:3" ht="15" x14ac:dyDescent="0.25">
      <c r="A1518" s="2">
        <v>1409</v>
      </c>
      <c r="B1518" s="3" t="s">
        <v>205</v>
      </c>
      <c r="C1518" s="20">
        <f t="shared" ref="C1518" si="20">+C1525+C1573</f>
        <v>-8275754.9500000002</v>
      </c>
    </row>
    <row r="1519" spans="1:3" ht="15" x14ac:dyDescent="0.25">
      <c r="A1519" s="2">
        <v>140902</v>
      </c>
      <c r="B1519" s="3" t="s">
        <v>206</v>
      </c>
      <c r="C1519" s="9"/>
    </row>
    <row r="1520" spans="1:3" ht="15" x14ac:dyDescent="0.25">
      <c r="A1520" s="2">
        <v>14090201</v>
      </c>
      <c r="B1520" s="3" t="s">
        <v>207</v>
      </c>
      <c r="C1520" s="9"/>
    </row>
    <row r="1521" spans="1:3" ht="15" x14ac:dyDescent="0.25">
      <c r="A1521" s="2">
        <v>14090202</v>
      </c>
      <c r="B1521" s="3" t="s">
        <v>208</v>
      </c>
      <c r="C1521" s="9"/>
    </row>
    <row r="1522" spans="1:3" ht="15" x14ac:dyDescent="0.25">
      <c r="A1522" s="2">
        <v>1409020201</v>
      </c>
      <c r="B1522" s="3" t="s">
        <v>209</v>
      </c>
      <c r="C1522" s="9"/>
    </row>
    <row r="1523" spans="1:3" ht="15" x14ac:dyDescent="0.25">
      <c r="A1523" s="2">
        <v>1409020202</v>
      </c>
      <c r="B1523" s="3" t="s">
        <v>210</v>
      </c>
      <c r="C1523" s="9"/>
    </row>
    <row r="1524" spans="1:3" ht="30" x14ac:dyDescent="0.25">
      <c r="A1524" s="2">
        <v>14090204</v>
      </c>
      <c r="B1524" s="4" t="s">
        <v>211</v>
      </c>
      <c r="C1524" s="11"/>
    </row>
    <row r="1525" spans="1:3" ht="15" x14ac:dyDescent="0.25">
      <c r="A1525" s="2">
        <v>140903</v>
      </c>
      <c r="B1525" s="3" t="s">
        <v>212</v>
      </c>
      <c r="C1525" s="20">
        <f t="shared" ref="C1525" si="21">+C1526+C1528</f>
        <v>-6931471.9199999999</v>
      </c>
    </row>
    <row r="1526" spans="1:3" s="15" customFormat="1" ht="15" x14ac:dyDescent="0.25">
      <c r="A1526" s="18" t="s">
        <v>1267</v>
      </c>
      <c r="B1526" s="19" t="s">
        <v>1268</v>
      </c>
      <c r="C1526" s="20">
        <v>-6437966.54</v>
      </c>
    </row>
    <row r="1527" spans="1:3" s="15" customFormat="1" ht="15" x14ac:dyDescent="0.25">
      <c r="A1527" s="18">
        <v>14090302</v>
      </c>
      <c r="B1527" s="19" t="s">
        <v>208</v>
      </c>
      <c r="C1527" s="20"/>
    </row>
    <row r="1528" spans="1:3" s="15" customFormat="1" ht="15" x14ac:dyDescent="0.25">
      <c r="A1528" s="18" t="s">
        <v>1269</v>
      </c>
      <c r="B1528" s="19" t="s">
        <v>1270</v>
      </c>
      <c r="C1528" s="20">
        <v>-493505.38</v>
      </c>
    </row>
    <row r="1529" spans="1:3" ht="15" x14ac:dyDescent="0.25">
      <c r="A1529" s="2">
        <v>1409030202</v>
      </c>
      <c r="B1529" s="3" t="s">
        <v>210</v>
      </c>
      <c r="C1529" s="9"/>
    </row>
    <row r="1530" spans="1:3" ht="30" x14ac:dyDescent="0.25">
      <c r="A1530" s="2">
        <v>14090304</v>
      </c>
      <c r="B1530" s="4" t="s">
        <v>211</v>
      </c>
      <c r="C1530" s="11"/>
    </row>
    <row r="1531" spans="1:3" ht="15" x14ac:dyDescent="0.25">
      <c r="A1531" s="2">
        <v>140904</v>
      </c>
      <c r="B1531" s="3" t="s">
        <v>213</v>
      </c>
      <c r="C1531" s="9"/>
    </row>
    <row r="1532" spans="1:3" ht="15" x14ac:dyDescent="0.25">
      <c r="A1532" s="2">
        <v>14090401</v>
      </c>
      <c r="B1532" s="3" t="s">
        <v>207</v>
      </c>
      <c r="C1532" s="9"/>
    </row>
    <row r="1533" spans="1:3" ht="15" x14ac:dyDescent="0.25">
      <c r="A1533" s="2">
        <v>14090402</v>
      </c>
      <c r="B1533" s="3" t="s">
        <v>208</v>
      </c>
      <c r="C1533" s="9"/>
    </row>
    <row r="1534" spans="1:3" ht="15" x14ac:dyDescent="0.25">
      <c r="A1534" s="2">
        <v>1409040201</v>
      </c>
      <c r="B1534" s="3" t="s">
        <v>209</v>
      </c>
      <c r="C1534" s="9"/>
    </row>
    <row r="1535" spans="1:3" ht="15" x14ac:dyDescent="0.25">
      <c r="A1535" s="2">
        <v>1409040202</v>
      </c>
      <c r="B1535" s="3" t="s">
        <v>210</v>
      </c>
      <c r="C1535" s="9"/>
    </row>
    <row r="1536" spans="1:3" ht="30" x14ac:dyDescent="0.25">
      <c r="A1536" s="2">
        <v>14090404</v>
      </c>
      <c r="B1536" s="4" t="s">
        <v>211</v>
      </c>
      <c r="C1536" s="11"/>
    </row>
    <row r="1537" spans="1:3" ht="13.8" x14ac:dyDescent="0.25">
      <c r="A1537" s="5">
        <v>140907</v>
      </c>
      <c r="B1537" s="6" t="s">
        <v>214</v>
      </c>
      <c r="C1537" s="12"/>
    </row>
    <row r="1538" spans="1:3" ht="13.8" x14ac:dyDescent="0.25">
      <c r="A1538" s="5">
        <v>14090701</v>
      </c>
      <c r="B1538" s="6" t="s">
        <v>215</v>
      </c>
      <c r="C1538" s="12"/>
    </row>
    <row r="1539" spans="1:3" ht="13.8" x14ac:dyDescent="0.25">
      <c r="A1539" s="5">
        <v>14090702</v>
      </c>
      <c r="B1539" s="6" t="s">
        <v>216</v>
      </c>
      <c r="C1539" s="12"/>
    </row>
    <row r="1540" spans="1:3" ht="13.8" x14ac:dyDescent="0.25">
      <c r="A1540" s="5">
        <v>1409070201</v>
      </c>
      <c r="B1540" s="6" t="s">
        <v>217</v>
      </c>
      <c r="C1540" s="12"/>
    </row>
    <row r="1541" spans="1:3" ht="13.8" x14ac:dyDescent="0.25">
      <c r="A1541" s="5">
        <v>1409070202</v>
      </c>
      <c r="B1541" s="6" t="s">
        <v>218</v>
      </c>
      <c r="C1541" s="12"/>
    </row>
    <row r="1542" spans="1:3" ht="13.8" x14ac:dyDescent="0.25">
      <c r="A1542" s="5">
        <v>14090704</v>
      </c>
      <c r="B1542" s="6" t="s">
        <v>219</v>
      </c>
      <c r="C1542" s="12"/>
    </row>
    <row r="1543" spans="1:3" ht="15" x14ac:dyDescent="0.25">
      <c r="A1543" s="2">
        <v>140909</v>
      </c>
      <c r="B1543" s="3" t="s">
        <v>220</v>
      </c>
      <c r="C1543" s="9"/>
    </row>
    <row r="1544" spans="1:3" ht="15" x14ac:dyDescent="0.25">
      <c r="A1544" s="2">
        <v>14090901</v>
      </c>
      <c r="B1544" s="3" t="s">
        <v>207</v>
      </c>
      <c r="C1544" s="9"/>
    </row>
    <row r="1545" spans="1:3" ht="15" x14ac:dyDescent="0.25">
      <c r="A1545" s="2">
        <v>14090902</v>
      </c>
      <c r="B1545" s="3" t="s">
        <v>208</v>
      </c>
      <c r="C1545" s="9"/>
    </row>
    <row r="1546" spans="1:3" ht="15" x14ac:dyDescent="0.25">
      <c r="A1546" s="2">
        <v>1409090201</v>
      </c>
      <c r="B1546" s="3" t="s">
        <v>209</v>
      </c>
      <c r="C1546" s="9"/>
    </row>
    <row r="1547" spans="1:3" ht="15" x14ac:dyDescent="0.25">
      <c r="A1547" s="2">
        <v>1409090202</v>
      </c>
      <c r="B1547" s="3" t="s">
        <v>210</v>
      </c>
      <c r="C1547" s="9"/>
    </row>
    <row r="1548" spans="1:3" ht="30" x14ac:dyDescent="0.25">
      <c r="A1548" s="2">
        <v>14090904</v>
      </c>
      <c r="B1548" s="4" t="s">
        <v>211</v>
      </c>
      <c r="C1548" s="11"/>
    </row>
    <row r="1549" spans="1:3" ht="15" x14ac:dyDescent="0.25">
      <c r="A1549" s="2">
        <v>140910</v>
      </c>
      <c r="B1549" s="3" t="s">
        <v>221</v>
      </c>
      <c r="C1549" s="9"/>
    </row>
    <row r="1550" spans="1:3" ht="15" x14ac:dyDescent="0.25">
      <c r="A1550" s="2">
        <v>14091001</v>
      </c>
      <c r="B1550" s="3" t="s">
        <v>207</v>
      </c>
      <c r="C1550" s="9"/>
    </row>
    <row r="1551" spans="1:3" ht="15" x14ac:dyDescent="0.25">
      <c r="A1551" s="2">
        <v>14091002</v>
      </c>
      <c r="B1551" s="3" t="s">
        <v>208</v>
      </c>
      <c r="C1551" s="9"/>
    </row>
    <row r="1552" spans="1:3" ht="15" x14ac:dyDescent="0.25">
      <c r="A1552" s="2">
        <v>1409100201</v>
      </c>
      <c r="B1552" s="3" t="s">
        <v>209</v>
      </c>
      <c r="C1552" s="9"/>
    </row>
    <row r="1553" spans="1:3" ht="15" x14ac:dyDescent="0.25">
      <c r="A1553" s="2">
        <v>1409100202</v>
      </c>
      <c r="B1553" s="3" t="s">
        <v>210</v>
      </c>
      <c r="C1553" s="9"/>
    </row>
    <row r="1554" spans="1:3" ht="30" x14ac:dyDescent="0.25">
      <c r="A1554" s="2">
        <v>14091004</v>
      </c>
      <c r="B1554" s="4" t="s">
        <v>211</v>
      </c>
      <c r="C1554" s="11"/>
    </row>
    <row r="1555" spans="1:3" ht="15" x14ac:dyDescent="0.25">
      <c r="A1555" s="2">
        <v>140911</v>
      </c>
      <c r="B1555" s="3" t="s">
        <v>222</v>
      </c>
      <c r="C1555" s="9"/>
    </row>
    <row r="1556" spans="1:3" ht="15" x14ac:dyDescent="0.25">
      <c r="A1556" s="2">
        <v>14091101</v>
      </c>
      <c r="B1556" s="3" t="s">
        <v>207</v>
      </c>
      <c r="C1556" s="9"/>
    </row>
    <row r="1557" spans="1:3" ht="15" x14ac:dyDescent="0.25">
      <c r="A1557" s="2">
        <v>14091102</v>
      </c>
      <c r="B1557" s="3" t="s">
        <v>208</v>
      </c>
      <c r="C1557" s="9"/>
    </row>
    <row r="1558" spans="1:3" ht="15" x14ac:dyDescent="0.25">
      <c r="A1558" s="2">
        <v>1409110201</v>
      </c>
      <c r="B1558" s="3" t="s">
        <v>209</v>
      </c>
      <c r="C1558" s="9"/>
    </row>
    <row r="1559" spans="1:3" ht="15" x14ac:dyDescent="0.25">
      <c r="A1559" s="2">
        <v>1409110202</v>
      </c>
      <c r="B1559" s="3" t="s">
        <v>210</v>
      </c>
      <c r="C1559" s="9"/>
    </row>
    <row r="1560" spans="1:3" ht="30" x14ac:dyDescent="0.25">
      <c r="A1560" s="2">
        <v>14091104</v>
      </c>
      <c r="B1560" s="4" t="s">
        <v>211</v>
      </c>
      <c r="C1560" s="11"/>
    </row>
    <row r="1561" spans="1:3" ht="15" x14ac:dyDescent="0.25">
      <c r="A1561" s="2">
        <v>140912</v>
      </c>
      <c r="B1561" s="3" t="s">
        <v>223</v>
      </c>
      <c r="C1561" s="9"/>
    </row>
    <row r="1562" spans="1:3" ht="15" x14ac:dyDescent="0.25">
      <c r="A1562" s="2">
        <v>14091201</v>
      </c>
      <c r="B1562" s="3" t="s">
        <v>207</v>
      </c>
      <c r="C1562" s="9"/>
    </row>
    <row r="1563" spans="1:3" ht="15" x14ac:dyDescent="0.25">
      <c r="A1563" s="2">
        <v>14091202</v>
      </c>
      <c r="B1563" s="3" t="s">
        <v>208</v>
      </c>
      <c r="C1563" s="9"/>
    </row>
    <row r="1564" spans="1:3" ht="15" x14ac:dyDescent="0.25">
      <c r="A1564" s="2">
        <v>1409120201</v>
      </c>
      <c r="B1564" s="3" t="s">
        <v>209</v>
      </c>
      <c r="C1564" s="9"/>
    </row>
    <row r="1565" spans="1:3" ht="15" x14ac:dyDescent="0.25">
      <c r="A1565" s="2">
        <v>1409120202</v>
      </c>
      <c r="B1565" s="3" t="s">
        <v>210</v>
      </c>
      <c r="C1565" s="9"/>
    </row>
    <row r="1566" spans="1:3" ht="30" x14ac:dyDescent="0.25">
      <c r="A1566" s="2">
        <v>14091204</v>
      </c>
      <c r="B1566" s="4" t="s">
        <v>211</v>
      </c>
      <c r="C1566" s="11"/>
    </row>
    <row r="1567" spans="1:3" ht="15" x14ac:dyDescent="0.25">
      <c r="A1567" s="2">
        <v>140913</v>
      </c>
      <c r="B1567" s="3" t="s">
        <v>224</v>
      </c>
      <c r="C1567" s="9"/>
    </row>
    <row r="1568" spans="1:3" ht="15" x14ac:dyDescent="0.25">
      <c r="A1568" s="2">
        <v>14091301</v>
      </c>
      <c r="B1568" s="3" t="s">
        <v>207</v>
      </c>
      <c r="C1568" s="9"/>
    </row>
    <row r="1569" spans="1:3" ht="15" x14ac:dyDescent="0.25">
      <c r="A1569" s="2">
        <v>14091302</v>
      </c>
      <c r="B1569" s="3" t="s">
        <v>208</v>
      </c>
      <c r="C1569" s="9"/>
    </row>
    <row r="1570" spans="1:3" ht="15" x14ac:dyDescent="0.25">
      <c r="A1570" s="2">
        <v>1409130201</v>
      </c>
      <c r="B1570" s="3" t="s">
        <v>209</v>
      </c>
      <c r="C1570" s="9"/>
    </row>
    <row r="1571" spans="1:3" ht="15" x14ac:dyDescent="0.25">
      <c r="A1571" s="2">
        <v>1409130202</v>
      </c>
      <c r="B1571" s="3" t="s">
        <v>210</v>
      </c>
      <c r="C1571" s="9"/>
    </row>
    <row r="1572" spans="1:3" ht="30" x14ac:dyDescent="0.25">
      <c r="A1572" s="2">
        <v>14091304</v>
      </c>
      <c r="B1572" s="4" t="s">
        <v>211</v>
      </c>
      <c r="C1572" s="11"/>
    </row>
    <row r="1573" spans="1:3" s="15" customFormat="1" ht="15" x14ac:dyDescent="0.25">
      <c r="A1573" s="18" t="s">
        <v>1271</v>
      </c>
      <c r="B1573" s="19" t="s">
        <v>1272</v>
      </c>
      <c r="C1573" s="20">
        <v>-1344283.03</v>
      </c>
    </row>
    <row r="1574" spans="1:3" ht="15" x14ac:dyDescent="0.25">
      <c r="A1574" s="2">
        <v>15</v>
      </c>
      <c r="B1574" s="3" t="s">
        <v>225</v>
      </c>
      <c r="C1574" s="20">
        <f t="shared" ref="C1574" si="22">+C1615+C1660</f>
        <v>1670721.77</v>
      </c>
    </row>
    <row r="1575" spans="1:3" ht="13.8" x14ac:dyDescent="0.25">
      <c r="A1575" s="5">
        <v>1502</v>
      </c>
      <c r="B1575" s="6" t="s">
        <v>226</v>
      </c>
      <c r="C1575" s="12"/>
    </row>
    <row r="1576" spans="1:3" ht="13.8" x14ac:dyDescent="0.25">
      <c r="A1576" s="5">
        <v>150201</v>
      </c>
      <c r="B1576" s="6" t="s">
        <v>227</v>
      </c>
      <c r="C1576" s="12"/>
    </row>
    <row r="1577" spans="1:3" ht="13.8" x14ac:dyDescent="0.25">
      <c r="A1577" s="5">
        <v>150202</v>
      </c>
      <c r="B1577" s="6" t="s">
        <v>228</v>
      </c>
      <c r="C1577" s="12"/>
    </row>
    <row r="1578" spans="1:3" ht="13.8" x14ac:dyDescent="0.25">
      <c r="A1578" s="5">
        <v>150203</v>
      </c>
      <c r="B1578" s="6" t="s">
        <v>229</v>
      </c>
      <c r="C1578" s="12"/>
    </row>
    <row r="1579" spans="1:3" ht="13.8" x14ac:dyDescent="0.25">
      <c r="A1579" s="5">
        <v>150205</v>
      </c>
      <c r="B1579" s="6" t="s">
        <v>230</v>
      </c>
      <c r="C1579" s="12"/>
    </row>
    <row r="1580" spans="1:3" ht="13.8" x14ac:dyDescent="0.25">
      <c r="A1580" s="5">
        <v>150209</v>
      </c>
      <c r="B1580" s="6" t="s">
        <v>231</v>
      </c>
      <c r="C1580" s="12"/>
    </row>
    <row r="1581" spans="1:3" ht="15" x14ac:dyDescent="0.25">
      <c r="A1581" s="2">
        <v>1503</v>
      </c>
      <c r="B1581" s="3" t="s">
        <v>232</v>
      </c>
      <c r="C1581" s="9"/>
    </row>
    <row r="1582" spans="1:3" ht="15" x14ac:dyDescent="0.25">
      <c r="A1582" s="2">
        <v>150301</v>
      </c>
      <c r="B1582" s="3" t="s">
        <v>233</v>
      </c>
      <c r="C1582" s="9"/>
    </row>
    <row r="1583" spans="1:3" ht="15" x14ac:dyDescent="0.25">
      <c r="A1583" s="2">
        <v>15030101</v>
      </c>
      <c r="B1583" s="3" t="s">
        <v>234</v>
      </c>
      <c r="C1583" s="9"/>
    </row>
    <row r="1584" spans="1:3" ht="13.8" x14ac:dyDescent="0.25">
      <c r="A1584" s="5">
        <v>15030102</v>
      </c>
      <c r="B1584" s="6" t="s">
        <v>228</v>
      </c>
      <c r="C1584" s="12"/>
    </row>
    <row r="1585" spans="1:3" ht="13.8" x14ac:dyDescent="0.25">
      <c r="A1585" s="5">
        <v>15030103</v>
      </c>
      <c r="B1585" s="6" t="s">
        <v>229</v>
      </c>
      <c r="C1585" s="12"/>
    </row>
    <row r="1586" spans="1:3" ht="13.8" x14ac:dyDescent="0.25">
      <c r="A1586" s="5">
        <v>15030105</v>
      </c>
      <c r="B1586" s="6" t="s">
        <v>230</v>
      </c>
      <c r="C1586" s="12"/>
    </row>
    <row r="1587" spans="1:3" ht="13.8" x14ac:dyDescent="0.25">
      <c r="A1587" s="5">
        <v>15030109</v>
      </c>
      <c r="B1587" s="6" t="s">
        <v>231</v>
      </c>
      <c r="C1587" s="12"/>
    </row>
    <row r="1588" spans="1:3" ht="15" x14ac:dyDescent="0.25">
      <c r="A1588" s="2">
        <v>150302</v>
      </c>
      <c r="B1588" s="3" t="s">
        <v>235</v>
      </c>
      <c r="C1588" s="9"/>
    </row>
    <row r="1589" spans="1:3" ht="15" x14ac:dyDescent="0.25">
      <c r="A1589" s="2">
        <v>15030201</v>
      </c>
      <c r="B1589" s="3" t="s">
        <v>234</v>
      </c>
      <c r="C1589" s="9"/>
    </row>
    <row r="1590" spans="1:3" ht="13.8" x14ac:dyDescent="0.25">
      <c r="A1590" s="5">
        <v>15030202</v>
      </c>
      <c r="B1590" s="6" t="s">
        <v>228</v>
      </c>
      <c r="C1590" s="12"/>
    </row>
    <row r="1591" spans="1:3" ht="13.8" x14ac:dyDescent="0.25">
      <c r="A1591" s="5">
        <v>15030203</v>
      </c>
      <c r="B1591" s="6" t="s">
        <v>229</v>
      </c>
      <c r="C1591" s="12"/>
    </row>
    <row r="1592" spans="1:3" ht="13.8" x14ac:dyDescent="0.25">
      <c r="A1592" s="5">
        <v>15030205</v>
      </c>
      <c r="B1592" s="6" t="s">
        <v>230</v>
      </c>
      <c r="C1592" s="12"/>
    </row>
    <row r="1593" spans="1:3" ht="13.8" x14ac:dyDescent="0.25">
      <c r="A1593" s="5">
        <v>15030209</v>
      </c>
      <c r="B1593" s="6" t="s">
        <v>231</v>
      </c>
      <c r="C1593" s="12"/>
    </row>
    <row r="1594" spans="1:3" ht="30" x14ac:dyDescent="0.25">
      <c r="A1594" s="2">
        <v>1504</v>
      </c>
      <c r="B1594" s="4" t="s">
        <v>236</v>
      </c>
      <c r="C1594" s="11"/>
    </row>
    <row r="1595" spans="1:3" ht="15" x14ac:dyDescent="0.25">
      <c r="A1595" s="2">
        <v>150401</v>
      </c>
      <c r="B1595" s="3" t="s">
        <v>237</v>
      </c>
      <c r="C1595" s="9"/>
    </row>
    <row r="1596" spans="1:3" ht="15" x14ac:dyDescent="0.25">
      <c r="A1596" s="2">
        <v>150402</v>
      </c>
      <c r="B1596" s="3" t="s">
        <v>238</v>
      </c>
      <c r="C1596" s="9"/>
    </row>
    <row r="1597" spans="1:3" ht="15" x14ac:dyDescent="0.25">
      <c r="A1597" s="2">
        <v>150403</v>
      </c>
      <c r="B1597" s="3" t="s">
        <v>239</v>
      </c>
      <c r="C1597" s="9"/>
    </row>
    <row r="1598" spans="1:3" ht="13.8" x14ac:dyDescent="0.25">
      <c r="A1598" s="5">
        <v>150404</v>
      </c>
      <c r="B1598" s="6" t="s">
        <v>240</v>
      </c>
      <c r="C1598" s="12"/>
    </row>
    <row r="1599" spans="1:3" ht="15" x14ac:dyDescent="0.25">
      <c r="A1599" s="2">
        <v>150406</v>
      </c>
      <c r="B1599" s="3" t="s">
        <v>241</v>
      </c>
      <c r="C1599" s="9"/>
    </row>
    <row r="1600" spans="1:3" ht="13.8" x14ac:dyDescent="0.25">
      <c r="A1600" s="5">
        <v>150409</v>
      </c>
      <c r="B1600" s="6" t="s">
        <v>242</v>
      </c>
      <c r="C1600" s="12"/>
    </row>
    <row r="1601" spans="1:3" ht="30" x14ac:dyDescent="0.25">
      <c r="A1601" s="2">
        <v>1505</v>
      </c>
      <c r="B1601" s="4" t="s">
        <v>243</v>
      </c>
      <c r="C1601" s="11"/>
    </row>
    <row r="1602" spans="1:3" ht="15" x14ac:dyDescent="0.25">
      <c r="A1602" s="2">
        <v>150501</v>
      </c>
      <c r="B1602" s="3" t="s">
        <v>244</v>
      </c>
      <c r="C1602" s="9"/>
    </row>
    <row r="1603" spans="1:3" ht="15" x14ac:dyDescent="0.25">
      <c r="A1603" s="2">
        <v>15050101</v>
      </c>
      <c r="B1603" s="3" t="s">
        <v>245</v>
      </c>
      <c r="C1603" s="9"/>
    </row>
    <row r="1604" spans="1:3" ht="15" x14ac:dyDescent="0.25">
      <c r="A1604" s="2">
        <v>15050102</v>
      </c>
      <c r="B1604" s="3" t="s">
        <v>246</v>
      </c>
      <c r="C1604" s="9"/>
    </row>
    <row r="1605" spans="1:3" ht="15" x14ac:dyDescent="0.25">
      <c r="A1605" s="2">
        <v>150502</v>
      </c>
      <c r="B1605" s="3" t="s">
        <v>247</v>
      </c>
      <c r="C1605" s="9"/>
    </row>
    <row r="1606" spans="1:3" ht="15" x14ac:dyDescent="0.25">
      <c r="A1606" s="2">
        <v>150509</v>
      </c>
      <c r="B1606" s="3" t="s">
        <v>248</v>
      </c>
      <c r="C1606" s="9"/>
    </row>
    <row r="1607" spans="1:3" ht="15" x14ac:dyDescent="0.25">
      <c r="A1607" s="2">
        <v>1506</v>
      </c>
      <c r="B1607" s="3" t="s">
        <v>249</v>
      </c>
      <c r="C1607" s="9"/>
    </row>
    <row r="1608" spans="1:3" ht="15" x14ac:dyDescent="0.25">
      <c r="A1608" s="2">
        <v>150601</v>
      </c>
      <c r="B1608" s="3" t="s">
        <v>250</v>
      </c>
      <c r="C1608" s="9"/>
    </row>
    <row r="1609" spans="1:3" ht="15" x14ac:dyDescent="0.25">
      <c r="A1609" s="2">
        <v>150602</v>
      </c>
      <c r="B1609" s="3" t="s">
        <v>251</v>
      </c>
      <c r="C1609" s="9"/>
    </row>
    <row r="1610" spans="1:3" ht="15" x14ac:dyDescent="0.25">
      <c r="A1610" s="2">
        <v>150605</v>
      </c>
      <c r="B1610" s="3" t="s">
        <v>252</v>
      </c>
      <c r="C1610" s="9"/>
    </row>
    <row r="1611" spans="1:3" ht="15" x14ac:dyDescent="0.25">
      <c r="A1611" s="2">
        <v>150606</v>
      </c>
      <c r="B1611" s="3" t="s">
        <v>253</v>
      </c>
      <c r="C1611" s="9"/>
    </row>
    <row r="1612" spans="1:3" ht="15" x14ac:dyDescent="0.25">
      <c r="A1612" s="2">
        <v>150607</v>
      </c>
      <c r="B1612" s="3" t="s">
        <v>254</v>
      </c>
      <c r="C1612" s="9"/>
    </row>
    <row r="1613" spans="1:3" ht="13.8" x14ac:dyDescent="0.25">
      <c r="A1613" s="5">
        <v>150608</v>
      </c>
      <c r="B1613" s="6" t="s">
        <v>255</v>
      </c>
      <c r="C1613" s="12"/>
    </row>
    <row r="1614" spans="1:3" ht="15" x14ac:dyDescent="0.25">
      <c r="A1614" s="2">
        <v>150619</v>
      </c>
      <c r="B1614" s="3" t="s">
        <v>256</v>
      </c>
      <c r="C1614" s="9"/>
    </row>
    <row r="1615" spans="1:3" ht="15" x14ac:dyDescent="0.25">
      <c r="A1615" s="2">
        <v>1507</v>
      </c>
      <c r="B1615" s="3" t="s">
        <v>257</v>
      </c>
      <c r="C1615" s="20">
        <f t="shared" ref="C1615" si="23">+C1616+C1618+C1629</f>
        <v>2128010.39</v>
      </c>
    </row>
    <row r="1616" spans="1:3" ht="15" x14ac:dyDescent="0.25">
      <c r="A1616" s="2">
        <v>150701</v>
      </c>
      <c r="B1616" s="3" t="s">
        <v>258</v>
      </c>
      <c r="C1616" s="20">
        <f t="shared" ref="C1616" si="24">+C1617</f>
        <v>1966.3</v>
      </c>
    </row>
    <row r="1617" spans="1:3" s="15" customFormat="1" ht="15" x14ac:dyDescent="0.25">
      <c r="A1617" s="18" t="s">
        <v>1273</v>
      </c>
      <c r="B1617" s="19" t="s">
        <v>1274</v>
      </c>
      <c r="C1617" s="20">
        <v>1966.3</v>
      </c>
    </row>
    <row r="1618" spans="1:3" s="15" customFormat="1" ht="15" x14ac:dyDescent="0.25">
      <c r="A1618" s="18">
        <v>150702</v>
      </c>
      <c r="B1618" s="19" t="s">
        <v>259</v>
      </c>
      <c r="C1618" s="20">
        <f t="shared" ref="C1618" si="25">+C1619+C1620+C1621+C1622</f>
        <v>9895.48</v>
      </c>
    </row>
    <row r="1619" spans="1:3" s="15" customFormat="1" ht="15" x14ac:dyDescent="0.25">
      <c r="A1619" s="18" t="s">
        <v>1275</v>
      </c>
      <c r="B1619" s="19" t="s">
        <v>1276</v>
      </c>
      <c r="C1619" s="20">
        <v>0</v>
      </c>
    </row>
    <row r="1620" spans="1:3" s="15" customFormat="1" ht="15" x14ac:dyDescent="0.25">
      <c r="A1620" s="18" t="s">
        <v>1277</v>
      </c>
      <c r="B1620" s="19" t="s">
        <v>1278</v>
      </c>
      <c r="C1620" s="20"/>
    </row>
    <row r="1621" spans="1:3" s="15" customFormat="1" ht="15" x14ac:dyDescent="0.25">
      <c r="A1621" s="18" t="s">
        <v>1279</v>
      </c>
      <c r="B1621" s="19" t="s">
        <v>1280</v>
      </c>
      <c r="C1621" s="20">
        <v>9895.48</v>
      </c>
    </row>
    <row r="1622" spans="1:3" s="15" customFormat="1" ht="15" x14ac:dyDescent="0.25">
      <c r="A1622" s="18" t="s">
        <v>1281</v>
      </c>
      <c r="B1622" s="19" t="s">
        <v>1282</v>
      </c>
      <c r="C1622" s="20"/>
    </row>
    <row r="1623" spans="1:3" ht="15" x14ac:dyDescent="0.25">
      <c r="A1623" s="2">
        <v>150703</v>
      </c>
      <c r="B1623" s="3" t="s">
        <v>260</v>
      </c>
      <c r="C1623" s="9"/>
    </row>
    <row r="1624" spans="1:3" ht="30" x14ac:dyDescent="0.25">
      <c r="A1624" s="2">
        <v>150706</v>
      </c>
      <c r="B1624" s="3" t="s">
        <v>261</v>
      </c>
      <c r="C1624" s="9"/>
    </row>
    <row r="1625" spans="1:3" ht="15" x14ac:dyDescent="0.25">
      <c r="A1625" s="2">
        <v>150711</v>
      </c>
      <c r="B1625" s="3" t="s">
        <v>262</v>
      </c>
      <c r="C1625" s="9"/>
    </row>
    <row r="1626" spans="1:3" ht="15" x14ac:dyDescent="0.25">
      <c r="A1626" s="2">
        <v>15071101</v>
      </c>
      <c r="B1626" s="3" t="s">
        <v>263</v>
      </c>
      <c r="C1626" s="9"/>
    </row>
    <row r="1627" spans="1:3" ht="15" x14ac:dyDescent="0.25">
      <c r="A1627" s="2">
        <v>15071102</v>
      </c>
      <c r="B1627" s="3" t="s">
        <v>264</v>
      </c>
      <c r="C1627" s="9"/>
    </row>
    <row r="1628" spans="1:3" ht="15" x14ac:dyDescent="0.25">
      <c r="A1628" s="2">
        <v>15071103</v>
      </c>
      <c r="B1628" s="3" t="s">
        <v>265</v>
      </c>
      <c r="C1628" s="9"/>
    </row>
    <row r="1629" spans="1:3" ht="15" x14ac:dyDescent="0.25">
      <c r="A1629" s="2">
        <v>150719</v>
      </c>
      <c r="B1629" s="3" t="s">
        <v>266</v>
      </c>
      <c r="C1629" s="20">
        <f t="shared" ref="C1629" si="26">SUM(C1630:C1653)</f>
        <v>2116148.6100000003</v>
      </c>
    </row>
    <row r="1630" spans="1:3" s="15" customFormat="1" ht="15" x14ac:dyDescent="0.25">
      <c r="A1630" s="18" t="s">
        <v>1283</v>
      </c>
      <c r="B1630" s="19" t="s">
        <v>1284</v>
      </c>
      <c r="C1630" s="20"/>
    </row>
    <row r="1631" spans="1:3" s="15" customFormat="1" ht="15" x14ac:dyDescent="0.25">
      <c r="A1631" s="18" t="s">
        <v>1285</v>
      </c>
      <c r="B1631" s="19" t="s">
        <v>1286</v>
      </c>
      <c r="C1631" s="20">
        <v>136824.73000000001</v>
      </c>
    </row>
    <row r="1632" spans="1:3" s="15" customFormat="1" ht="15" x14ac:dyDescent="0.25">
      <c r="A1632" s="18" t="s">
        <v>1287</v>
      </c>
      <c r="B1632" s="19" t="s">
        <v>1288</v>
      </c>
      <c r="C1632" s="20"/>
    </row>
    <row r="1633" spans="1:3" s="15" customFormat="1" ht="15" x14ac:dyDescent="0.25">
      <c r="A1633" s="18" t="s">
        <v>1289</v>
      </c>
      <c r="B1633" s="19" t="s">
        <v>1290</v>
      </c>
      <c r="C1633" s="20">
        <v>231593.97</v>
      </c>
    </row>
    <row r="1634" spans="1:3" s="15" customFormat="1" ht="15" x14ac:dyDescent="0.25">
      <c r="A1634" s="18" t="s">
        <v>1291</v>
      </c>
      <c r="B1634" s="19" t="s">
        <v>1292</v>
      </c>
      <c r="C1634" s="20">
        <v>15560</v>
      </c>
    </row>
    <row r="1635" spans="1:3" s="15" customFormat="1" ht="15" x14ac:dyDescent="0.25">
      <c r="A1635" s="18" t="s">
        <v>1293</v>
      </c>
      <c r="B1635" s="19" t="s">
        <v>1294</v>
      </c>
      <c r="C1635" s="20">
        <v>337154.85</v>
      </c>
    </row>
    <row r="1636" spans="1:3" s="15" customFormat="1" ht="15" x14ac:dyDescent="0.25">
      <c r="A1636" s="18" t="s">
        <v>1295</v>
      </c>
      <c r="B1636" s="19" t="s">
        <v>1296</v>
      </c>
      <c r="C1636" s="20">
        <v>155400.95000000001</v>
      </c>
    </row>
    <row r="1637" spans="1:3" s="15" customFormat="1" ht="15" x14ac:dyDescent="0.25">
      <c r="A1637" s="18" t="s">
        <v>1297</v>
      </c>
      <c r="B1637" s="19" t="s">
        <v>1298</v>
      </c>
      <c r="C1637" s="20">
        <v>9485.91</v>
      </c>
    </row>
    <row r="1638" spans="1:3" s="15" customFormat="1" ht="15" x14ac:dyDescent="0.25">
      <c r="A1638" s="18" t="s">
        <v>1299</v>
      </c>
      <c r="B1638" s="19" t="s">
        <v>1300</v>
      </c>
      <c r="C1638" s="20"/>
    </row>
    <row r="1639" spans="1:3" s="15" customFormat="1" ht="15" x14ac:dyDescent="0.25">
      <c r="A1639" s="18" t="s">
        <v>1301</v>
      </c>
      <c r="B1639" s="19" t="s">
        <v>1302</v>
      </c>
      <c r="C1639" s="20"/>
    </row>
    <row r="1640" spans="1:3" s="15" customFormat="1" ht="15" x14ac:dyDescent="0.25">
      <c r="A1640" s="18" t="s">
        <v>1303</v>
      </c>
      <c r="B1640" s="19" t="s">
        <v>1304</v>
      </c>
      <c r="C1640" s="20">
        <v>63786.68</v>
      </c>
    </row>
    <row r="1641" spans="1:3" s="15" customFormat="1" ht="15" x14ac:dyDescent="0.25">
      <c r="A1641" s="18" t="s">
        <v>1305</v>
      </c>
      <c r="B1641" s="19" t="s">
        <v>1306</v>
      </c>
      <c r="C1641" s="20">
        <v>15568.72</v>
      </c>
    </row>
    <row r="1642" spans="1:3" s="15" customFormat="1" ht="15" x14ac:dyDescent="0.25">
      <c r="A1642" s="18" t="s">
        <v>1307</v>
      </c>
      <c r="B1642" s="19" t="s">
        <v>1308</v>
      </c>
      <c r="C1642" s="20">
        <v>2869.51</v>
      </c>
    </row>
    <row r="1643" spans="1:3" s="15" customFormat="1" ht="15" x14ac:dyDescent="0.25">
      <c r="A1643" s="18" t="s">
        <v>1309</v>
      </c>
      <c r="B1643" s="19" t="s">
        <v>1310</v>
      </c>
      <c r="C1643" s="20"/>
    </row>
    <row r="1644" spans="1:3" s="15" customFormat="1" ht="15" x14ac:dyDescent="0.25">
      <c r="A1644" s="18" t="s">
        <v>1311</v>
      </c>
      <c r="B1644" s="19" t="s">
        <v>1312</v>
      </c>
      <c r="C1644" s="20"/>
    </row>
    <row r="1645" spans="1:3" s="15" customFormat="1" ht="15" x14ac:dyDescent="0.25">
      <c r="A1645" s="18" t="s">
        <v>1313</v>
      </c>
      <c r="B1645" s="19" t="s">
        <v>1314</v>
      </c>
      <c r="C1645" s="20">
        <v>196</v>
      </c>
    </row>
    <row r="1646" spans="1:3" s="15" customFormat="1" ht="15" x14ac:dyDescent="0.25">
      <c r="A1646" s="18" t="s">
        <v>1315</v>
      </c>
      <c r="B1646" s="19" t="s">
        <v>1316</v>
      </c>
      <c r="C1646" s="20">
        <v>27396.66</v>
      </c>
    </row>
    <row r="1647" spans="1:3" s="15" customFormat="1" ht="15" x14ac:dyDescent="0.25">
      <c r="A1647" s="18" t="s">
        <v>1317</v>
      </c>
      <c r="B1647" s="19" t="s">
        <v>1318</v>
      </c>
      <c r="C1647" s="20">
        <v>0</v>
      </c>
    </row>
    <row r="1648" spans="1:3" s="15" customFormat="1" ht="15" x14ac:dyDescent="0.25">
      <c r="A1648" s="18" t="s">
        <v>1319</v>
      </c>
      <c r="B1648" s="19" t="s">
        <v>1320</v>
      </c>
      <c r="C1648" s="20">
        <v>0</v>
      </c>
    </row>
    <row r="1649" spans="1:3" s="15" customFormat="1" ht="15" x14ac:dyDescent="0.25">
      <c r="A1649" s="18" t="s">
        <v>1321</v>
      </c>
      <c r="B1649" s="19" t="s">
        <v>1322</v>
      </c>
      <c r="C1649" s="20">
        <v>1613.16</v>
      </c>
    </row>
    <row r="1650" spans="1:3" s="15" customFormat="1" ht="15" x14ac:dyDescent="0.25">
      <c r="A1650" s="18" t="s">
        <v>1323</v>
      </c>
      <c r="B1650" s="19" t="s">
        <v>1324</v>
      </c>
      <c r="C1650" s="20">
        <v>279421.14</v>
      </c>
    </row>
    <row r="1651" spans="1:3" s="15" customFormat="1" ht="15" x14ac:dyDescent="0.25">
      <c r="A1651" s="18" t="s">
        <v>1325</v>
      </c>
      <c r="B1651" s="19" t="s">
        <v>1326</v>
      </c>
      <c r="C1651" s="20">
        <v>364581.18</v>
      </c>
    </row>
    <row r="1652" spans="1:3" s="15" customFormat="1" ht="15" x14ac:dyDescent="0.25">
      <c r="A1652" s="18" t="s">
        <v>1327</v>
      </c>
      <c r="B1652" s="19" t="s">
        <v>1328</v>
      </c>
      <c r="C1652" s="20">
        <v>0</v>
      </c>
    </row>
    <row r="1653" spans="1:3" s="15" customFormat="1" ht="15" x14ac:dyDescent="0.25">
      <c r="A1653" s="18" t="s">
        <v>1329</v>
      </c>
      <c r="B1653" s="19" t="s">
        <v>1330</v>
      </c>
      <c r="C1653" s="20">
        <v>474695.15</v>
      </c>
    </row>
    <row r="1654" spans="1:3" ht="15" x14ac:dyDescent="0.25">
      <c r="A1654" s="2">
        <v>1508</v>
      </c>
      <c r="B1654" s="3" t="s">
        <v>267</v>
      </c>
      <c r="C1654" s="9"/>
    </row>
    <row r="1655" spans="1:3" ht="30" x14ac:dyDescent="0.25">
      <c r="A1655" s="2">
        <v>150804</v>
      </c>
      <c r="B1655" s="4" t="s">
        <v>268</v>
      </c>
      <c r="C1655" s="11"/>
    </row>
    <row r="1656" spans="1:3" ht="30" x14ac:dyDescent="0.25">
      <c r="A1656" s="2">
        <v>150805</v>
      </c>
      <c r="B1656" s="4" t="s">
        <v>269</v>
      </c>
      <c r="C1656" s="11"/>
    </row>
    <row r="1657" spans="1:3" ht="15" x14ac:dyDescent="0.25">
      <c r="A1657" s="2">
        <v>150807</v>
      </c>
      <c r="B1657" s="3" t="s">
        <v>270</v>
      </c>
      <c r="C1657" s="9"/>
    </row>
    <row r="1658" spans="1:3" ht="30" x14ac:dyDescent="0.25">
      <c r="A1658" s="2">
        <v>15080711</v>
      </c>
      <c r="B1658" s="4" t="s">
        <v>271</v>
      </c>
      <c r="C1658" s="11"/>
    </row>
    <row r="1659" spans="1:3" ht="15" x14ac:dyDescent="0.25">
      <c r="A1659" s="2">
        <v>15080719</v>
      </c>
      <c r="B1659" s="3" t="s">
        <v>272</v>
      </c>
      <c r="C1659" s="9"/>
    </row>
    <row r="1660" spans="1:3" ht="15" x14ac:dyDescent="0.25">
      <c r="A1660" s="2">
        <v>1509</v>
      </c>
      <c r="B1660" s="3" t="s">
        <v>273</v>
      </c>
      <c r="C1660" s="20">
        <f t="shared" ref="C1660" si="27">+C1669+C1670</f>
        <v>-457288.62</v>
      </c>
    </row>
    <row r="1661" spans="1:3" ht="30" x14ac:dyDescent="0.25">
      <c r="A1661" s="2">
        <v>150904</v>
      </c>
      <c r="B1661" s="4" t="s">
        <v>274</v>
      </c>
      <c r="C1661" s="11"/>
    </row>
    <row r="1662" spans="1:3" ht="30" x14ac:dyDescent="0.25">
      <c r="A1662" s="2">
        <v>150905</v>
      </c>
      <c r="B1662" s="4" t="s">
        <v>275</v>
      </c>
      <c r="C1662" s="11"/>
    </row>
    <row r="1663" spans="1:3" ht="15" x14ac:dyDescent="0.25">
      <c r="A1663" s="2">
        <v>150907</v>
      </c>
      <c r="B1663" s="3" t="s">
        <v>276</v>
      </c>
      <c r="C1663" s="9"/>
    </row>
    <row r="1664" spans="1:3" ht="15" x14ac:dyDescent="0.25">
      <c r="A1664" s="2">
        <v>15090701</v>
      </c>
      <c r="B1664" s="3" t="s">
        <v>277</v>
      </c>
      <c r="C1664" s="9"/>
    </row>
    <row r="1665" spans="1:3" ht="15" x14ac:dyDescent="0.25">
      <c r="A1665" s="2">
        <v>15090702</v>
      </c>
      <c r="B1665" s="3" t="s">
        <v>278</v>
      </c>
      <c r="C1665" s="9"/>
    </row>
    <row r="1666" spans="1:3" ht="30" x14ac:dyDescent="0.25">
      <c r="A1666" s="2">
        <v>15090703</v>
      </c>
      <c r="B1666" s="4" t="s">
        <v>279</v>
      </c>
      <c r="C1666" s="11"/>
    </row>
    <row r="1667" spans="1:3" ht="30" x14ac:dyDescent="0.25">
      <c r="A1667" s="2">
        <v>15090711</v>
      </c>
      <c r="B1667" s="4" t="s">
        <v>280</v>
      </c>
      <c r="C1667" s="11"/>
    </row>
    <row r="1668" spans="1:3" ht="15" x14ac:dyDescent="0.25">
      <c r="A1668" s="2">
        <v>15090719</v>
      </c>
      <c r="B1668" s="3" t="s">
        <v>281</v>
      </c>
      <c r="C1668" s="9"/>
    </row>
    <row r="1669" spans="1:3" s="15" customFormat="1" ht="15" x14ac:dyDescent="0.25">
      <c r="A1669" s="18" t="s">
        <v>1331</v>
      </c>
      <c r="B1669" s="19" t="s">
        <v>1332</v>
      </c>
      <c r="C1669" s="20">
        <v>-368092</v>
      </c>
    </row>
    <row r="1670" spans="1:3" s="15" customFormat="1" ht="15" x14ac:dyDescent="0.25">
      <c r="A1670" s="18" t="s">
        <v>1333</v>
      </c>
      <c r="B1670" s="19" t="s">
        <v>1334</v>
      </c>
      <c r="C1670" s="20">
        <v>-89196.62</v>
      </c>
    </row>
    <row r="1671" spans="1:3" ht="30" x14ac:dyDescent="0.25">
      <c r="A1671" s="2">
        <v>16</v>
      </c>
      <c r="B1671" s="4" t="s">
        <v>282</v>
      </c>
      <c r="C1671" s="11"/>
    </row>
    <row r="1672" spans="1:3" ht="15" x14ac:dyDescent="0.25">
      <c r="A1672" s="2">
        <v>1601</v>
      </c>
      <c r="B1672" s="3" t="s">
        <v>283</v>
      </c>
      <c r="C1672" s="9"/>
    </row>
    <row r="1673" spans="1:3" ht="15" x14ac:dyDescent="0.25">
      <c r="A1673" s="2">
        <v>160101</v>
      </c>
      <c r="B1673" s="3" t="s">
        <v>284</v>
      </c>
      <c r="C1673" s="9"/>
    </row>
    <row r="1674" spans="1:3" ht="15" x14ac:dyDescent="0.25">
      <c r="A1674" s="2">
        <v>16010101</v>
      </c>
      <c r="B1674" s="3" t="s">
        <v>285</v>
      </c>
      <c r="C1674" s="9"/>
    </row>
    <row r="1675" spans="1:3" ht="15" x14ac:dyDescent="0.25">
      <c r="A1675" s="2">
        <v>16010102</v>
      </c>
      <c r="B1675" s="3" t="s">
        <v>286</v>
      </c>
      <c r="C1675" s="9"/>
    </row>
    <row r="1676" spans="1:3" ht="15" x14ac:dyDescent="0.25">
      <c r="A1676" s="2">
        <v>160102</v>
      </c>
      <c r="B1676" s="3" t="s">
        <v>287</v>
      </c>
      <c r="C1676" s="9"/>
    </row>
    <row r="1677" spans="1:3" ht="15" x14ac:dyDescent="0.25">
      <c r="A1677" s="2">
        <v>16010201</v>
      </c>
      <c r="B1677" s="3" t="s">
        <v>285</v>
      </c>
      <c r="C1677" s="9"/>
    </row>
    <row r="1678" spans="1:3" ht="15" x14ac:dyDescent="0.25">
      <c r="A1678" s="2">
        <v>16010202</v>
      </c>
      <c r="B1678" s="3" t="s">
        <v>288</v>
      </c>
      <c r="C1678" s="9"/>
    </row>
    <row r="1679" spans="1:3" ht="15" x14ac:dyDescent="0.25">
      <c r="A1679" s="2">
        <v>160109</v>
      </c>
      <c r="B1679" s="3" t="s">
        <v>289</v>
      </c>
      <c r="C1679" s="9"/>
    </row>
    <row r="1680" spans="1:3" ht="15" x14ac:dyDescent="0.25">
      <c r="A1680" s="2">
        <v>1602</v>
      </c>
      <c r="B1680" s="3" t="s">
        <v>290</v>
      </c>
      <c r="C1680" s="9"/>
    </row>
    <row r="1681" spans="1:3" ht="15" x14ac:dyDescent="0.25">
      <c r="A1681" s="2">
        <v>160201</v>
      </c>
      <c r="B1681" s="3" t="s">
        <v>291</v>
      </c>
      <c r="C1681" s="9"/>
    </row>
    <row r="1682" spans="1:3" ht="15" x14ac:dyDescent="0.25">
      <c r="A1682" s="2">
        <v>16020101</v>
      </c>
      <c r="B1682" s="3" t="s">
        <v>292</v>
      </c>
      <c r="C1682" s="9"/>
    </row>
    <row r="1683" spans="1:3" ht="15" x14ac:dyDescent="0.25">
      <c r="A1683" s="2">
        <v>16020102</v>
      </c>
      <c r="B1683" s="3" t="s">
        <v>293</v>
      </c>
      <c r="C1683" s="9"/>
    </row>
    <row r="1684" spans="1:3" ht="15" x14ac:dyDescent="0.25">
      <c r="A1684" s="2">
        <v>160202</v>
      </c>
      <c r="B1684" s="3" t="s">
        <v>294</v>
      </c>
      <c r="C1684" s="9"/>
    </row>
    <row r="1685" spans="1:3" ht="15" x14ac:dyDescent="0.25">
      <c r="A1685" s="2">
        <v>16020201</v>
      </c>
      <c r="B1685" s="3" t="s">
        <v>295</v>
      </c>
      <c r="C1685" s="9"/>
    </row>
    <row r="1686" spans="1:3" ht="15" x14ac:dyDescent="0.25">
      <c r="A1686" s="2">
        <v>16020202</v>
      </c>
      <c r="B1686" s="3" t="s">
        <v>296</v>
      </c>
      <c r="C1686" s="9"/>
    </row>
    <row r="1687" spans="1:3" ht="15" x14ac:dyDescent="0.25">
      <c r="A1687" s="2">
        <v>16020209</v>
      </c>
      <c r="B1687" s="3" t="s">
        <v>59</v>
      </c>
      <c r="C1687" s="9"/>
    </row>
    <row r="1688" spans="1:3" ht="15" x14ac:dyDescent="0.25">
      <c r="A1688" s="2">
        <v>160203</v>
      </c>
      <c r="B1688" s="3" t="s">
        <v>297</v>
      </c>
      <c r="C1688" s="9"/>
    </row>
    <row r="1689" spans="1:3" ht="15" x14ac:dyDescent="0.25">
      <c r="A1689" s="2">
        <v>16020301</v>
      </c>
      <c r="B1689" s="3" t="s">
        <v>298</v>
      </c>
      <c r="C1689" s="9"/>
    </row>
    <row r="1690" spans="1:3" ht="15" x14ac:dyDescent="0.25">
      <c r="A1690" s="2">
        <v>16020302</v>
      </c>
      <c r="B1690" s="3" t="s">
        <v>299</v>
      </c>
      <c r="C1690" s="9"/>
    </row>
    <row r="1691" spans="1:3" ht="15" x14ac:dyDescent="0.25">
      <c r="A1691" s="2">
        <v>160204</v>
      </c>
      <c r="B1691" s="3" t="s">
        <v>300</v>
      </c>
      <c r="C1691" s="9"/>
    </row>
    <row r="1692" spans="1:3" ht="15" x14ac:dyDescent="0.25">
      <c r="A1692" s="2">
        <v>16020401</v>
      </c>
      <c r="B1692" s="3" t="s">
        <v>301</v>
      </c>
      <c r="C1692" s="9"/>
    </row>
    <row r="1693" spans="1:3" ht="15" x14ac:dyDescent="0.25">
      <c r="A1693" s="2">
        <v>16020402</v>
      </c>
      <c r="B1693" s="3" t="s">
        <v>302</v>
      </c>
      <c r="C1693" s="9"/>
    </row>
    <row r="1694" spans="1:3" ht="30" x14ac:dyDescent="0.25">
      <c r="A1694" s="2">
        <v>160205</v>
      </c>
      <c r="B1694" s="4" t="s">
        <v>303</v>
      </c>
      <c r="C1694" s="11"/>
    </row>
    <row r="1695" spans="1:3" ht="15" x14ac:dyDescent="0.25">
      <c r="A1695" s="2">
        <v>16020501</v>
      </c>
      <c r="B1695" s="3" t="s">
        <v>304</v>
      </c>
      <c r="C1695" s="9"/>
    </row>
    <row r="1696" spans="1:3" ht="15" x14ac:dyDescent="0.25">
      <c r="A1696" s="2">
        <v>16020502</v>
      </c>
      <c r="B1696" s="3" t="s">
        <v>305</v>
      </c>
      <c r="C1696" s="9"/>
    </row>
    <row r="1697" spans="1:3" ht="13.8" x14ac:dyDescent="0.25">
      <c r="A1697" s="5">
        <v>160206</v>
      </c>
      <c r="B1697" s="6" t="s">
        <v>306</v>
      </c>
      <c r="C1697" s="12"/>
    </row>
    <row r="1698" spans="1:3" ht="15" x14ac:dyDescent="0.25">
      <c r="A1698" s="2">
        <v>160209</v>
      </c>
      <c r="B1698" s="3" t="s">
        <v>307</v>
      </c>
      <c r="C1698" s="9"/>
    </row>
    <row r="1699" spans="1:3" ht="15" x14ac:dyDescent="0.25">
      <c r="A1699" s="2">
        <v>1603</v>
      </c>
      <c r="B1699" s="3" t="s">
        <v>308</v>
      </c>
      <c r="C1699" s="9"/>
    </row>
    <row r="1700" spans="1:3" ht="15" x14ac:dyDescent="0.25">
      <c r="A1700" s="2">
        <v>160301</v>
      </c>
      <c r="B1700" s="3" t="s">
        <v>309</v>
      </c>
      <c r="C1700" s="9"/>
    </row>
    <row r="1701" spans="1:3" ht="15" x14ac:dyDescent="0.25">
      <c r="A1701" s="2">
        <v>160302</v>
      </c>
      <c r="B1701" s="3" t="s">
        <v>310</v>
      </c>
      <c r="C1701" s="9"/>
    </row>
    <row r="1702" spans="1:3" ht="15" x14ac:dyDescent="0.25">
      <c r="A1702" s="2">
        <v>160303</v>
      </c>
      <c r="B1702" s="3" t="s">
        <v>311</v>
      </c>
      <c r="C1702" s="9"/>
    </row>
    <row r="1703" spans="1:3" ht="15" x14ac:dyDescent="0.25">
      <c r="A1703" s="2">
        <v>160309</v>
      </c>
      <c r="B1703" s="3" t="s">
        <v>312</v>
      </c>
      <c r="C1703" s="9"/>
    </row>
    <row r="1704" spans="1:3" ht="30" x14ac:dyDescent="0.25">
      <c r="A1704" s="2">
        <v>1609</v>
      </c>
      <c r="B1704" s="4" t="s">
        <v>313</v>
      </c>
      <c r="C1704" s="11"/>
    </row>
    <row r="1705" spans="1:3" ht="15" x14ac:dyDescent="0.25">
      <c r="A1705" s="2">
        <v>160901</v>
      </c>
      <c r="B1705" s="3" t="s">
        <v>314</v>
      </c>
      <c r="C1705" s="9"/>
    </row>
    <row r="1706" spans="1:3" ht="15" x14ac:dyDescent="0.25">
      <c r="A1706" s="2">
        <v>160902</v>
      </c>
      <c r="B1706" s="3" t="s">
        <v>315</v>
      </c>
      <c r="C1706" s="9"/>
    </row>
    <row r="1707" spans="1:3" ht="15" x14ac:dyDescent="0.25">
      <c r="A1707" s="2">
        <v>160903</v>
      </c>
      <c r="B1707" s="3" t="s">
        <v>316</v>
      </c>
      <c r="C1707" s="9"/>
    </row>
    <row r="1708" spans="1:3" ht="15" x14ac:dyDescent="0.25">
      <c r="A1708" s="2">
        <v>17</v>
      </c>
      <c r="B1708" s="3" t="s">
        <v>317</v>
      </c>
      <c r="C1708" s="20">
        <f t="shared" ref="C1708" si="28">+C1709</f>
        <v>4418915.91</v>
      </c>
    </row>
    <row r="1709" spans="1:3" ht="15" x14ac:dyDescent="0.25">
      <c r="A1709" s="2">
        <v>1701</v>
      </c>
      <c r="B1709" s="3" t="s">
        <v>318</v>
      </c>
      <c r="C1709" s="20">
        <f t="shared" ref="C1709" si="29">+C1712+C1713+C1714</f>
        <v>4418915.91</v>
      </c>
    </row>
    <row r="1710" spans="1:3" ht="15" x14ac:dyDescent="0.25">
      <c r="A1710" s="2">
        <v>170101</v>
      </c>
      <c r="B1710" s="3" t="s">
        <v>319</v>
      </c>
      <c r="C1710" s="9"/>
    </row>
    <row r="1711" spans="1:3" ht="15" x14ac:dyDescent="0.25">
      <c r="A1711" s="2">
        <v>170102</v>
      </c>
      <c r="B1711" s="3" t="s">
        <v>320</v>
      </c>
      <c r="C1711" s="9"/>
    </row>
    <row r="1712" spans="1:3" s="15" customFormat="1" ht="15" x14ac:dyDescent="0.25">
      <c r="A1712" s="18" t="s">
        <v>1335</v>
      </c>
      <c r="B1712" s="19" t="s">
        <v>1336</v>
      </c>
      <c r="C1712" s="20">
        <v>4215729.83</v>
      </c>
    </row>
    <row r="1713" spans="1:3" s="15" customFormat="1" ht="15" x14ac:dyDescent="0.25">
      <c r="A1713" s="18" t="s">
        <v>1337</v>
      </c>
      <c r="B1713" s="19" t="s">
        <v>1338</v>
      </c>
      <c r="C1713" s="20">
        <v>203186.08</v>
      </c>
    </row>
    <row r="1714" spans="1:3" s="15" customFormat="1" ht="15" x14ac:dyDescent="0.25">
      <c r="A1714" s="18" t="s">
        <v>1339</v>
      </c>
      <c r="B1714" s="19" t="s">
        <v>1340</v>
      </c>
      <c r="C1714" s="20"/>
    </row>
    <row r="1715" spans="1:3" ht="15" x14ac:dyDescent="0.25">
      <c r="A1715" s="2">
        <v>1702</v>
      </c>
      <c r="B1715" s="3" t="s">
        <v>321</v>
      </c>
      <c r="C1715" s="9"/>
    </row>
    <row r="1716" spans="1:3" ht="15" x14ac:dyDescent="0.25">
      <c r="A1716" s="2">
        <v>170201</v>
      </c>
      <c r="B1716" s="3" t="s">
        <v>319</v>
      </c>
      <c r="C1716" s="9"/>
    </row>
    <row r="1717" spans="1:3" ht="15" x14ac:dyDescent="0.25">
      <c r="A1717" s="2">
        <v>170202</v>
      </c>
      <c r="B1717" s="3" t="s">
        <v>320</v>
      </c>
      <c r="C1717" s="9"/>
    </row>
    <row r="1718" spans="1:3" ht="15" x14ac:dyDescent="0.25">
      <c r="A1718" s="2">
        <v>18</v>
      </c>
      <c r="B1718" s="3" t="s">
        <v>322</v>
      </c>
      <c r="C1718" s="20">
        <f t="shared" ref="C1718" si="30">+C1719+C1737+C1749+C1771+C1789</f>
        <v>38805309.879999995</v>
      </c>
    </row>
    <row r="1719" spans="1:3" ht="15" x14ac:dyDescent="0.25">
      <c r="A1719" s="2">
        <v>1801</v>
      </c>
      <c r="B1719" s="3" t="s">
        <v>323</v>
      </c>
      <c r="C1719" s="20">
        <f t="shared" ref="C1719" si="31">+C1720</f>
        <v>18643766.629999999</v>
      </c>
    </row>
    <row r="1720" spans="1:3" ht="15" x14ac:dyDescent="0.25">
      <c r="A1720" s="2">
        <v>180101</v>
      </c>
      <c r="B1720" s="3" t="s">
        <v>298</v>
      </c>
      <c r="C1720" s="20">
        <f t="shared" ref="C1720" si="32">SUM(C1721:C1736)</f>
        <v>18643766.629999999</v>
      </c>
    </row>
    <row r="1721" spans="1:3" s="15" customFormat="1" ht="15" x14ac:dyDescent="0.25">
      <c r="A1721" s="18" t="s">
        <v>1341</v>
      </c>
      <c r="B1721" s="19" t="s">
        <v>1342</v>
      </c>
      <c r="C1721" s="20">
        <v>4823891.4400000004</v>
      </c>
    </row>
    <row r="1722" spans="1:3" s="15" customFormat="1" ht="15" x14ac:dyDescent="0.25">
      <c r="A1722" s="18" t="s">
        <v>1343</v>
      </c>
      <c r="B1722" s="19" t="s">
        <v>1344</v>
      </c>
      <c r="C1722" s="20">
        <v>5134366.2699999996</v>
      </c>
    </row>
    <row r="1723" spans="1:3" s="15" customFormat="1" ht="15" x14ac:dyDescent="0.25">
      <c r="A1723" s="18" t="s">
        <v>1345</v>
      </c>
      <c r="B1723" s="19" t="s">
        <v>1346</v>
      </c>
      <c r="C1723" s="20">
        <v>344115</v>
      </c>
    </row>
    <row r="1724" spans="1:3" s="15" customFormat="1" ht="15" x14ac:dyDescent="0.25">
      <c r="A1724" s="18" t="s">
        <v>1347</v>
      </c>
      <c r="B1724" s="19" t="s">
        <v>1348</v>
      </c>
      <c r="C1724" s="20">
        <v>432692.75</v>
      </c>
    </row>
    <row r="1725" spans="1:3" s="15" customFormat="1" ht="15" x14ac:dyDescent="0.25">
      <c r="A1725" s="18" t="s">
        <v>1349</v>
      </c>
      <c r="B1725" s="19" t="s">
        <v>1350</v>
      </c>
      <c r="C1725" s="20">
        <v>616596.09</v>
      </c>
    </row>
    <row r="1726" spans="1:3" s="15" customFormat="1" ht="15" x14ac:dyDescent="0.25">
      <c r="A1726" s="18" t="s">
        <v>1351</v>
      </c>
      <c r="B1726" s="19" t="s">
        <v>1352</v>
      </c>
      <c r="C1726" s="20">
        <v>97515.82</v>
      </c>
    </row>
    <row r="1727" spans="1:3" s="15" customFormat="1" ht="15" x14ac:dyDescent="0.25">
      <c r="A1727" s="18" t="s">
        <v>1353</v>
      </c>
      <c r="B1727" s="19" t="s">
        <v>1354</v>
      </c>
      <c r="C1727" s="20">
        <v>484432.37</v>
      </c>
    </row>
    <row r="1728" spans="1:3" s="15" customFormat="1" ht="15" x14ac:dyDescent="0.25">
      <c r="A1728" s="18" t="s">
        <v>1355</v>
      </c>
      <c r="B1728" s="19" t="s">
        <v>1356</v>
      </c>
      <c r="C1728" s="20">
        <v>563885.81000000006</v>
      </c>
    </row>
    <row r="1729" spans="1:3" s="15" customFormat="1" ht="15" x14ac:dyDescent="0.25">
      <c r="A1729" s="18" t="s">
        <v>1357</v>
      </c>
      <c r="B1729" s="19" t="s">
        <v>1358</v>
      </c>
      <c r="C1729" s="20">
        <v>3272951.71</v>
      </c>
    </row>
    <row r="1730" spans="1:3" s="15" customFormat="1" ht="15" x14ac:dyDescent="0.25">
      <c r="A1730" s="18" t="s">
        <v>1359</v>
      </c>
      <c r="B1730" s="19" t="s">
        <v>1360</v>
      </c>
      <c r="C1730" s="20">
        <v>2025116.78</v>
      </c>
    </row>
    <row r="1731" spans="1:3" s="15" customFormat="1" ht="15" x14ac:dyDescent="0.25">
      <c r="A1731" s="18" t="s">
        <v>1361</v>
      </c>
      <c r="B1731" s="19" t="s">
        <v>1362</v>
      </c>
      <c r="C1731" s="20">
        <v>138146.26999999999</v>
      </c>
    </row>
    <row r="1732" spans="1:3" s="15" customFormat="1" ht="15" x14ac:dyDescent="0.25">
      <c r="A1732" s="18" t="s">
        <v>1363</v>
      </c>
      <c r="B1732" s="19" t="s">
        <v>1364</v>
      </c>
      <c r="C1732" s="20">
        <v>157768.29</v>
      </c>
    </row>
    <row r="1733" spans="1:3" s="15" customFormat="1" ht="15" x14ac:dyDescent="0.25">
      <c r="A1733" s="18" t="s">
        <v>1365</v>
      </c>
      <c r="B1733" s="19" t="s">
        <v>1366</v>
      </c>
      <c r="C1733" s="20">
        <v>157768.29</v>
      </c>
    </row>
    <row r="1734" spans="1:3" s="15" customFormat="1" ht="15" x14ac:dyDescent="0.25">
      <c r="A1734" s="18" t="s">
        <v>1367</v>
      </c>
      <c r="B1734" s="19" t="s">
        <v>1368</v>
      </c>
      <c r="C1734" s="20">
        <v>128186.73</v>
      </c>
    </row>
    <row r="1735" spans="1:3" s="15" customFormat="1" ht="15" x14ac:dyDescent="0.25">
      <c r="A1735" s="18" t="s">
        <v>1369</v>
      </c>
      <c r="B1735" s="19" t="s">
        <v>1370</v>
      </c>
      <c r="C1735" s="20">
        <v>138146.26999999999</v>
      </c>
    </row>
    <row r="1736" spans="1:3" s="15" customFormat="1" ht="15" x14ac:dyDescent="0.25">
      <c r="A1736" s="18" t="s">
        <v>1371</v>
      </c>
      <c r="B1736" s="19" t="s">
        <v>1372</v>
      </c>
      <c r="C1736" s="20">
        <v>128186.74</v>
      </c>
    </row>
    <row r="1737" spans="1:3" ht="15" x14ac:dyDescent="0.25">
      <c r="A1737" s="2">
        <v>1802</v>
      </c>
      <c r="B1737" s="3" t="s">
        <v>324</v>
      </c>
      <c r="C1737" s="20">
        <f t="shared" ref="C1737" si="33">+C1738+C1746</f>
        <v>4831373.1100000003</v>
      </c>
    </row>
    <row r="1738" spans="1:3" ht="15" x14ac:dyDescent="0.25">
      <c r="A1738" s="2">
        <v>180201</v>
      </c>
      <c r="B1738" s="3" t="s">
        <v>325</v>
      </c>
      <c r="C1738" s="20">
        <f t="shared" ref="C1738" si="34">SUM(C1739:C1745)</f>
        <v>4589065.17</v>
      </c>
    </row>
    <row r="1739" spans="1:3" s="15" customFormat="1" ht="15" x14ac:dyDescent="0.25">
      <c r="A1739" s="18" t="s">
        <v>1373</v>
      </c>
      <c r="B1739" s="19" t="s">
        <v>1374</v>
      </c>
      <c r="C1739" s="20">
        <v>104413.59</v>
      </c>
    </row>
    <row r="1740" spans="1:3" s="15" customFormat="1" ht="15" x14ac:dyDescent="0.25">
      <c r="A1740" s="18" t="s">
        <v>1375</v>
      </c>
      <c r="B1740" s="19" t="s">
        <v>1376</v>
      </c>
      <c r="C1740" s="20">
        <v>3141584.63</v>
      </c>
    </row>
    <row r="1741" spans="1:3" s="15" customFormat="1" ht="15" x14ac:dyDescent="0.25">
      <c r="A1741" s="18" t="s">
        <v>1377</v>
      </c>
      <c r="B1741" s="19" t="s">
        <v>1378</v>
      </c>
      <c r="C1741" s="20">
        <v>197179.75</v>
      </c>
    </row>
    <row r="1742" spans="1:3" s="15" customFormat="1" ht="15" x14ac:dyDescent="0.25">
      <c r="A1742" s="18" t="s">
        <v>1379</v>
      </c>
      <c r="B1742" s="19" t="s">
        <v>1380</v>
      </c>
      <c r="C1742" s="20">
        <v>227901.05</v>
      </c>
    </row>
    <row r="1743" spans="1:3" s="15" customFormat="1" ht="15" x14ac:dyDescent="0.25">
      <c r="A1743" s="18" t="s">
        <v>1381</v>
      </c>
      <c r="B1743" s="19" t="s">
        <v>1382</v>
      </c>
      <c r="C1743" s="20">
        <v>207548.83</v>
      </c>
    </row>
    <row r="1744" spans="1:3" s="15" customFormat="1" ht="15" x14ac:dyDescent="0.25">
      <c r="A1744" s="18" t="s">
        <v>1383</v>
      </c>
      <c r="B1744" s="19" t="s">
        <v>1384</v>
      </c>
      <c r="C1744" s="20">
        <v>358286.28</v>
      </c>
    </row>
    <row r="1745" spans="1:3" s="15" customFormat="1" ht="15" x14ac:dyDescent="0.25">
      <c r="A1745" s="18" t="s">
        <v>1385</v>
      </c>
      <c r="B1745" s="19" t="s">
        <v>1386</v>
      </c>
      <c r="C1745" s="20">
        <v>352151.03999999998</v>
      </c>
    </row>
    <row r="1746" spans="1:3" ht="15" x14ac:dyDescent="0.25">
      <c r="A1746" s="2">
        <v>180202</v>
      </c>
      <c r="B1746" s="3" t="s">
        <v>326</v>
      </c>
      <c r="C1746" s="20">
        <f t="shared" ref="C1746" si="35">SUM(C1747:C1748)</f>
        <v>242307.94</v>
      </c>
    </row>
    <row r="1747" spans="1:3" s="15" customFormat="1" ht="15" x14ac:dyDescent="0.25">
      <c r="A1747" s="18" t="s">
        <v>1387</v>
      </c>
      <c r="B1747" s="19" t="s">
        <v>1388</v>
      </c>
      <c r="C1747" s="20">
        <v>121377.33</v>
      </c>
    </row>
    <row r="1748" spans="1:3" s="15" customFormat="1" ht="15" x14ac:dyDescent="0.25">
      <c r="A1748" s="18" t="s">
        <v>1389</v>
      </c>
      <c r="B1748" s="19" t="s">
        <v>1390</v>
      </c>
      <c r="C1748" s="20">
        <v>120930.61</v>
      </c>
    </row>
    <row r="1749" spans="1:3" s="15" customFormat="1" ht="15" x14ac:dyDescent="0.25">
      <c r="A1749" s="18">
        <v>1803</v>
      </c>
      <c r="B1749" s="19" t="s">
        <v>327</v>
      </c>
      <c r="C1749" s="20">
        <f t="shared" ref="C1749" si="36">+C1751+C1753+C1755+C1756+C1757+C1758+C1759+C1760+C1761</f>
        <v>3117029.47</v>
      </c>
    </row>
    <row r="1750" spans="1:3" s="15" customFormat="1" ht="15" x14ac:dyDescent="0.25">
      <c r="A1750" s="18">
        <v>180301</v>
      </c>
      <c r="B1750" s="19" t="s">
        <v>301</v>
      </c>
      <c r="C1750" s="20"/>
    </row>
    <row r="1751" spans="1:3" s="15" customFormat="1" ht="15" x14ac:dyDescent="0.25">
      <c r="A1751" s="18" t="s">
        <v>1391</v>
      </c>
      <c r="B1751" s="19" t="s">
        <v>1392</v>
      </c>
      <c r="C1751" s="20">
        <v>732965.52</v>
      </c>
    </row>
    <row r="1752" spans="1:3" s="15" customFormat="1" ht="15" x14ac:dyDescent="0.25">
      <c r="A1752" s="18">
        <v>180302</v>
      </c>
      <c r="B1752" s="19" t="s">
        <v>328</v>
      </c>
      <c r="C1752" s="20"/>
    </row>
    <row r="1753" spans="1:3" s="15" customFormat="1" ht="15" x14ac:dyDescent="0.25">
      <c r="A1753" s="18" t="s">
        <v>1393</v>
      </c>
      <c r="B1753" s="19" t="s">
        <v>1394</v>
      </c>
      <c r="C1753" s="20">
        <v>1107360.96</v>
      </c>
    </row>
    <row r="1754" spans="1:3" s="15" customFormat="1" ht="15" x14ac:dyDescent="0.25">
      <c r="A1754" s="18">
        <v>180309</v>
      </c>
      <c r="B1754" s="19" t="s">
        <v>329</v>
      </c>
      <c r="C1754" s="20"/>
    </row>
    <row r="1755" spans="1:3" s="15" customFormat="1" ht="15" x14ac:dyDescent="0.25">
      <c r="A1755" s="18" t="s">
        <v>1395</v>
      </c>
      <c r="B1755" s="19" t="s">
        <v>1396</v>
      </c>
      <c r="C1755" s="20">
        <v>81080.88</v>
      </c>
    </row>
    <row r="1756" spans="1:3" s="15" customFormat="1" ht="15" x14ac:dyDescent="0.25">
      <c r="A1756" s="18" t="s">
        <v>1397</v>
      </c>
      <c r="B1756" s="19" t="s">
        <v>1398</v>
      </c>
      <c r="C1756" s="20">
        <v>487090.2</v>
      </c>
    </row>
    <row r="1757" spans="1:3" s="15" customFormat="1" ht="15" x14ac:dyDescent="0.25">
      <c r="A1757" s="18" t="s">
        <v>1399</v>
      </c>
      <c r="B1757" s="19" t="s">
        <v>1400</v>
      </c>
      <c r="C1757" s="20">
        <v>154099.70000000001</v>
      </c>
    </row>
    <row r="1758" spans="1:3" s="15" customFormat="1" ht="15" x14ac:dyDescent="0.25">
      <c r="A1758" s="18" t="s">
        <v>1401</v>
      </c>
      <c r="B1758" s="19" t="s">
        <v>1402</v>
      </c>
      <c r="C1758" s="20">
        <v>384734.64</v>
      </c>
    </row>
    <row r="1759" spans="1:3" s="15" customFormat="1" ht="15" x14ac:dyDescent="0.25">
      <c r="A1759" s="18" t="s">
        <v>1403</v>
      </c>
      <c r="B1759" s="19" t="s">
        <v>1404</v>
      </c>
      <c r="C1759" s="20">
        <v>139522.23000000001</v>
      </c>
    </row>
    <row r="1760" spans="1:3" s="15" customFormat="1" ht="15" x14ac:dyDescent="0.25">
      <c r="A1760" s="18" t="s">
        <v>1405</v>
      </c>
      <c r="B1760" s="19" t="s">
        <v>1406</v>
      </c>
      <c r="C1760" s="20">
        <v>5870.34</v>
      </c>
    </row>
    <row r="1761" spans="1:3" s="15" customFormat="1" ht="15" x14ac:dyDescent="0.25">
      <c r="A1761" s="18" t="s">
        <v>1407</v>
      </c>
      <c r="B1761" s="19" t="s">
        <v>1408</v>
      </c>
      <c r="C1761" s="20">
        <v>24305</v>
      </c>
    </row>
    <row r="1762" spans="1:3" s="15" customFormat="1" ht="15" x14ac:dyDescent="0.25">
      <c r="A1762" s="18">
        <v>1804</v>
      </c>
      <c r="B1762" s="19" t="s">
        <v>330</v>
      </c>
      <c r="C1762" s="20"/>
    </row>
    <row r="1763" spans="1:3" s="15" customFormat="1" ht="15" x14ac:dyDescent="0.25">
      <c r="A1763" s="18">
        <v>180401</v>
      </c>
      <c r="B1763" s="19" t="s">
        <v>331</v>
      </c>
      <c r="C1763" s="20"/>
    </row>
    <row r="1764" spans="1:3" s="15" customFormat="1" ht="15" x14ac:dyDescent="0.25">
      <c r="A1764" s="18" t="s">
        <v>1409</v>
      </c>
      <c r="B1764" s="19" t="s">
        <v>1410</v>
      </c>
      <c r="C1764" s="20"/>
    </row>
    <row r="1765" spans="1:3" s="15" customFormat="1" ht="15" x14ac:dyDescent="0.25">
      <c r="A1765" s="18">
        <v>180402</v>
      </c>
      <c r="B1765" s="19" t="s">
        <v>304</v>
      </c>
      <c r="C1765" s="20"/>
    </row>
    <row r="1766" spans="1:3" ht="15" x14ac:dyDescent="0.25">
      <c r="A1766" s="2">
        <v>1805</v>
      </c>
      <c r="B1766" s="3" t="s">
        <v>332</v>
      </c>
      <c r="C1766" s="9"/>
    </row>
    <row r="1767" spans="1:3" ht="15" x14ac:dyDescent="0.25">
      <c r="A1767" s="2">
        <v>180501</v>
      </c>
      <c r="B1767" s="3" t="s">
        <v>333</v>
      </c>
      <c r="C1767" s="9"/>
    </row>
    <row r="1768" spans="1:3" ht="15" x14ac:dyDescent="0.25">
      <c r="A1768" s="2">
        <v>180502</v>
      </c>
      <c r="B1768" s="3" t="s">
        <v>334</v>
      </c>
      <c r="C1768" s="9"/>
    </row>
    <row r="1769" spans="1:3" ht="30" x14ac:dyDescent="0.25">
      <c r="A1769" s="2">
        <v>180503</v>
      </c>
      <c r="B1769" s="4" t="s">
        <v>335</v>
      </c>
      <c r="C1769" s="11"/>
    </row>
    <row r="1770" spans="1:3" ht="15" x14ac:dyDescent="0.25">
      <c r="A1770" s="2">
        <v>180509</v>
      </c>
      <c r="B1770" s="3" t="s">
        <v>336</v>
      </c>
      <c r="C1770" s="9"/>
    </row>
    <row r="1771" spans="1:3" ht="15" x14ac:dyDescent="0.25">
      <c r="A1771" s="2">
        <v>1806</v>
      </c>
      <c r="B1771" s="3" t="s">
        <v>337</v>
      </c>
      <c r="C1771" s="20">
        <f t="shared" ref="C1771" si="37">+C1772</f>
        <v>16988247.48</v>
      </c>
    </row>
    <row r="1772" spans="1:3" ht="15" x14ac:dyDescent="0.25">
      <c r="A1772" s="2">
        <v>180601</v>
      </c>
      <c r="B1772" s="3" t="s">
        <v>338</v>
      </c>
      <c r="C1772" s="20">
        <f t="shared" ref="C1772" si="38">SUM(C1775:C1781)</f>
        <v>16988247.48</v>
      </c>
    </row>
    <row r="1773" spans="1:3" ht="15" x14ac:dyDescent="0.25">
      <c r="A1773" s="2">
        <v>18060101</v>
      </c>
      <c r="B1773" s="3" t="s">
        <v>339</v>
      </c>
      <c r="C1773" s="9"/>
    </row>
    <row r="1774" spans="1:3" ht="15" x14ac:dyDescent="0.25">
      <c r="A1774" s="2">
        <v>1806010101</v>
      </c>
      <c r="B1774" s="3" t="s">
        <v>340</v>
      </c>
      <c r="C1774" s="9"/>
    </row>
    <row r="1775" spans="1:3" s="15" customFormat="1" ht="15" x14ac:dyDescent="0.25">
      <c r="A1775" s="18" t="s">
        <v>1411</v>
      </c>
      <c r="B1775" s="19" t="s">
        <v>1412</v>
      </c>
      <c r="C1775" s="20">
        <v>7254778.1699999999</v>
      </c>
    </row>
    <row r="1776" spans="1:3" s="15" customFormat="1" ht="15" x14ac:dyDescent="0.25">
      <c r="A1776" s="18" t="s">
        <v>1413</v>
      </c>
      <c r="B1776" s="19" t="s">
        <v>1414</v>
      </c>
      <c r="C1776" s="20">
        <v>8451879.0199999996</v>
      </c>
    </row>
    <row r="1777" spans="1:3" s="15" customFormat="1" ht="15" x14ac:dyDescent="0.25">
      <c r="A1777" s="18" t="s">
        <v>1415</v>
      </c>
      <c r="B1777" s="19" t="s">
        <v>1416</v>
      </c>
      <c r="C1777" s="20">
        <v>359589.92</v>
      </c>
    </row>
    <row r="1778" spans="1:3" s="15" customFormat="1" ht="15" x14ac:dyDescent="0.25">
      <c r="A1778" s="18" t="s">
        <v>1417</v>
      </c>
      <c r="B1778" s="19" t="s">
        <v>1418</v>
      </c>
      <c r="C1778" s="20">
        <v>100845.29</v>
      </c>
    </row>
    <row r="1779" spans="1:3" s="15" customFormat="1" ht="15" x14ac:dyDescent="0.25">
      <c r="A1779" s="18" t="s">
        <v>1419</v>
      </c>
      <c r="B1779" s="19" t="s">
        <v>1420</v>
      </c>
      <c r="C1779" s="20">
        <v>589096.89</v>
      </c>
    </row>
    <row r="1780" spans="1:3" s="15" customFormat="1" ht="15" x14ac:dyDescent="0.25">
      <c r="A1780" s="18" t="s">
        <v>1421</v>
      </c>
      <c r="B1780" s="19" t="s">
        <v>1422</v>
      </c>
      <c r="C1780" s="20">
        <v>202252.25</v>
      </c>
    </row>
    <row r="1781" spans="1:3" s="15" customFormat="1" ht="15" x14ac:dyDescent="0.25">
      <c r="A1781" s="18" t="s">
        <v>1423</v>
      </c>
      <c r="B1781" s="19" t="s">
        <v>1424</v>
      </c>
      <c r="C1781" s="20">
        <v>29805.94</v>
      </c>
    </row>
    <row r="1782" spans="1:3" ht="15" x14ac:dyDescent="0.25">
      <c r="A1782" s="2">
        <v>1806010102</v>
      </c>
      <c r="B1782" s="3" t="s">
        <v>341</v>
      </c>
      <c r="C1782" s="9"/>
    </row>
    <row r="1783" spans="1:3" ht="15" x14ac:dyDescent="0.25">
      <c r="A1783" s="2">
        <v>18060102</v>
      </c>
      <c r="B1783" s="3" t="s">
        <v>342</v>
      </c>
      <c r="C1783" s="9"/>
    </row>
    <row r="1784" spans="1:3" ht="15" x14ac:dyDescent="0.25">
      <c r="A1784" s="2">
        <v>1806010201</v>
      </c>
      <c r="B1784" s="3" t="s">
        <v>340</v>
      </c>
      <c r="C1784" s="9"/>
    </row>
    <row r="1785" spans="1:3" ht="15" x14ac:dyDescent="0.25">
      <c r="A1785" s="2">
        <v>1806010202</v>
      </c>
      <c r="B1785" s="3" t="s">
        <v>341</v>
      </c>
      <c r="C1785" s="9"/>
    </row>
    <row r="1786" spans="1:3" ht="15" x14ac:dyDescent="0.25">
      <c r="A1786" s="2">
        <v>180602</v>
      </c>
      <c r="B1786" s="3" t="s">
        <v>343</v>
      </c>
      <c r="C1786" s="9"/>
    </row>
    <row r="1787" spans="1:3" ht="15" x14ac:dyDescent="0.25">
      <c r="A1787" s="2">
        <v>1807</v>
      </c>
      <c r="B1787" s="3" t="s">
        <v>344</v>
      </c>
      <c r="C1787" s="9"/>
    </row>
    <row r="1788" spans="1:3" ht="15" x14ac:dyDescent="0.25">
      <c r="A1788" s="2">
        <v>180701</v>
      </c>
      <c r="B1788" s="3" t="s">
        <v>345</v>
      </c>
      <c r="C1788" s="9"/>
    </row>
    <row r="1789" spans="1:3" ht="30" x14ac:dyDescent="0.25">
      <c r="A1789" s="2">
        <v>1809</v>
      </c>
      <c r="B1789" s="4" t="s">
        <v>346</v>
      </c>
      <c r="C1789" s="20">
        <f t="shared" ref="C1789" si="39">+C1790+C1800</f>
        <v>-4775106.8099999996</v>
      </c>
    </row>
    <row r="1790" spans="1:3" ht="15" x14ac:dyDescent="0.25">
      <c r="A1790" s="2">
        <v>180902</v>
      </c>
      <c r="B1790" s="3" t="s">
        <v>347</v>
      </c>
      <c r="C1790" s="20">
        <f t="shared" ref="C1790" si="40">SUM(C1791:C1799)</f>
        <v>-2090515.1199999999</v>
      </c>
    </row>
    <row r="1791" spans="1:3" s="15" customFormat="1" ht="15" x14ac:dyDescent="0.25">
      <c r="A1791" s="18" t="s">
        <v>1425</v>
      </c>
      <c r="B1791" s="19" t="s">
        <v>1426</v>
      </c>
      <c r="C1791" s="20">
        <v>-45010.96</v>
      </c>
    </row>
    <row r="1792" spans="1:3" s="15" customFormat="1" ht="15" x14ac:dyDescent="0.25">
      <c r="A1792" s="18" t="s">
        <v>1427</v>
      </c>
      <c r="B1792" s="19" t="s">
        <v>1428</v>
      </c>
      <c r="C1792" s="20">
        <v>-1304174.05</v>
      </c>
    </row>
    <row r="1793" spans="1:3" s="15" customFormat="1" ht="15" x14ac:dyDescent="0.25">
      <c r="A1793" s="18" t="s">
        <v>1429</v>
      </c>
      <c r="B1793" s="19" t="s">
        <v>1430</v>
      </c>
      <c r="C1793" s="20">
        <v>-85000.9</v>
      </c>
    </row>
    <row r="1794" spans="1:3" s="15" customFormat="1" ht="15" x14ac:dyDescent="0.25">
      <c r="A1794" s="18" t="s">
        <v>1431</v>
      </c>
      <c r="B1794" s="19" t="s">
        <v>1432</v>
      </c>
      <c r="C1794" s="20">
        <v>-84361.37</v>
      </c>
    </row>
    <row r="1795" spans="1:3" s="15" customFormat="1" ht="15" x14ac:dyDescent="0.25">
      <c r="A1795" s="18" t="s">
        <v>1433</v>
      </c>
      <c r="B1795" s="19" t="s">
        <v>1434</v>
      </c>
      <c r="C1795" s="20">
        <v>-89470.84</v>
      </c>
    </row>
    <row r="1796" spans="1:3" s="15" customFormat="1" ht="15" x14ac:dyDescent="0.25">
      <c r="A1796" s="18" t="s">
        <v>1435</v>
      </c>
      <c r="B1796" s="19" t="s">
        <v>1436</v>
      </c>
      <c r="C1796" s="20">
        <v>-154451.24</v>
      </c>
    </row>
    <row r="1797" spans="1:3" s="15" customFormat="1" ht="15" x14ac:dyDescent="0.25">
      <c r="A1797" s="18" t="s">
        <v>1437</v>
      </c>
      <c r="B1797" s="19" t="s">
        <v>1438</v>
      </c>
      <c r="C1797" s="20">
        <v>-87994.96</v>
      </c>
    </row>
    <row r="1798" spans="1:3" s="15" customFormat="1" ht="15" x14ac:dyDescent="0.25">
      <c r="A1798" s="18" t="s">
        <v>1439</v>
      </c>
      <c r="B1798" s="19" t="s">
        <v>1440</v>
      </c>
      <c r="C1798" s="20">
        <v>-121377.33</v>
      </c>
    </row>
    <row r="1799" spans="1:3" s="15" customFormat="1" ht="15" x14ac:dyDescent="0.25">
      <c r="A1799" s="18" t="s">
        <v>1441</v>
      </c>
      <c r="B1799" s="19" t="s">
        <v>1442</v>
      </c>
      <c r="C1799" s="20">
        <v>-118673.47</v>
      </c>
    </row>
    <row r="1800" spans="1:3" ht="15" x14ac:dyDescent="0.25">
      <c r="A1800" s="2">
        <v>180903</v>
      </c>
      <c r="B1800" s="3" t="s">
        <v>348</v>
      </c>
      <c r="C1800" s="20">
        <f t="shared" ref="C1800" si="41">SUM(C1801:C1809)</f>
        <v>-2684591.6899999995</v>
      </c>
    </row>
    <row r="1801" spans="1:3" s="15" customFormat="1" ht="15" x14ac:dyDescent="0.25">
      <c r="A1801" s="18" t="s">
        <v>1443</v>
      </c>
      <c r="B1801" s="19" t="s">
        <v>1444</v>
      </c>
      <c r="C1801" s="20">
        <v>-668605.72</v>
      </c>
    </row>
    <row r="1802" spans="1:3" s="15" customFormat="1" ht="15" x14ac:dyDescent="0.25">
      <c r="A1802" s="18" t="s">
        <v>1445</v>
      </c>
      <c r="B1802" s="19" t="s">
        <v>1446</v>
      </c>
      <c r="C1802" s="20">
        <v>-1028173.77</v>
      </c>
    </row>
    <row r="1803" spans="1:3" s="15" customFormat="1" ht="15" x14ac:dyDescent="0.25">
      <c r="A1803" s="18" t="s">
        <v>1447</v>
      </c>
      <c r="B1803" s="19" t="s">
        <v>1448</v>
      </c>
      <c r="C1803" s="20">
        <v>-58016.33</v>
      </c>
    </row>
    <row r="1804" spans="1:3" s="15" customFormat="1" ht="15" x14ac:dyDescent="0.25">
      <c r="A1804" s="18" t="s">
        <v>1449</v>
      </c>
      <c r="B1804" s="19" t="s">
        <v>1450</v>
      </c>
      <c r="C1804" s="20">
        <v>-485018.27</v>
      </c>
    </row>
    <row r="1805" spans="1:3" s="15" customFormat="1" ht="15" x14ac:dyDescent="0.25">
      <c r="A1805" s="18" t="s">
        <v>1451</v>
      </c>
      <c r="B1805" s="19" t="s">
        <v>1452</v>
      </c>
      <c r="C1805" s="20">
        <v>-127966.33</v>
      </c>
    </row>
    <row r="1806" spans="1:3" s="15" customFormat="1" ht="15" x14ac:dyDescent="0.25">
      <c r="A1806" s="18" t="s">
        <v>1453</v>
      </c>
      <c r="B1806" s="19" t="s">
        <v>1454</v>
      </c>
      <c r="C1806" s="20">
        <v>-205125.32</v>
      </c>
    </row>
    <row r="1807" spans="1:3" s="15" customFormat="1" ht="15" x14ac:dyDescent="0.25">
      <c r="A1807" s="18" t="s">
        <v>1455</v>
      </c>
      <c r="B1807" s="19" t="s">
        <v>1456</v>
      </c>
      <c r="C1807" s="20">
        <v>-91144.3</v>
      </c>
    </row>
    <row r="1808" spans="1:3" s="15" customFormat="1" ht="15" x14ac:dyDescent="0.25">
      <c r="A1808" s="18" t="s">
        <v>1457</v>
      </c>
      <c r="B1808" s="19" t="s">
        <v>1458</v>
      </c>
      <c r="C1808" s="20">
        <v>-2728.21</v>
      </c>
    </row>
    <row r="1809" spans="1:3" s="15" customFormat="1" ht="15" x14ac:dyDescent="0.25">
      <c r="A1809" s="18" t="s">
        <v>1459</v>
      </c>
      <c r="B1809" s="19" t="s">
        <v>1460</v>
      </c>
      <c r="C1809" s="20">
        <v>-17813.439999999999</v>
      </c>
    </row>
    <row r="1810" spans="1:3" ht="15" x14ac:dyDescent="0.25">
      <c r="A1810" s="2">
        <v>180904</v>
      </c>
      <c r="B1810" s="3" t="s">
        <v>349</v>
      </c>
      <c r="C1810" s="9"/>
    </row>
    <row r="1811" spans="1:3" ht="30" x14ac:dyDescent="0.25">
      <c r="A1811" s="2">
        <v>180905</v>
      </c>
      <c r="B1811" s="4" t="s">
        <v>350</v>
      </c>
      <c r="C1811" s="11"/>
    </row>
    <row r="1812" spans="1:3" ht="15" x14ac:dyDescent="0.25">
      <c r="A1812" s="2">
        <v>180907</v>
      </c>
      <c r="B1812" s="3" t="s">
        <v>351</v>
      </c>
      <c r="C1812" s="9"/>
    </row>
    <row r="1813" spans="1:3" ht="15" x14ac:dyDescent="0.25">
      <c r="A1813" s="2">
        <v>180909</v>
      </c>
      <c r="B1813" s="3" t="s">
        <v>352</v>
      </c>
      <c r="C1813" s="9"/>
    </row>
    <row r="1814" spans="1:3" ht="15" x14ac:dyDescent="0.25">
      <c r="A1814" s="2">
        <v>18090901</v>
      </c>
      <c r="B1814" s="3" t="s">
        <v>353</v>
      </c>
      <c r="C1814" s="9"/>
    </row>
    <row r="1815" spans="1:3" ht="15" x14ac:dyDescent="0.25">
      <c r="A1815" s="2">
        <v>18090902</v>
      </c>
      <c r="B1815" s="3" t="s">
        <v>354</v>
      </c>
      <c r="C1815" s="9"/>
    </row>
    <row r="1816" spans="1:3" ht="15" x14ac:dyDescent="0.25">
      <c r="A1816" s="2">
        <v>18090903</v>
      </c>
      <c r="B1816" s="3" t="s">
        <v>355</v>
      </c>
      <c r="C1816" s="9"/>
    </row>
    <row r="1817" spans="1:3" ht="15" x14ac:dyDescent="0.25">
      <c r="A1817" s="2">
        <v>18090904</v>
      </c>
      <c r="B1817" s="3" t="s">
        <v>356</v>
      </c>
      <c r="C1817" s="9"/>
    </row>
    <row r="1818" spans="1:3" s="15" customFormat="1" ht="15" x14ac:dyDescent="0.25">
      <c r="A1818" s="18" t="s">
        <v>1461</v>
      </c>
      <c r="B1818" s="19" t="s">
        <v>1462</v>
      </c>
      <c r="C1818" s="20"/>
    </row>
    <row r="1819" spans="1:3" ht="30" x14ac:dyDescent="0.25">
      <c r="A1819" s="2">
        <v>18090905</v>
      </c>
      <c r="B1819" s="4" t="s">
        <v>357</v>
      </c>
      <c r="C1819" s="11"/>
    </row>
    <row r="1820" spans="1:3" ht="15" x14ac:dyDescent="0.25">
      <c r="A1820" s="2">
        <v>18090907</v>
      </c>
      <c r="B1820" s="3" t="s">
        <v>358</v>
      </c>
      <c r="C1820" s="9"/>
    </row>
    <row r="1821" spans="1:3" ht="15" x14ac:dyDescent="0.25">
      <c r="A1821" s="2">
        <v>19</v>
      </c>
      <c r="B1821" s="3" t="s">
        <v>359</v>
      </c>
      <c r="C1821" s="20">
        <f t="shared" ref="C1821" si="42">+C1822+C1844+C1851+C1857+C1866+C1870+C1885+C1903</f>
        <v>560122.54</v>
      </c>
    </row>
    <row r="1822" spans="1:3" ht="15" x14ac:dyDescent="0.25">
      <c r="A1822" s="2">
        <v>1901</v>
      </c>
      <c r="B1822" s="3" t="s">
        <v>360</v>
      </c>
      <c r="C1822" s="20">
        <f t="shared" ref="C1822" si="43">+C1828+C1838</f>
        <v>336247.29</v>
      </c>
    </row>
    <row r="1823" spans="1:3" ht="15" x14ac:dyDescent="0.25">
      <c r="A1823" s="2">
        <v>190101</v>
      </c>
      <c r="B1823" s="3" t="s">
        <v>361</v>
      </c>
      <c r="C1823" s="9"/>
    </row>
    <row r="1824" spans="1:3" ht="15" x14ac:dyDescent="0.25">
      <c r="A1824" s="2">
        <v>190102</v>
      </c>
      <c r="B1824" s="3" t="s">
        <v>362</v>
      </c>
      <c r="C1824" s="9"/>
    </row>
    <row r="1825" spans="1:3" ht="15" x14ac:dyDescent="0.25">
      <c r="A1825" s="2">
        <v>190103</v>
      </c>
      <c r="B1825" s="3" t="s">
        <v>363</v>
      </c>
      <c r="C1825" s="9"/>
    </row>
    <row r="1826" spans="1:3" ht="15" x14ac:dyDescent="0.25">
      <c r="A1826" s="2">
        <v>190104</v>
      </c>
      <c r="B1826" s="3" t="s">
        <v>364</v>
      </c>
      <c r="C1826" s="9"/>
    </row>
    <row r="1827" spans="1:3" ht="15" x14ac:dyDescent="0.25">
      <c r="A1827" s="2">
        <v>190105</v>
      </c>
      <c r="B1827" s="3" t="s">
        <v>365</v>
      </c>
      <c r="C1827" s="9"/>
    </row>
    <row r="1828" spans="1:3" ht="15" x14ac:dyDescent="0.25">
      <c r="A1828" s="2">
        <v>190106</v>
      </c>
      <c r="B1828" s="3" t="s">
        <v>366</v>
      </c>
      <c r="C1828" s="20">
        <f t="shared" ref="C1828" si="44">SUM(C1829:C1837)</f>
        <v>330609.78999999998</v>
      </c>
    </row>
    <row r="1829" spans="1:3" s="15" customFormat="1" ht="15" x14ac:dyDescent="0.25">
      <c r="A1829" s="18" t="s">
        <v>1463</v>
      </c>
      <c r="B1829" s="19" t="s">
        <v>1464</v>
      </c>
      <c r="C1829" s="20">
        <v>217849.84</v>
      </c>
    </row>
    <row r="1830" spans="1:3" s="15" customFormat="1" ht="15" x14ac:dyDescent="0.25">
      <c r="A1830" s="18" t="s">
        <v>1465</v>
      </c>
      <c r="B1830" s="19" t="s">
        <v>1466</v>
      </c>
      <c r="C1830" s="20"/>
    </row>
    <row r="1831" spans="1:3" s="15" customFormat="1" ht="15" x14ac:dyDescent="0.25">
      <c r="A1831" s="18" t="s">
        <v>1467</v>
      </c>
      <c r="B1831" s="19" t="s">
        <v>1468</v>
      </c>
      <c r="C1831" s="20">
        <v>12.46</v>
      </c>
    </row>
    <row r="1832" spans="1:3" s="15" customFormat="1" ht="15" x14ac:dyDescent="0.25">
      <c r="A1832" s="18" t="s">
        <v>1469</v>
      </c>
      <c r="B1832" s="19" t="s">
        <v>1470</v>
      </c>
      <c r="C1832" s="20">
        <v>70624.990000000005</v>
      </c>
    </row>
    <row r="1833" spans="1:3" s="15" customFormat="1" ht="15" x14ac:dyDescent="0.25">
      <c r="A1833" s="18" t="s">
        <v>1471</v>
      </c>
      <c r="B1833" s="19" t="s">
        <v>1472</v>
      </c>
      <c r="C1833" s="20">
        <v>9098.5</v>
      </c>
    </row>
    <row r="1834" spans="1:3" s="15" customFormat="1" ht="15" x14ac:dyDescent="0.25">
      <c r="A1834" s="18" t="s">
        <v>1473</v>
      </c>
      <c r="B1834" s="19" t="s">
        <v>1474</v>
      </c>
      <c r="C1834" s="20">
        <v>720</v>
      </c>
    </row>
    <row r="1835" spans="1:3" s="15" customFormat="1" ht="15" x14ac:dyDescent="0.25">
      <c r="A1835" s="18" t="s">
        <v>1475</v>
      </c>
      <c r="B1835" s="19" t="s">
        <v>1476</v>
      </c>
      <c r="C1835" s="20"/>
    </row>
    <row r="1836" spans="1:3" s="15" customFormat="1" ht="15" x14ac:dyDescent="0.25">
      <c r="A1836" s="18" t="s">
        <v>1477</v>
      </c>
      <c r="B1836" s="19" t="s">
        <v>1478</v>
      </c>
      <c r="C1836" s="20"/>
    </row>
    <row r="1837" spans="1:3" s="15" customFormat="1" ht="15" x14ac:dyDescent="0.25">
      <c r="A1837" s="18" t="s">
        <v>1479</v>
      </c>
      <c r="B1837" s="19" t="s">
        <v>1480</v>
      </c>
      <c r="C1837" s="20">
        <v>32304</v>
      </c>
    </row>
    <row r="1838" spans="1:3" ht="15" x14ac:dyDescent="0.25">
      <c r="A1838" s="2">
        <v>190107</v>
      </c>
      <c r="B1838" s="3" t="s">
        <v>367</v>
      </c>
      <c r="C1838" s="20">
        <f t="shared" ref="C1838" si="45">SUM(C1839:C1841)</f>
        <v>5637.5</v>
      </c>
    </row>
    <row r="1839" spans="1:3" s="15" customFormat="1" ht="15" x14ac:dyDescent="0.25">
      <c r="A1839" s="18" t="s">
        <v>1481</v>
      </c>
      <c r="B1839" s="19" t="s">
        <v>1482</v>
      </c>
      <c r="C1839" s="20"/>
    </row>
    <row r="1840" spans="1:3" s="15" customFormat="1" ht="15" x14ac:dyDescent="0.25">
      <c r="A1840" s="18" t="s">
        <v>1483</v>
      </c>
      <c r="B1840" s="19" t="s">
        <v>1484</v>
      </c>
      <c r="C1840" s="20"/>
    </row>
    <row r="1841" spans="1:3" s="15" customFormat="1" ht="15" x14ac:dyDescent="0.25">
      <c r="A1841" s="18" t="s">
        <v>1485</v>
      </c>
      <c r="B1841" s="19" t="s">
        <v>1486</v>
      </c>
      <c r="C1841" s="20">
        <v>5637.5</v>
      </c>
    </row>
    <row r="1842" spans="1:3" ht="15" x14ac:dyDescent="0.25">
      <c r="A1842" s="2">
        <v>190118</v>
      </c>
      <c r="B1842" s="3" t="s">
        <v>368</v>
      </c>
      <c r="C1842" s="9"/>
    </row>
    <row r="1843" spans="1:3" ht="15" x14ac:dyDescent="0.25">
      <c r="A1843" s="2">
        <v>190119</v>
      </c>
      <c r="B1843" s="3" t="s">
        <v>369</v>
      </c>
      <c r="C1843" s="9"/>
    </row>
    <row r="1844" spans="1:3" ht="15" x14ac:dyDescent="0.25">
      <c r="A1844" s="2">
        <v>1902</v>
      </c>
      <c r="B1844" s="3" t="s">
        <v>370</v>
      </c>
      <c r="C1844" s="9"/>
    </row>
    <row r="1845" spans="1:3" ht="15" x14ac:dyDescent="0.25">
      <c r="A1845" s="2">
        <v>190202</v>
      </c>
      <c r="B1845" s="3" t="s">
        <v>371</v>
      </c>
      <c r="C1845" s="9"/>
    </row>
    <row r="1846" spans="1:3" ht="30" x14ac:dyDescent="0.25">
      <c r="A1846" s="2">
        <v>190203</v>
      </c>
      <c r="B1846" s="4" t="s">
        <v>372</v>
      </c>
      <c r="C1846" s="11"/>
    </row>
    <row r="1847" spans="1:3" ht="15" x14ac:dyDescent="0.25">
      <c r="A1847" s="2">
        <v>190204</v>
      </c>
      <c r="B1847" s="3" t="s">
        <v>373</v>
      </c>
      <c r="C1847" s="9"/>
    </row>
    <row r="1848" spans="1:3" ht="15" x14ac:dyDescent="0.25">
      <c r="A1848" s="2">
        <v>190205</v>
      </c>
      <c r="B1848" s="3" t="s">
        <v>374</v>
      </c>
      <c r="C1848" s="9"/>
    </row>
    <row r="1849" spans="1:3" ht="15" x14ac:dyDescent="0.25">
      <c r="A1849" s="2">
        <v>190206</v>
      </c>
      <c r="B1849" s="3" t="s">
        <v>375</v>
      </c>
      <c r="C1849" s="9"/>
    </row>
    <row r="1850" spans="1:3" ht="15" x14ac:dyDescent="0.25">
      <c r="A1850" s="2">
        <v>190207</v>
      </c>
      <c r="B1850" s="3" t="s">
        <v>376</v>
      </c>
      <c r="C1850" s="9"/>
    </row>
    <row r="1851" spans="1:3" ht="15" x14ac:dyDescent="0.25">
      <c r="A1851" s="2">
        <v>1903</v>
      </c>
      <c r="B1851" s="3" t="s">
        <v>377</v>
      </c>
      <c r="C1851" s="20">
        <f t="shared" ref="C1851" si="46">+C1852</f>
        <v>71689</v>
      </c>
    </row>
    <row r="1852" spans="1:3" ht="15" x14ac:dyDescent="0.25">
      <c r="A1852" s="2">
        <v>190302</v>
      </c>
      <c r="B1852" s="3" t="s">
        <v>378</v>
      </c>
      <c r="C1852" s="20">
        <f t="shared" ref="C1852" si="47">+C1855+C1856</f>
        <v>71689</v>
      </c>
    </row>
    <row r="1853" spans="1:3" ht="30" x14ac:dyDescent="0.25">
      <c r="A1853" s="2">
        <v>19030201</v>
      </c>
      <c r="B1853" s="4" t="s">
        <v>379</v>
      </c>
      <c r="C1853" s="11"/>
    </row>
    <row r="1854" spans="1:3" ht="30" x14ac:dyDescent="0.25">
      <c r="A1854" s="2">
        <v>19030202</v>
      </c>
      <c r="B1854" s="4" t="s">
        <v>380</v>
      </c>
      <c r="C1854" s="11"/>
    </row>
    <row r="1855" spans="1:3" s="15" customFormat="1" ht="15" x14ac:dyDescent="0.25">
      <c r="A1855" s="18" t="s">
        <v>1487</v>
      </c>
      <c r="B1855" s="19" t="s">
        <v>1488</v>
      </c>
      <c r="C1855" s="20">
        <v>10214</v>
      </c>
    </row>
    <row r="1856" spans="1:3" s="15" customFormat="1" ht="15" x14ac:dyDescent="0.25">
      <c r="A1856" s="18" t="s">
        <v>1489</v>
      </c>
      <c r="B1856" s="19" t="s">
        <v>1490</v>
      </c>
      <c r="C1856" s="20">
        <v>61475</v>
      </c>
    </row>
    <row r="1857" spans="1:3" ht="15" x14ac:dyDescent="0.25">
      <c r="A1857" s="2">
        <v>1904</v>
      </c>
      <c r="B1857" s="3" t="s">
        <v>381</v>
      </c>
      <c r="C1857" s="24">
        <f t="shared" ref="C1857" si="48">+C1858+C1863</f>
        <v>25482.689999999995</v>
      </c>
    </row>
    <row r="1858" spans="1:3" ht="15" x14ac:dyDescent="0.25">
      <c r="A1858" s="2">
        <v>190403</v>
      </c>
      <c r="B1858" s="3" t="s">
        <v>382</v>
      </c>
      <c r="C1858" s="20">
        <f t="shared" ref="C1858" si="49">+C1859</f>
        <v>41267.519999999997</v>
      </c>
    </row>
    <row r="1859" spans="1:3" s="15" customFormat="1" ht="15" x14ac:dyDescent="0.25">
      <c r="A1859" s="18" t="s">
        <v>1491</v>
      </c>
      <c r="B1859" s="19" t="s">
        <v>1492</v>
      </c>
      <c r="C1859" s="20">
        <v>41267.519999999997</v>
      </c>
    </row>
    <row r="1860" spans="1:3" ht="15" x14ac:dyDescent="0.25">
      <c r="A1860" s="2">
        <v>190407</v>
      </c>
      <c r="B1860" s="3" t="s">
        <v>383</v>
      </c>
      <c r="C1860" s="9"/>
    </row>
    <row r="1861" spans="1:3" ht="15" x14ac:dyDescent="0.25">
      <c r="A1861" s="2">
        <v>190408</v>
      </c>
      <c r="B1861" s="3" t="s">
        <v>384</v>
      </c>
      <c r="C1861" s="9"/>
    </row>
    <row r="1862" spans="1:3" ht="15" x14ac:dyDescent="0.25">
      <c r="A1862" s="2">
        <v>190409</v>
      </c>
      <c r="B1862" s="3" t="s">
        <v>385</v>
      </c>
      <c r="C1862" s="9"/>
    </row>
    <row r="1863" spans="1:3" s="15" customFormat="1" ht="15" x14ac:dyDescent="0.25">
      <c r="A1863" s="18" t="s">
        <v>1493</v>
      </c>
      <c r="B1863" s="19" t="s">
        <v>1494</v>
      </c>
      <c r="C1863" s="20">
        <v>-15784.83</v>
      </c>
    </row>
    <row r="1864" spans="1:3" ht="15" x14ac:dyDescent="0.25">
      <c r="A1864" s="2">
        <v>19040907</v>
      </c>
      <c r="B1864" s="3" t="s">
        <v>386</v>
      </c>
      <c r="C1864" s="9"/>
    </row>
    <row r="1865" spans="1:3" ht="15" x14ac:dyDescent="0.25">
      <c r="A1865" s="2">
        <v>19040908</v>
      </c>
      <c r="B1865" s="3" t="s">
        <v>387</v>
      </c>
      <c r="C1865" s="9"/>
    </row>
    <row r="1866" spans="1:3" ht="15" x14ac:dyDescent="0.25">
      <c r="A1866" s="2">
        <v>1906</v>
      </c>
      <c r="B1866" s="3" t="s">
        <v>388</v>
      </c>
      <c r="C1866" s="9"/>
    </row>
    <row r="1867" spans="1:3" ht="15" x14ac:dyDescent="0.25">
      <c r="A1867" s="2">
        <v>190601</v>
      </c>
      <c r="B1867" s="3" t="s">
        <v>389</v>
      </c>
      <c r="C1867" s="9"/>
    </row>
    <row r="1868" spans="1:3" ht="15" x14ac:dyDescent="0.25">
      <c r="A1868" s="2">
        <v>190602</v>
      </c>
      <c r="B1868" s="3" t="s">
        <v>390</v>
      </c>
      <c r="C1868" s="9"/>
    </row>
    <row r="1869" spans="1:3" ht="15" x14ac:dyDescent="0.25">
      <c r="A1869" s="2">
        <v>190609</v>
      </c>
      <c r="B1869" s="3" t="s">
        <v>59</v>
      </c>
      <c r="C1869" s="9"/>
    </row>
    <row r="1870" spans="1:3" ht="15" x14ac:dyDescent="0.25">
      <c r="A1870" s="2">
        <v>1907</v>
      </c>
      <c r="B1870" s="3" t="s">
        <v>391</v>
      </c>
      <c r="C1870" s="20">
        <f t="shared" ref="C1870" si="50">+C1876</f>
        <v>106703.56</v>
      </c>
    </row>
    <row r="1871" spans="1:3" ht="15" x14ac:dyDescent="0.25">
      <c r="A1871" s="2">
        <v>190701</v>
      </c>
      <c r="B1871" s="3" t="s">
        <v>392</v>
      </c>
      <c r="C1871" s="9"/>
    </row>
    <row r="1872" spans="1:3" ht="15" x14ac:dyDescent="0.25">
      <c r="A1872" s="2">
        <v>190702</v>
      </c>
      <c r="B1872" s="3" t="s">
        <v>393</v>
      </c>
      <c r="C1872" s="9"/>
    </row>
    <row r="1873" spans="1:3" ht="15" x14ac:dyDescent="0.25">
      <c r="A1873" s="2">
        <v>190703</v>
      </c>
      <c r="B1873" s="3" t="s">
        <v>394</v>
      </c>
      <c r="C1873" s="9"/>
    </row>
    <row r="1874" spans="1:3" ht="15" x14ac:dyDescent="0.25">
      <c r="A1874" s="2">
        <v>190704</v>
      </c>
      <c r="B1874" s="3" t="s">
        <v>395</v>
      </c>
      <c r="C1874" s="9"/>
    </row>
    <row r="1875" spans="1:3" ht="15" x14ac:dyDescent="0.25">
      <c r="A1875" s="2">
        <v>190706</v>
      </c>
      <c r="B1875" s="3" t="s">
        <v>396</v>
      </c>
      <c r="C1875" s="9"/>
    </row>
    <row r="1876" spans="1:3" ht="15" x14ac:dyDescent="0.25">
      <c r="A1876" s="2">
        <v>190709</v>
      </c>
      <c r="B1876" s="3" t="s">
        <v>59</v>
      </c>
      <c r="C1876" s="20">
        <f t="shared" ref="C1876" si="51">SUM(C1877:C1884)</f>
        <v>106703.56</v>
      </c>
    </row>
    <row r="1877" spans="1:3" s="15" customFormat="1" ht="15" x14ac:dyDescent="0.25">
      <c r="A1877" s="18" t="s">
        <v>1495</v>
      </c>
      <c r="B1877" s="19" t="s">
        <v>1482</v>
      </c>
      <c r="C1877" s="20">
        <v>29773.52</v>
      </c>
    </row>
    <row r="1878" spans="1:3" s="15" customFormat="1" ht="15" x14ac:dyDescent="0.25">
      <c r="A1878" s="18" t="s">
        <v>1496</v>
      </c>
      <c r="B1878" s="19" t="s">
        <v>1497</v>
      </c>
      <c r="C1878" s="20"/>
    </row>
    <row r="1879" spans="1:3" s="15" customFormat="1" ht="15" x14ac:dyDescent="0.25">
      <c r="A1879" s="18" t="s">
        <v>1498</v>
      </c>
      <c r="B1879" s="19" t="s">
        <v>1499</v>
      </c>
      <c r="C1879" s="20">
        <v>21171.09</v>
      </c>
    </row>
    <row r="1880" spans="1:3" s="15" customFormat="1" ht="15" x14ac:dyDescent="0.25">
      <c r="A1880" s="18" t="s">
        <v>1500</v>
      </c>
      <c r="B1880" s="19" t="s">
        <v>1501</v>
      </c>
      <c r="C1880" s="20">
        <v>15197.95</v>
      </c>
    </row>
    <row r="1881" spans="1:3" s="15" customFormat="1" ht="15" x14ac:dyDescent="0.25">
      <c r="A1881" s="18" t="s">
        <v>1502</v>
      </c>
      <c r="B1881" s="19" t="s">
        <v>1503</v>
      </c>
      <c r="C1881" s="20">
        <v>34401.5</v>
      </c>
    </row>
    <row r="1882" spans="1:3" s="15" customFormat="1" ht="15" x14ac:dyDescent="0.25">
      <c r="A1882" s="18" t="s">
        <v>1504</v>
      </c>
      <c r="B1882" s="19" t="s">
        <v>1484</v>
      </c>
      <c r="C1882" s="20"/>
    </row>
    <row r="1883" spans="1:3" s="15" customFormat="1" ht="15" x14ac:dyDescent="0.25">
      <c r="A1883" s="18" t="s">
        <v>1505</v>
      </c>
      <c r="B1883" s="19" t="s">
        <v>1486</v>
      </c>
      <c r="C1883" s="20">
        <v>6159.5</v>
      </c>
    </row>
    <row r="1884" spans="1:3" s="15" customFormat="1" ht="15" x14ac:dyDescent="0.25">
      <c r="A1884" s="18" t="s">
        <v>1506</v>
      </c>
      <c r="B1884" s="19" t="s">
        <v>1507</v>
      </c>
      <c r="C1884" s="20"/>
    </row>
    <row r="1885" spans="1:3" ht="15" x14ac:dyDescent="0.25">
      <c r="A1885" s="2">
        <v>1908</v>
      </c>
      <c r="B1885" s="3" t="s">
        <v>397</v>
      </c>
      <c r="C1885" s="20">
        <f t="shared" ref="C1885" si="52">+C1892+C1894+C1895+C1897+C1898+C1899+C1900+C1901</f>
        <v>20000</v>
      </c>
    </row>
    <row r="1886" spans="1:3" ht="15" x14ac:dyDescent="0.25">
      <c r="A1886" s="2">
        <v>190801</v>
      </c>
      <c r="B1886" s="3" t="s">
        <v>398</v>
      </c>
      <c r="C1886" s="9"/>
    </row>
    <row r="1887" spans="1:3" s="15" customFormat="1" ht="15" x14ac:dyDescent="0.25">
      <c r="A1887" s="18" t="s">
        <v>1508</v>
      </c>
      <c r="B1887" s="19" t="s">
        <v>1509</v>
      </c>
      <c r="C1887" s="20"/>
    </row>
    <row r="1888" spans="1:3" ht="15" x14ac:dyDescent="0.25">
      <c r="A1888" s="2">
        <v>190802</v>
      </c>
      <c r="B1888" s="3" t="s">
        <v>399</v>
      </c>
      <c r="C1888" s="9"/>
    </row>
    <row r="1889" spans="1:3" ht="15" x14ac:dyDescent="0.25">
      <c r="A1889" s="2">
        <v>190803</v>
      </c>
      <c r="B1889" s="3" t="s">
        <v>400</v>
      </c>
      <c r="C1889" s="9"/>
    </row>
    <row r="1890" spans="1:3" ht="15" x14ac:dyDescent="0.25">
      <c r="A1890" s="2">
        <v>190804</v>
      </c>
      <c r="B1890" s="3" t="s">
        <v>401</v>
      </c>
      <c r="C1890" s="9"/>
    </row>
    <row r="1891" spans="1:3" ht="15" x14ac:dyDescent="0.25">
      <c r="A1891" s="2">
        <v>190805</v>
      </c>
      <c r="B1891" s="3" t="s">
        <v>402</v>
      </c>
      <c r="C1891" s="9"/>
    </row>
    <row r="1892" spans="1:3" s="15" customFormat="1" ht="15" x14ac:dyDescent="0.25">
      <c r="A1892" s="18" t="s">
        <v>1510</v>
      </c>
      <c r="B1892" s="19" t="s">
        <v>1511</v>
      </c>
      <c r="C1892" s="20"/>
    </row>
    <row r="1893" spans="1:3" ht="15" x14ac:dyDescent="0.25">
      <c r="A1893" s="2">
        <v>190806</v>
      </c>
      <c r="B1893" s="3" t="s">
        <v>403</v>
      </c>
      <c r="C1893" s="9"/>
    </row>
    <row r="1894" spans="1:3" s="15" customFormat="1" ht="15" x14ac:dyDescent="0.25">
      <c r="A1894" s="18" t="s">
        <v>1512</v>
      </c>
      <c r="B1894" s="19" t="s">
        <v>1513</v>
      </c>
      <c r="C1894" s="20"/>
    </row>
    <row r="1895" spans="1:3" s="15" customFormat="1" ht="15" x14ac:dyDescent="0.25">
      <c r="A1895" s="18" t="s">
        <v>1514</v>
      </c>
      <c r="B1895" s="19" t="s">
        <v>1515</v>
      </c>
      <c r="C1895" s="20"/>
    </row>
    <row r="1896" spans="1:3" ht="15" x14ac:dyDescent="0.25">
      <c r="A1896" s="2">
        <v>190807</v>
      </c>
      <c r="B1896" s="3" t="s">
        <v>404</v>
      </c>
      <c r="C1896" s="9"/>
    </row>
    <row r="1897" spans="1:3" s="15" customFormat="1" ht="15" x14ac:dyDescent="0.25">
      <c r="A1897" s="18" t="s">
        <v>1516</v>
      </c>
      <c r="B1897" s="19" t="s">
        <v>1517</v>
      </c>
      <c r="C1897" s="20">
        <v>0</v>
      </c>
    </row>
    <row r="1898" spans="1:3" s="15" customFormat="1" ht="15" x14ac:dyDescent="0.25">
      <c r="A1898" s="18" t="s">
        <v>1518</v>
      </c>
      <c r="B1898" s="19" t="s">
        <v>1519</v>
      </c>
      <c r="C1898" s="20"/>
    </row>
    <row r="1899" spans="1:3" s="15" customFormat="1" ht="15" x14ac:dyDescent="0.25">
      <c r="A1899" s="18" t="s">
        <v>1520</v>
      </c>
      <c r="B1899" s="19" t="s">
        <v>1521</v>
      </c>
      <c r="C1899" s="20"/>
    </row>
    <row r="1900" spans="1:3" s="15" customFormat="1" ht="15" x14ac:dyDescent="0.25">
      <c r="A1900" s="18" t="s">
        <v>1522</v>
      </c>
      <c r="B1900" s="19" t="s">
        <v>1523</v>
      </c>
      <c r="C1900" s="20"/>
    </row>
    <row r="1901" spans="1:3" s="15" customFormat="1" ht="15" x14ac:dyDescent="0.25">
      <c r="A1901" s="18" t="s">
        <v>1524</v>
      </c>
      <c r="B1901" s="19" t="s">
        <v>1525</v>
      </c>
      <c r="C1901" s="20">
        <v>20000</v>
      </c>
    </row>
    <row r="1902" spans="1:3" ht="15" x14ac:dyDescent="0.25">
      <c r="A1902" s="2">
        <v>190809</v>
      </c>
      <c r="B1902" s="3" t="s">
        <v>266</v>
      </c>
      <c r="C1902" s="9"/>
    </row>
    <row r="1903" spans="1:3" ht="15" x14ac:dyDescent="0.25">
      <c r="A1903" s="2">
        <v>1909</v>
      </c>
      <c r="B1903" s="3" t="s">
        <v>405</v>
      </c>
      <c r="C1903" s="20">
        <f t="shared" ref="C1903" si="53">SUM(C1905:C1915)</f>
        <v>1.7962520360015333E-11</v>
      </c>
    </row>
    <row r="1904" spans="1:3" ht="15" x14ac:dyDescent="0.25">
      <c r="A1904" s="2">
        <v>190901</v>
      </c>
      <c r="B1904" s="3" t="s">
        <v>406</v>
      </c>
      <c r="C1904" s="9"/>
    </row>
    <row r="1905" spans="1:3" s="15" customFormat="1" ht="15" x14ac:dyDescent="0.25">
      <c r="A1905" s="18" t="s">
        <v>1526</v>
      </c>
      <c r="B1905" s="19" t="s">
        <v>1527</v>
      </c>
      <c r="C1905" s="20">
        <v>-258932.13</v>
      </c>
    </row>
    <row r="1906" spans="1:3" s="15" customFormat="1" ht="15" x14ac:dyDescent="0.25">
      <c r="A1906" s="18" t="s">
        <v>1528</v>
      </c>
      <c r="B1906" s="19" t="s">
        <v>1529</v>
      </c>
      <c r="C1906" s="20">
        <v>137307.04</v>
      </c>
    </row>
    <row r="1907" spans="1:3" s="15" customFormat="1" ht="15" x14ac:dyDescent="0.25">
      <c r="A1907" s="18" t="s">
        <v>1530</v>
      </c>
      <c r="B1907" s="19" t="s">
        <v>1531</v>
      </c>
      <c r="C1907" s="20">
        <v>142481.45000000001</v>
      </c>
    </row>
    <row r="1908" spans="1:3" s="15" customFormat="1" ht="15" x14ac:dyDescent="0.25">
      <c r="A1908" s="18" t="s">
        <v>1532</v>
      </c>
      <c r="B1908" s="19" t="s">
        <v>1533</v>
      </c>
      <c r="C1908" s="20">
        <v>-87581.08</v>
      </c>
    </row>
    <row r="1909" spans="1:3" s="15" customFormat="1" ht="15" x14ac:dyDescent="0.25">
      <c r="A1909" s="18" t="s">
        <v>1534</v>
      </c>
      <c r="B1909" s="19" t="s">
        <v>1535</v>
      </c>
      <c r="C1909" s="20">
        <v>74597.13</v>
      </c>
    </row>
    <row r="1910" spans="1:3" s="15" customFormat="1" ht="15" x14ac:dyDescent="0.25">
      <c r="A1910" s="18" t="s">
        <v>1536</v>
      </c>
      <c r="B1910" s="19" t="s">
        <v>1537</v>
      </c>
      <c r="C1910" s="20">
        <v>-8456</v>
      </c>
    </row>
    <row r="1911" spans="1:3" s="15" customFormat="1" ht="15" x14ac:dyDescent="0.25">
      <c r="A1911" s="18" t="s">
        <v>1538</v>
      </c>
      <c r="B1911" s="19" t="s">
        <v>1539</v>
      </c>
      <c r="C1911" s="20">
        <v>1300.08</v>
      </c>
    </row>
    <row r="1912" spans="1:3" s="15" customFormat="1" ht="15" x14ac:dyDescent="0.25">
      <c r="A1912" s="18" t="s">
        <v>1540</v>
      </c>
      <c r="B1912" s="19" t="s">
        <v>1541</v>
      </c>
      <c r="C1912" s="20">
        <v>-716.49</v>
      </c>
    </row>
    <row r="1913" spans="1:3" s="15" customFormat="1" ht="15" x14ac:dyDescent="0.25">
      <c r="A1913" s="18" t="s">
        <v>1542</v>
      </c>
      <c r="B1913" s="19" t="s">
        <v>1543</v>
      </c>
      <c r="C1913" s="20"/>
    </row>
    <row r="1914" spans="1:3" s="15" customFormat="1" ht="15" x14ac:dyDescent="0.25">
      <c r="A1914" s="18" t="s">
        <v>1544</v>
      </c>
      <c r="B1914" s="19" t="s">
        <v>1545</v>
      </c>
      <c r="C1914" s="20"/>
    </row>
    <row r="1915" spans="1:3" s="15" customFormat="1" ht="15" x14ac:dyDescent="0.25">
      <c r="A1915" s="18" t="s">
        <v>1546</v>
      </c>
      <c r="B1915" s="19" t="s">
        <v>1547</v>
      </c>
      <c r="C1915" s="20"/>
    </row>
    <row r="1916" spans="1:3" ht="15" x14ac:dyDescent="0.25">
      <c r="A1916" s="2">
        <v>190902</v>
      </c>
      <c r="B1916" s="3" t="s">
        <v>407</v>
      </c>
      <c r="C1916" s="9"/>
    </row>
    <row r="1917" spans="1:3" ht="15" x14ac:dyDescent="0.25">
      <c r="A1917" s="25">
        <v>2</v>
      </c>
      <c r="B1917" s="26" t="s">
        <v>408</v>
      </c>
      <c r="C1917" s="27">
        <f t="shared" ref="C1917" si="54">+C1918+C2075+C2208+C2269</f>
        <v>-95576486.409999996</v>
      </c>
    </row>
    <row r="1918" spans="1:3" ht="15" x14ac:dyDescent="0.25">
      <c r="A1918" s="2">
        <v>21</v>
      </c>
      <c r="B1918" s="3" t="s">
        <v>409</v>
      </c>
      <c r="C1918" s="20">
        <f t="shared" ref="C1918" si="55">+C1952+C1959+C2000</f>
        <v>-74716670.909999996</v>
      </c>
    </row>
    <row r="1919" spans="1:3" ht="13.8" x14ac:dyDescent="0.25">
      <c r="A1919" s="5">
        <v>2101</v>
      </c>
      <c r="B1919" s="6" t="s">
        <v>410</v>
      </c>
      <c r="C1919" s="12"/>
    </row>
    <row r="1920" spans="1:3" ht="13.8" x14ac:dyDescent="0.25">
      <c r="A1920" s="5">
        <v>210101</v>
      </c>
      <c r="B1920" s="6" t="s">
        <v>411</v>
      </c>
      <c r="C1920" s="12"/>
    </row>
    <row r="1921" spans="1:3" ht="13.8" x14ac:dyDescent="0.25">
      <c r="A1921" s="5">
        <v>210102</v>
      </c>
      <c r="B1921" s="6" t="s">
        <v>412</v>
      </c>
      <c r="C1921" s="12"/>
    </row>
    <row r="1922" spans="1:3" ht="13.8" x14ac:dyDescent="0.25">
      <c r="A1922" s="5">
        <v>210103</v>
      </c>
      <c r="B1922" s="6" t="s">
        <v>413</v>
      </c>
      <c r="C1922" s="12"/>
    </row>
    <row r="1923" spans="1:3" ht="13.8" x14ac:dyDescent="0.25">
      <c r="A1923" s="5">
        <v>210104</v>
      </c>
      <c r="B1923" s="6" t="s">
        <v>414</v>
      </c>
      <c r="C1923" s="12"/>
    </row>
    <row r="1924" spans="1:3" ht="13.8" x14ac:dyDescent="0.25">
      <c r="A1924" s="5">
        <v>210105</v>
      </c>
      <c r="B1924" s="6" t="s">
        <v>415</v>
      </c>
      <c r="C1924" s="12"/>
    </row>
    <row r="1925" spans="1:3" ht="13.8" x14ac:dyDescent="0.25">
      <c r="A1925" s="5">
        <v>210106</v>
      </c>
      <c r="B1925" s="6" t="s">
        <v>416</v>
      </c>
      <c r="C1925" s="12"/>
    </row>
    <row r="1926" spans="1:3" ht="13.8" x14ac:dyDescent="0.25">
      <c r="A1926" s="5">
        <v>210107</v>
      </c>
      <c r="B1926" s="6" t="s">
        <v>417</v>
      </c>
      <c r="C1926" s="12"/>
    </row>
    <row r="1927" spans="1:3" ht="13.8" x14ac:dyDescent="0.25">
      <c r="A1927" s="5">
        <v>21010701</v>
      </c>
      <c r="B1927" s="6" t="s">
        <v>418</v>
      </c>
      <c r="C1927" s="12"/>
    </row>
    <row r="1928" spans="1:3" ht="13.8" x14ac:dyDescent="0.25">
      <c r="A1928" s="5">
        <v>21010702</v>
      </c>
      <c r="B1928" s="6" t="s">
        <v>419</v>
      </c>
      <c r="C1928" s="12"/>
    </row>
    <row r="1929" spans="1:3" ht="13.8" x14ac:dyDescent="0.25">
      <c r="A1929" s="5">
        <v>210108</v>
      </c>
      <c r="B1929" s="6" t="s">
        <v>420</v>
      </c>
      <c r="C1929" s="12"/>
    </row>
    <row r="1930" spans="1:3" ht="13.8" x14ac:dyDescent="0.25">
      <c r="A1930" s="5">
        <v>21010801</v>
      </c>
      <c r="B1930" s="6" t="s">
        <v>421</v>
      </c>
      <c r="C1930" s="12"/>
    </row>
    <row r="1931" spans="1:3" ht="13.8" x14ac:dyDescent="0.25">
      <c r="A1931" s="5">
        <v>21010802</v>
      </c>
      <c r="B1931" s="6" t="s">
        <v>422</v>
      </c>
      <c r="C1931" s="12"/>
    </row>
    <row r="1932" spans="1:3" ht="13.8" x14ac:dyDescent="0.25">
      <c r="A1932" s="5">
        <v>210109</v>
      </c>
      <c r="B1932" s="6" t="s">
        <v>423</v>
      </c>
      <c r="C1932" s="12"/>
    </row>
    <row r="1933" spans="1:3" ht="13.8" x14ac:dyDescent="0.25">
      <c r="A1933" s="5">
        <v>21010901</v>
      </c>
      <c r="B1933" s="6" t="s">
        <v>424</v>
      </c>
      <c r="C1933" s="12"/>
    </row>
    <row r="1934" spans="1:3" ht="13.8" x14ac:dyDescent="0.25">
      <c r="A1934" s="5">
        <v>21010902</v>
      </c>
      <c r="B1934" s="6" t="s">
        <v>425</v>
      </c>
      <c r="C1934" s="12"/>
    </row>
    <row r="1935" spans="1:3" ht="27.6" x14ac:dyDescent="0.25">
      <c r="A1935" s="5">
        <v>2101090201</v>
      </c>
      <c r="B1935" s="4" t="s">
        <v>426</v>
      </c>
      <c r="C1935" s="11"/>
    </row>
    <row r="1936" spans="1:3" ht="13.8" x14ac:dyDescent="0.25">
      <c r="A1936" s="5">
        <v>2101090202</v>
      </c>
      <c r="B1936" s="6" t="s">
        <v>427</v>
      </c>
      <c r="C1936" s="12"/>
    </row>
    <row r="1937" spans="1:3" ht="13.8" x14ac:dyDescent="0.25">
      <c r="A1937" s="5">
        <v>21010909</v>
      </c>
      <c r="B1937" s="6" t="s">
        <v>428</v>
      </c>
      <c r="C1937" s="12"/>
    </row>
    <row r="1938" spans="1:3" ht="13.8" x14ac:dyDescent="0.25">
      <c r="A1938" s="5">
        <v>2101090901</v>
      </c>
      <c r="B1938" s="6" t="s">
        <v>429</v>
      </c>
      <c r="C1938" s="12"/>
    </row>
    <row r="1939" spans="1:3" ht="13.8" x14ac:dyDescent="0.25">
      <c r="A1939" s="5">
        <v>2101090902</v>
      </c>
      <c r="B1939" s="6" t="s">
        <v>430</v>
      </c>
      <c r="C1939" s="12"/>
    </row>
    <row r="1940" spans="1:3" ht="13.8" x14ac:dyDescent="0.25">
      <c r="A1940" s="5">
        <v>210110</v>
      </c>
      <c r="B1940" s="6" t="s">
        <v>431</v>
      </c>
      <c r="C1940" s="12"/>
    </row>
    <row r="1941" spans="1:3" ht="13.8" x14ac:dyDescent="0.25">
      <c r="A1941" s="5">
        <v>210111</v>
      </c>
      <c r="B1941" s="6" t="s">
        <v>432</v>
      </c>
      <c r="C1941" s="12"/>
    </row>
    <row r="1942" spans="1:3" ht="13.8" x14ac:dyDescent="0.25">
      <c r="A1942" s="5">
        <v>210112</v>
      </c>
      <c r="B1942" s="6" t="s">
        <v>433</v>
      </c>
      <c r="C1942" s="12"/>
    </row>
    <row r="1943" spans="1:3" ht="13.8" x14ac:dyDescent="0.25">
      <c r="A1943" s="5">
        <v>21011201</v>
      </c>
      <c r="B1943" s="6" t="s">
        <v>434</v>
      </c>
      <c r="C1943" s="12"/>
    </row>
    <row r="1944" spans="1:3" ht="13.8" x14ac:dyDescent="0.25">
      <c r="A1944" s="5">
        <v>21011202</v>
      </c>
      <c r="B1944" s="6" t="s">
        <v>430</v>
      </c>
      <c r="C1944" s="12"/>
    </row>
    <row r="1945" spans="1:3" ht="13.8" x14ac:dyDescent="0.25">
      <c r="A1945" s="5">
        <v>210113</v>
      </c>
      <c r="B1945" s="6" t="s">
        <v>435</v>
      </c>
      <c r="C1945" s="12"/>
    </row>
    <row r="1946" spans="1:3" ht="13.8" x14ac:dyDescent="0.25">
      <c r="A1946" s="5">
        <v>21011301</v>
      </c>
      <c r="B1946" s="6" t="s">
        <v>434</v>
      </c>
      <c r="C1946" s="12"/>
    </row>
    <row r="1947" spans="1:3" ht="13.8" x14ac:dyDescent="0.25">
      <c r="A1947" s="5">
        <v>21011302</v>
      </c>
      <c r="B1947" s="6" t="s">
        <v>430</v>
      </c>
      <c r="C1947" s="12"/>
    </row>
    <row r="1948" spans="1:3" ht="13.8" x14ac:dyDescent="0.25">
      <c r="A1948" s="5">
        <v>210114</v>
      </c>
      <c r="B1948" s="6" t="s">
        <v>436</v>
      </c>
      <c r="C1948" s="12"/>
    </row>
    <row r="1949" spans="1:3" ht="13.8" x14ac:dyDescent="0.25">
      <c r="A1949" s="5">
        <v>210115</v>
      </c>
      <c r="B1949" s="6" t="s">
        <v>437</v>
      </c>
      <c r="C1949" s="12"/>
    </row>
    <row r="1950" spans="1:3" ht="13.8" x14ac:dyDescent="0.25">
      <c r="A1950" s="5">
        <v>210116</v>
      </c>
      <c r="B1950" s="6" t="s">
        <v>438</v>
      </c>
      <c r="C1950" s="12"/>
    </row>
    <row r="1951" spans="1:3" ht="13.8" x14ac:dyDescent="0.25">
      <c r="A1951" s="5">
        <v>210119</v>
      </c>
      <c r="B1951" s="6" t="s">
        <v>439</v>
      </c>
      <c r="C1951" s="12"/>
    </row>
    <row r="1952" spans="1:3" ht="15" x14ac:dyDescent="0.25">
      <c r="A1952" s="2">
        <v>2102</v>
      </c>
      <c r="B1952" s="3" t="s">
        <v>440</v>
      </c>
      <c r="C1952" s="20">
        <f t="shared" ref="C1952" si="56">+C1954+C1957</f>
        <v>-10554119</v>
      </c>
    </row>
    <row r="1953" spans="1:3" ht="15" x14ac:dyDescent="0.25">
      <c r="A1953" s="2">
        <v>210201</v>
      </c>
      <c r="B1953" s="3" t="s">
        <v>441</v>
      </c>
      <c r="C1953" s="9"/>
    </row>
    <row r="1954" spans="1:3" s="15" customFormat="1" ht="15" x14ac:dyDescent="0.25">
      <c r="A1954" s="18" t="s">
        <v>1548</v>
      </c>
      <c r="B1954" s="19" t="s">
        <v>1549</v>
      </c>
      <c r="C1954" s="20">
        <v>-10553449.08</v>
      </c>
    </row>
    <row r="1955" spans="1:3" ht="15" x14ac:dyDescent="0.25">
      <c r="A1955" s="2">
        <v>21020102</v>
      </c>
      <c r="B1955" s="3" t="s">
        <v>443</v>
      </c>
      <c r="C1955" s="9"/>
    </row>
    <row r="1956" spans="1:3" ht="15" x14ac:dyDescent="0.25">
      <c r="A1956" s="2">
        <v>210202</v>
      </c>
      <c r="B1956" s="3" t="s">
        <v>444</v>
      </c>
      <c r="C1956" s="9"/>
    </row>
    <row r="1957" spans="1:3" s="15" customFormat="1" ht="15" x14ac:dyDescent="0.25">
      <c r="A1957" s="18" t="s">
        <v>1550</v>
      </c>
      <c r="B1957" s="19" t="s">
        <v>1551</v>
      </c>
      <c r="C1957" s="20">
        <v>-669.92</v>
      </c>
    </row>
    <row r="1958" spans="1:3" ht="15" x14ac:dyDescent="0.25">
      <c r="A1958" s="2">
        <v>21020202</v>
      </c>
      <c r="B1958" s="3" t="s">
        <v>443</v>
      </c>
      <c r="C1958" s="9"/>
    </row>
    <row r="1959" spans="1:3" ht="15" x14ac:dyDescent="0.25">
      <c r="A1959" s="2">
        <v>2103</v>
      </c>
      <c r="B1959" s="3" t="s">
        <v>445</v>
      </c>
      <c r="C1959" s="20">
        <f t="shared" ref="C1959" si="57">+C1965+C1966+C1967+C1968+C1969</f>
        <v>-62303578.200000003</v>
      </c>
    </row>
    <row r="1960" spans="1:3" ht="15" x14ac:dyDescent="0.25">
      <c r="A1960" s="2">
        <v>210301</v>
      </c>
      <c r="B1960" s="3" t="s">
        <v>446</v>
      </c>
      <c r="C1960" s="9"/>
    </row>
    <row r="1961" spans="1:3" ht="15" x14ac:dyDescent="0.25">
      <c r="A1961" s="2">
        <v>21030102</v>
      </c>
      <c r="B1961" s="3" t="s">
        <v>447</v>
      </c>
      <c r="C1961" s="9"/>
    </row>
    <row r="1962" spans="1:3" ht="30" x14ac:dyDescent="0.25">
      <c r="A1962" s="2">
        <v>2103010201</v>
      </c>
      <c r="B1962" s="4" t="s">
        <v>448</v>
      </c>
      <c r="C1962" s="11"/>
    </row>
    <row r="1963" spans="1:3" ht="15" x14ac:dyDescent="0.25">
      <c r="A1963" s="2">
        <v>2103010202</v>
      </c>
      <c r="B1963" s="3" t="s">
        <v>449</v>
      </c>
      <c r="C1963" s="9"/>
    </row>
    <row r="1964" spans="1:3" ht="15" x14ac:dyDescent="0.25">
      <c r="A1964" s="2">
        <v>210303</v>
      </c>
      <c r="B1964" s="3" t="s">
        <v>450</v>
      </c>
      <c r="C1964" s="9"/>
    </row>
    <row r="1965" spans="1:3" s="15" customFormat="1" ht="15" x14ac:dyDescent="0.25">
      <c r="A1965" s="18" t="s">
        <v>1552</v>
      </c>
      <c r="B1965" s="19" t="s">
        <v>1553</v>
      </c>
      <c r="C1965" s="20"/>
    </row>
    <row r="1966" spans="1:3" s="15" customFormat="1" ht="15" x14ac:dyDescent="0.25">
      <c r="A1966" s="18" t="s">
        <v>1554</v>
      </c>
      <c r="B1966" s="19" t="s">
        <v>1555</v>
      </c>
      <c r="C1966" s="20">
        <v>-20332660.699999999</v>
      </c>
    </row>
    <row r="1967" spans="1:3" s="15" customFormat="1" ht="15" x14ac:dyDescent="0.25">
      <c r="A1967" s="18" t="s">
        <v>1556</v>
      </c>
      <c r="B1967" s="19" t="s">
        <v>1557</v>
      </c>
      <c r="C1967" s="20">
        <v>-15725297.130000001</v>
      </c>
    </row>
    <row r="1968" spans="1:3" s="15" customFormat="1" ht="15" x14ac:dyDescent="0.25">
      <c r="A1968" s="18" t="s">
        <v>1558</v>
      </c>
      <c r="B1968" s="19" t="s">
        <v>1559</v>
      </c>
      <c r="C1968" s="20">
        <v>-21312779.100000001</v>
      </c>
    </row>
    <row r="1969" spans="1:3" s="15" customFormat="1" ht="15" x14ac:dyDescent="0.25">
      <c r="A1969" s="18" t="s">
        <v>1560</v>
      </c>
      <c r="B1969" s="19" t="s">
        <v>1561</v>
      </c>
      <c r="C1969" s="20">
        <v>-4932841.2699999996</v>
      </c>
    </row>
    <row r="1970" spans="1:3" ht="15" x14ac:dyDescent="0.25">
      <c r="A1970" s="2">
        <v>21030302</v>
      </c>
      <c r="B1970" s="3" t="s">
        <v>443</v>
      </c>
      <c r="C1970" s="9"/>
    </row>
    <row r="1971" spans="1:3" ht="15" x14ac:dyDescent="0.25">
      <c r="A1971" s="2">
        <v>210305</v>
      </c>
      <c r="B1971" s="3" t="s">
        <v>451</v>
      </c>
      <c r="C1971" s="9"/>
    </row>
    <row r="1972" spans="1:3" ht="15" x14ac:dyDescent="0.25">
      <c r="A1972" s="2">
        <v>21030501</v>
      </c>
      <c r="B1972" s="3" t="s">
        <v>452</v>
      </c>
      <c r="C1972" s="9"/>
    </row>
    <row r="1973" spans="1:3" ht="15" x14ac:dyDescent="0.25">
      <c r="A1973" s="2">
        <v>21030502</v>
      </c>
      <c r="B1973" s="3" t="s">
        <v>453</v>
      </c>
      <c r="C1973" s="9"/>
    </row>
    <row r="1974" spans="1:3" ht="15" x14ac:dyDescent="0.25">
      <c r="A1974" s="2">
        <v>210309</v>
      </c>
      <c r="B1974" s="3" t="s">
        <v>454</v>
      </c>
      <c r="C1974" s="9"/>
    </row>
    <row r="1975" spans="1:3" ht="15" x14ac:dyDescent="0.25">
      <c r="A1975" s="2">
        <v>21030901</v>
      </c>
      <c r="B1975" s="3" t="s">
        <v>455</v>
      </c>
      <c r="C1975" s="9"/>
    </row>
    <row r="1976" spans="1:3" ht="15" x14ac:dyDescent="0.25">
      <c r="A1976" s="2">
        <v>21030902</v>
      </c>
      <c r="B1976" s="3" t="s">
        <v>443</v>
      </c>
      <c r="C1976" s="9"/>
    </row>
    <row r="1977" spans="1:3" ht="15" x14ac:dyDescent="0.25">
      <c r="A1977" s="2">
        <v>2107</v>
      </c>
      <c r="B1977" s="3" t="s">
        <v>456</v>
      </c>
      <c r="C1977" s="9"/>
    </row>
    <row r="1978" spans="1:3" ht="15" x14ac:dyDescent="0.25">
      <c r="A1978" s="2">
        <v>210701</v>
      </c>
      <c r="B1978" s="3" t="s">
        <v>457</v>
      </c>
      <c r="C1978" s="9"/>
    </row>
    <row r="1979" spans="1:3" ht="15" x14ac:dyDescent="0.25">
      <c r="A1979" s="2">
        <v>21070101</v>
      </c>
      <c r="B1979" s="3" t="s">
        <v>442</v>
      </c>
      <c r="C1979" s="9"/>
    </row>
    <row r="1980" spans="1:3" ht="15" x14ac:dyDescent="0.25">
      <c r="A1980" s="2">
        <v>21070102</v>
      </c>
      <c r="B1980" s="3" t="s">
        <v>443</v>
      </c>
      <c r="C1980" s="9"/>
    </row>
    <row r="1981" spans="1:3" ht="15" x14ac:dyDescent="0.25">
      <c r="A1981" s="2">
        <v>210702</v>
      </c>
      <c r="B1981" s="3" t="s">
        <v>458</v>
      </c>
      <c r="C1981" s="9"/>
    </row>
    <row r="1982" spans="1:3" ht="15" x14ac:dyDescent="0.25">
      <c r="A1982" s="2">
        <v>21070201</v>
      </c>
      <c r="B1982" s="3" t="s">
        <v>442</v>
      </c>
      <c r="C1982" s="9"/>
    </row>
    <row r="1983" spans="1:3" ht="15" x14ac:dyDescent="0.25">
      <c r="A1983" s="2">
        <v>21070202</v>
      </c>
      <c r="B1983" s="3" t="s">
        <v>443</v>
      </c>
      <c r="C1983" s="9"/>
    </row>
    <row r="1984" spans="1:3" ht="15" x14ac:dyDescent="0.25">
      <c r="A1984" s="2">
        <v>210703</v>
      </c>
      <c r="B1984" s="3" t="s">
        <v>459</v>
      </c>
      <c r="C1984" s="9"/>
    </row>
    <row r="1985" spans="1:3" ht="15" x14ac:dyDescent="0.25">
      <c r="A1985" s="2">
        <v>21070301</v>
      </c>
      <c r="B1985" s="3" t="s">
        <v>442</v>
      </c>
      <c r="C1985" s="9"/>
    </row>
    <row r="1986" spans="1:3" ht="15" x14ac:dyDescent="0.25">
      <c r="A1986" s="2">
        <v>21070302</v>
      </c>
      <c r="B1986" s="3" t="s">
        <v>443</v>
      </c>
      <c r="C1986" s="9"/>
    </row>
    <row r="1987" spans="1:3" ht="15" x14ac:dyDescent="0.25">
      <c r="A1987" s="2">
        <v>210704</v>
      </c>
      <c r="B1987" s="3" t="s">
        <v>460</v>
      </c>
      <c r="C1987" s="9"/>
    </row>
    <row r="1988" spans="1:3" ht="15" x14ac:dyDescent="0.25">
      <c r="A1988" s="2">
        <v>21070401</v>
      </c>
      <c r="B1988" s="3" t="s">
        <v>461</v>
      </c>
      <c r="C1988" s="9"/>
    </row>
    <row r="1989" spans="1:3" ht="15" x14ac:dyDescent="0.25">
      <c r="A1989" s="2">
        <v>2107040101</v>
      </c>
      <c r="B1989" s="3" t="s">
        <v>442</v>
      </c>
      <c r="C1989" s="9"/>
    </row>
    <row r="1990" spans="1:3" ht="15" x14ac:dyDescent="0.25">
      <c r="A1990" s="2">
        <v>2107040102</v>
      </c>
      <c r="B1990" s="3" t="s">
        <v>443</v>
      </c>
      <c r="C1990" s="9"/>
    </row>
    <row r="1991" spans="1:3" ht="15" x14ac:dyDescent="0.25">
      <c r="A1991" s="2">
        <v>21070402</v>
      </c>
      <c r="B1991" s="3" t="s">
        <v>462</v>
      </c>
      <c r="C1991" s="9"/>
    </row>
    <row r="1992" spans="1:3" ht="15" x14ac:dyDescent="0.25">
      <c r="A1992" s="2">
        <v>2107040201</v>
      </c>
      <c r="B1992" s="3" t="s">
        <v>442</v>
      </c>
      <c r="C1992" s="9"/>
    </row>
    <row r="1993" spans="1:3" ht="15" x14ac:dyDescent="0.25">
      <c r="A1993" s="2">
        <v>2107040202</v>
      </c>
      <c r="B1993" s="3" t="s">
        <v>443</v>
      </c>
      <c r="C1993" s="9"/>
    </row>
    <row r="1994" spans="1:3" ht="15" x14ac:dyDescent="0.25">
      <c r="A1994" s="2">
        <v>21070409</v>
      </c>
      <c r="B1994" s="3" t="s">
        <v>463</v>
      </c>
      <c r="C1994" s="9"/>
    </row>
    <row r="1995" spans="1:3" ht="15" x14ac:dyDescent="0.25">
      <c r="A1995" s="2">
        <v>2107040901</v>
      </c>
      <c r="B1995" s="3" t="s">
        <v>442</v>
      </c>
      <c r="C1995" s="9"/>
    </row>
    <row r="1996" spans="1:3" ht="15" x14ac:dyDescent="0.25">
      <c r="A1996" s="2">
        <v>2107040902</v>
      </c>
      <c r="B1996" s="3" t="s">
        <v>443</v>
      </c>
      <c r="C1996" s="9"/>
    </row>
    <row r="1997" spans="1:3" ht="15" x14ac:dyDescent="0.25">
      <c r="A1997" s="2">
        <v>210709</v>
      </c>
      <c r="B1997" s="3" t="s">
        <v>464</v>
      </c>
      <c r="C1997" s="9"/>
    </row>
    <row r="1998" spans="1:3" ht="15" x14ac:dyDescent="0.25">
      <c r="A1998" s="2">
        <v>21070901</v>
      </c>
      <c r="B1998" s="3" t="s">
        <v>442</v>
      </c>
      <c r="C1998" s="9"/>
    </row>
    <row r="1999" spans="1:3" ht="15" x14ac:dyDescent="0.25">
      <c r="A1999" s="2">
        <v>21070902</v>
      </c>
      <c r="B1999" s="3" t="s">
        <v>443</v>
      </c>
      <c r="C1999" s="9"/>
    </row>
    <row r="2000" spans="1:3" ht="15" x14ac:dyDescent="0.25">
      <c r="A2000" s="2">
        <v>2108</v>
      </c>
      <c r="B2000" s="3" t="s">
        <v>465</v>
      </c>
      <c r="C2000" s="20">
        <f t="shared" ref="C2000" si="58">+C2006+C2007+C2008+C2009+C2010</f>
        <v>-1858973.71</v>
      </c>
    </row>
    <row r="2001" spans="1:3" ht="13.8" x14ac:dyDescent="0.25">
      <c r="A2001" s="5">
        <v>210801</v>
      </c>
      <c r="B2001" s="6" t="s">
        <v>466</v>
      </c>
      <c r="C2001" s="12"/>
    </row>
    <row r="2002" spans="1:3" ht="30" x14ac:dyDescent="0.25">
      <c r="A2002" s="2">
        <v>210802</v>
      </c>
      <c r="B2002" s="4" t="s">
        <v>467</v>
      </c>
      <c r="C2002" s="11"/>
    </row>
    <row r="2003" spans="1:3" ht="15" x14ac:dyDescent="0.25">
      <c r="A2003" s="2">
        <v>21080201</v>
      </c>
      <c r="B2003" s="3" t="s">
        <v>442</v>
      </c>
      <c r="C2003" s="9"/>
    </row>
    <row r="2004" spans="1:3" ht="15" x14ac:dyDescent="0.25">
      <c r="A2004" s="2">
        <v>21080202</v>
      </c>
      <c r="B2004" s="3" t="s">
        <v>443</v>
      </c>
      <c r="C2004" s="9"/>
    </row>
    <row r="2005" spans="1:3" ht="15" x14ac:dyDescent="0.25">
      <c r="A2005" s="2">
        <v>210803</v>
      </c>
      <c r="B2005" s="3" t="s">
        <v>468</v>
      </c>
      <c r="C2005" s="9"/>
    </row>
    <row r="2006" spans="1:3" s="15" customFormat="1" ht="15" x14ac:dyDescent="0.25">
      <c r="A2006" s="18" t="s">
        <v>1562</v>
      </c>
      <c r="B2006" s="19" t="s">
        <v>1553</v>
      </c>
      <c r="C2006" s="20"/>
    </row>
    <row r="2007" spans="1:3" s="15" customFormat="1" ht="15" x14ac:dyDescent="0.25">
      <c r="A2007" s="18" t="s">
        <v>1563</v>
      </c>
      <c r="B2007" s="19" t="s">
        <v>1564</v>
      </c>
      <c r="C2007" s="20">
        <v>-492879.73</v>
      </c>
    </row>
    <row r="2008" spans="1:3" s="15" customFormat="1" ht="15" x14ac:dyDescent="0.25">
      <c r="A2008" s="18" t="s">
        <v>1565</v>
      </c>
      <c r="B2008" s="19" t="s">
        <v>1566</v>
      </c>
      <c r="C2008" s="20">
        <v>-319119.19</v>
      </c>
    </row>
    <row r="2009" spans="1:3" s="15" customFormat="1" ht="15" x14ac:dyDescent="0.25">
      <c r="A2009" s="18" t="s">
        <v>1567</v>
      </c>
      <c r="B2009" s="19" t="s">
        <v>1568</v>
      </c>
      <c r="C2009" s="20">
        <v>-648086.64</v>
      </c>
    </row>
    <row r="2010" spans="1:3" s="15" customFormat="1" ht="15" x14ac:dyDescent="0.25">
      <c r="A2010" s="18" t="s">
        <v>1569</v>
      </c>
      <c r="B2010" s="19" t="s">
        <v>1570</v>
      </c>
      <c r="C2010" s="20">
        <v>-398888.15</v>
      </c>
    </row>
    <row r="2011" spans="1:3" ht="15" x14ac:dyDescent="0.25">
      <c r="A2011" s="2">
        <v>21080302</v>
      </c>
      <c r="B2011" s="3" t="s">
        <v>443</v>
      </c>
      <c r="C2011" s="9"/>
    </row>
    <row r="2012" spans="1:3" ht="15" x14ac:dyDescent="0.25">
      <c r="A2012" s="2">
        <v>210807</v>
      </c>
      <c r="B2012" s="3" t="s">
        <v>469</v>
      </c>
      <c r="C2012" s="9"/>
    </row>
    <row r="2013" spans="1:3" ht="15" x14ac:dyDescent="0.25">
      <c r="A2013" s="2">
        <v>21080701</v>
      </c>
      <c r="B2013" s="3" t="s">
        <v>442</v>
      </c>
      <c r="C2013" s="9"/>
    </row>
    <row r="2014" spans="1:3" ht="15" x14ac:dyDescent="0.25">
      <c r="A2014" s="2">
        <v>21080702</v>
      </c>
      <c r="B2014" s="3" t="s">
        <v>443</v>
      </c>
      <c r="C2014" s="9"/>
    </row>
    <row r="2015" spans="1:3" ht="15" x14ac:dyDescent="0.25">
      <c r="A2015" s="2">
        <v>22</v>
      </c>
      <c r="B2015" s="3" t="s">
        <v>470</v>
      </c>
      <c r="C2015" s="9"/>
    </row>
    <row r="2016" spans="1:3" ht="15" x14ac:dyDescent="0.25">
      <c r="A2016" s="2">
        <v>2201</v>
      </c>
      <c r="B2016" s="3" t="s">
        <v>470</v>
      </c>
      <c r="C2016" s="9"/>
    </row>
    <row r="2017" spans="1:3" ht="15" x14ac:dyDescent="0.25">
      <c r="A2017" s="2">
        <v>220107</v>
      </c>
      <c r="B2017" s="3" t="s">
        <v>35</v>
      </c>
      <c r="C2017" s="9"/>
    </row>
    <row r="2018" spans="1:3" ht="15" x14ac:dyDescent="0.25">
      <c r="A2018" s="2">
        <v>2208</v>
      </c>
      <c r="B2018" s="3" t="s">
        <v>471</v>
      </c>
      <c r="C2018" s="9"/>
    </row>
    <row r="2019" spans="1:3" ht="15" x14ac:dyDescent="0.25">
      <c r="A2019" s="2">
        <v>220807</v>
      </c>
      <c r="B2019" s="3" t="s">
        <v>35</v>
      </c>
      <c r="C2019" s="9"/>
    </row>
    <row r="2020" spans="1:3" ht="15" x14ac:dyDescent="0.25">
      <c r="A2020" s="2">
        <v>23</v>
      </c>
      <c r="B2020" s="3" t="s">
        <v>472</v>
      </c>
      <c r="C2020" s="9"/>
    </row>
    <row r="2021" spans="1:3" ht="13.8" x14ac:dyDescent="0.25">
      <c r="A2021" s="5">
        <v>2301</v>
      </c>
      <c r="B2021" s="6" t="s">
        <v>473</v>
      </c>
      <c r="C2021" s="12"/>
    </row>
    <row r="2022" spans="1:3" ht="13.8" x14ac:dyDescent="0.25">
      <c r="A2022" s="5">
        <v>230101</v>
      </c>
      <c r="B2022" s="6" t="s">
        <v>474</v>
      </c>
      <c r="C2022" s="12"/>
    </row>
    <row r="2023" spans="1:3" ht="15" x14ac:dyDescent="0.25">
      <c r="A2023" s="2">
        <v>2302</v>
      </c>
      <c r="B2023" s="3" t="s">
        <v>475</v>
      </c>
      <c r="C2023" s="9"/>
    </row>
    <row r="2024" spans="1:3" ht="15" x14ac:dyDescent="0.25">
      <c r="A2024" s="2">
        <v>230201</v>
      </c>
      <c r="B2024" s="3" t="s">
        <v>476</v>
      </c>
      <c r="C2024" s="9"/>
    </row>
    <row r="2025" spans="1:3" ht="15" x14ac:dyDescent="0.25">
      <c r="A2025" s="2">
        <v>2303</v>
      </c>
      <c r="B2025" s="3" t="s">
        <v>477</v>
      </c>
      <c r="C2025" s="9"/>
    </row>
    <row r="2026" spans="1:3" ht="15" x14ac:dyDescent="0.25">
      <c r="A2026" s="2">
        <v>230301</v>
      </c>
      <c r="B2026" s="3" t="s">
        <v>478</v>
      </c>
      <c r="C2026" s="9"/>
    </row>
    <row r="2027" spans="1:3" ht="15" x14ac:dyDescent="0.25">
      <c r="A2027" s="2">
        <v>2308</v>
      </c>
      <c r="B2027" s="3" t="s">
        <v>479</v>
      </c>
      <c r="C2027" s="9"/>
    </row>
    <row r="2028" spans="1:3" ht="13.8" x14ac:dyDescent="0.25">
      <c r="A2028" s="5">
        <v>230801</v>
      </c>
      <c r="B2028" s="6" t="s">
        <v>480</v>
      </c>
      <c r="C2028" s="12"/>
    </row>
    <row r="2029" spans="1:3" ht="15" x14ac:dyDescent="0.25">
      <c r="A2029" s="2">
        <v>230802</v>
      </c>
      <c r="B2029" s="3" t="s">
        <v>481</v>
      </c>
      <c r="C2029" s="9"/>
    </row>
    <row r="2030" spans="1:3" ht="15" x14ac:dyDescent="0.25">
      <c r="A2030" s="2">
        <v>230803</v>
      </c>
      <c r="B2030" s="3" t="s">
        <v>482</v>
      </c>
      <c r="C2030" s="9"/>
    </row>
    <row r="2031" spans="1:3" ht="15" x14ac:dyDescent="0.25">
      <c r="A2031" s="2">
        <v>24</v>
      </c>
      <c r="B2031" s="3" t="s">
        <v>483</v>
      </c>
      <c r="C2031" s="9"/>
    </row>
    <row r="2032" spans="1:3" ht="30" x14ac:dyDescent="0.25">
      <c r="A2032" s="2">
        <v>2402</v>
      </c>
      <c r="B2032" s="4" t="s">
        <v>484</v>
      </c>
      <c r="C2032" s="11"/>
    </row>
    <row r="2033" spans="1:3" ht="15" x14ac:dyDescent="0.25">
      <c r="A2033" s="2">
        <v>240202</v>
      </c>
      <c r="B2033" s="3" t="s">
        <v>485</v>
      </c>
      <c r="C2033" s="9"/>
    </row>
    <row r="2034" spans="1:3" ht="15" x14ac:dyDescent="0.25">
      <c r="A2034" s="2">
        <v>24020201</v>
      </c>
      <c r="B2034" s="3" t="s">
        <v>486</v>
      </c>
      <c r="C2034" s="9"/>
    </row>
    <row r="2035" spans="1:3" ht="15" x14ac:dyDescent="0.25">
      <c r="A2035" s="2">
        <v>24020202</v>
      </c>
      <c r="B2035" s="3" t="s">
        <v>160</v>
      </c>
      <c r="C2035" s="9"/>
    </row>
    <row r="2036" spans="1:3" ht="15" x14ac:dyDescent="0.25">
      <c r="A2036" s="2">
        <v>240209</v>
      </c>
      <c r="B2036" s="3" t="s">
        <v>487</v>
      </c>
      <c r="C2036" s="9"/>
    </row>
    <row r="2037" spans="1:3" ht="30" x14ac:dyDescent="0.25">
      <c r="A2037" s="2">
        <v>2403</v>
      </c>
      <c r="B2037" s="4" t="s">
        <v>488</v>
      </c>
      <c r="C2037" s="11"/>
    </row>
    <row r="2038" spans="1:3" ht="13.8" x14ac:dyDescent="0.25">
      <c r="A2038" s="5">
        <v>240301</v>
      </c>
      <c r="B2038" s="6" t="s">
        <v>95</v>
      </c>
      <c r="C2038" s="12"/>
    </row>
    <row r="2039" spans="1:3" ht="15" x14ac:dyDescent="0.25">
      <c r="A2039" s="2">
        <v>240302</v>
      </c>
      <c r="B2039" s="3" t="s">
        <v>485</v>
      </c>
      <c r="C2039" s="9"/>
    </row>
    <row r="2040" spans="1:3" ht="15" x14ac:dyDescent="0.25">
      <c r="A2040" s="2">
        <v>24030201</v>
      </c>
      <c r="B2040" s="3" t="s">
        <v>486</v>
      </c>
      <c r="C2040" s="9"/>
    </row>
    <row r="2041" spans="1:3" ht="15" x14ac:dyDescent="0.25">
      <c r="A2041" s="2">
        <v>24030202</v>
      </c>
      <c r="B2041" s="3" t="s">
        <v>160</v>
      </c>
      <c r="C2041" s="9"/>
    </row>
    <row r="2042" spans="1:3" ht="15" x14ac:dyDescent="0.25">
      <c r="A2042" s="2">
        <v>240304</v>
      </c>
      <c r="B2042" s="3" t="s">
        <v>489</v>
      </c>
      <c r="C2042" s="9"/>
    </row>
    <row r="2043" spans="1:3" ht="15" x14ac:dyDescent="0.25">
      <c r="A2043" s="2">
        <v>240306</v>
      </c>
      <c r="B2043" s="3" t="s">
        <v>490</v>
      </c>
      <c r="C2043" s="9"/>
    </row>
    <row r="2044" spans="1:3" ht="15" x14ac:dyDescent="0.25">
      <c r="A2044" s="2">
        <v>240309</v>
      </c>
      <c r="B2044" s="3" t="s">
        <v>487</v>
      </c>
      <c r="C2044" s="9"/>
    </row>
    <row r="2045" spans="1:3" ht="30" x14ac:dyDescent="0.25">
      <c r="A2045" s="2">
        <v>2404</v>
      </c>
      <c r="B2045" s="4" t="s">
        <v>491</v>
      </c>
      <c r="C2045" s="11"/>
    </row>
    <row r="2046" spans="1:3" ht="13.8" x14ac:dyDescent="0.25">
      <c r="A2046" s="5">
        <v>240401</v>
      </c>
      <c r="B2046" s="6" t="s">
        <v>95</v>
      </c>
      <c r="C2046" s="12"/>
    </row>
    <row r="2047" spans="1:3" ht="15" x14ac:dyDescent="0.25">
      <c r="A2047" s="2">
        <v>240402</v>
      </c>
      <c r="B2047" s="3" t="s">
        <v>485</v>
      </c>
      <c r="C2047" s="9"/>
    </row>
    <row r="2048" spans="1:3" ht="15" x14ac:dyDescent="0.25">
      <c r="A2048" s="2">
        <v>24040201</v>
      </c>
      <c r="B2048" s="3" t="s">
        <v>486</v>
      </c>
      <c r="C2048" s="9"/>
    </row>
    <row r="2049" spans="1:3" ht="15" x14ac:dyDescent="0.25">
      <c r="A2049" s="2">
        <v>24040202</v>
      </c>
      <c r="B2049" s="3" t="s">
        <v>160</v>
      </c>
      <c r="C2049" s="9"/>
    </row>
    <row r="2050" spans="1:3" ht="15" x14ac:dyDescent="0.25">
      <c r="A2050" s="2">
        <v>240409</v>
      </c>
      <c r="B2050" s="3" t="s">
        <v>487</v>
      </c>
      <c r="C2050" s="9"/>
    </row>
    <row r="2051" spans="1:3" ht="30" x14ac:dyDescent="0.25">
      <c r="A2051" s="2">
        <v>2405</v>
      </c>
      <c r="B2051" s="4" t="s">
        <v>492</v>
      </c>
      <c r="C2051" s="11"/>
    </row>
    <row r="2052" spans="1:3" ht="15" x14ac:dyDescent="0.25">
      <c r="A2052" s="2">
        <v>240502</v>
      </c>
      <c r="B2052" s="3" t="s">
        <v>485</v>
      </c>
      <c r="C2052" s="9"/>
    </row>
    <row r="2053" spans="1:3" ht="15" x14ac:dyDescent="0.25">
      <c r="A2053" s="2">
        <v>24050201</v>
      </c>
      <c r="B2053" s="3" t="s">
        <v>486</v>
      </c>
      <c r="C2053" s="9"/>
    </row>
    <row r="2054" spans="1:3" ht="15" x14ac:dyDescent="0.25">
      <c r="A2054" s="2">
        <v>24050202</v>
      </c>
      <c r="B2054" s="3" t="s">
        <v>160</v>
      </c>
      <c r="C2054" s="9"/>
    </row>
    <row r="2055" spans="1:3" ht="15" x14ac:dyDescent="0.25">
      <c r="A2055" s="2">
        <v>240509</v>
      </c>
      <c r="B2055" s="3" t="s">
        <v>487</v>
      </c>
      <c r="C2055" s="9"/>
    </row>
    <row r="2056" spans="1:3" ht="15" x14ac:dyDescent="0.25">
      <c r="A2056" s="2">
        <v>2406</v>
      </c>
      <c r="B2056" s="3" t="s">
        <v>493</v>
      </c>
      <c r="C2056" s="9"/>
    </row>
    <row r="2057" spans="1:3" ht="15" x14ac:dyDescent="0.25">
      <c r="A2057" s="2">
        <v>240602</v>
      </c>
      <c r="B2057" s="3" t="s">
        <v>485</v>
      </c>
      <c r="C2057" s="9"/>
    </row>
    <row r="2058" spans="1:3" ht="15" x14ac:dyDescent="0.25">
      <c r="A2058" s="2">
        <v>24060201</v>
      </c>
      <c r="B2058" s="3" t="s">
        <v>486</v>
      </c>
      <c r="C2058" s="9"/>
    </row>
    <row r="2059" spans="1:3" ht="15" x14ac:dyDescent="0.25">
      <c r="A2059" s="2">
        <v>24060202</v>
      </c>
      <c r="B2059" s="3" t="s">
        <v>160</v>
      </c>
      <c r="C2059" s="9"/>
    </row>
    <row r="2060" spans="1:3" ht="15" x14ac:dyDescent="0.25">
      <c r="A2060" s="2">
        <v>240606</v>
      </c>
      <c r="B2060" s="3" t="s">
        <v>490</v>
      </c>
      <c r="C2060" s="9"/>
    </row>
    <row r="2061" spans="1:3" ht="15" x14ac:dyDescent="0.25">
      <c r="A2061" s="2">
        <v>240609</v>
      </c>
      <c r="B2061" s="3" t="s">
        <v>487</v>
      </c>
      <c r="C2061" s="9"/>
    </row>
    <row r="2062" spans="1:3" ht="15" x14ac:dyDescent="0.25">
      <c r="A2062" s="2">
        <v>2407</v>
      </c>
      <c r="B2062" s="3" t="s">
        <v>494</v>
      </c>
      <c r="C2062" s="9"/>
    </row>
    <row r="2063" spans="1:3" ht="15" x14ac:dyDescent="0.25">
      <c r="A2063" s="2">
        <v>240702</v>
      </c>
      <c r="B2063" s="3" t="s">
        <v>485</v>
      </c>
      <c r="C2063" s="9"/>
    </row>
    <row r="2064" spans="1:3" ht="15" x14ac:dyDescent="0.25">
      <c r="A2064" s="2">
        <v>24070201</v>
      </c>
      <c r="B2064" s="3" t="s">
        <v>486</v>
      </c>
      <c r="C2064" s="9"/>
    </row>
    <row r="2065" spans="1:3" ht="15" x14ac:dyDescent="0.25">
      <c r="A2065" s="2">
        <v>24070202</v>
      </c>
      <c r="B2065" s="3" t="s">
        <v>160</v>
      </c>
      <c r="C2065" s="9"/>
    </row>
    <row r="2066" spans="1:3" ht="15" x14ac:dyDescent="0.25">
      <c r="A2066" s="2">
        <v>240706</v>
      </c>
      <c r="B2066" s="3" t="s">
        <v>490</v>
      </c>
      <c r="C2066" s="9"/>
    </row>
    <row r="2067" spans="1:3" ht="15" x14ac:dyDescent="0.25">
      <c r="A2067" s="2">
        <v>240709</v>
      </c>
      <c r="B2067" s="3" t="s">
        <v>487</v>
      </c>
      <c r="C2067" s="9"/>
    </row>
    <row r="2068" spans="1:3" ht="30" x14ac:dyDescent="0.25">
      <c r="A2068" s="2">
        <v>2408</v>
      </c>
      <c r="B2068" s="4" t="s">
        <v>495</v>
      </c>
      <c r="C2068" s="11"/>
    </row>
    <row r="2069" spans="1:3" ht="30" x14ac:dyDescent="0.25">
      <c r="A2069" s="2">
        <v>240802</v>
      </c>
      <c r="B2069" s="4" t="s">
        <v>496</v>
      </c>
      <c r="C2069" s="11"/>
    </row>
    <row r="2070" spans="1:3" ht="30" x14ac:dyDescent="0.25">
      <c r="A2070" s="2">
        <v>240803</v>
      </c>
      <c r="B2070" s="4" t="s">
        <v>497</v>
      </c>
      <c r="C2070" s="11"/>
    </row>
    <row r="2071" spans="1:3" ht="30" x14ac:dyDescent="0.25">
      <c r="A2071" s="2">
        <v>240804</v>
      </c>
      <c r="B2071" s="4" t="s">
        <v>498</v>
      </c>
      <c r="C2071" s="11"/>
    </row>
    <row r="2072" spans="1:3" ht="30" x14ac:dyDescent="0.25">
      <c r="A2072" s="2">
        <v>240805</v>
      </c>
      <c r="B2072" s="4" t="s">
        <v>499</v>
      </c>
      <c r="C2072" s="11"/>
    </row>
    <row r="2073" spans="1:3" ht="15" x14ac:dyDescent="0.25">
      <c r="A2073" s="2">
        <v>240806</v>
      </c>
      <c r="B2073" s="3" t="s">
        <v>500</v>
      </c>
      <c r="C2073" s="9"/>
    </row>
    <row r="2074" spans="1:3" ht="15" x14ac:dyDescent="0.25">
      <c r="A2074" s="2">
        <v>240807</v>
      </c>
      <c r="B2074" s="3" t="s">
        <v>501</v>
      </c>
      <c r="C2074" s="9"/>
    </row>
    <row r="2075" spans="1:3" ht="15" x14ac:dyDescent="0.25">
      <c r="A2075" s="2">
        <v>25</v>
      </c>
      <c r="B2075" s="3" t="s">
        <v>502</v>
      </c>
      <c r="C2075" s="20">
        <f t="shared" ref="C2075" si="59">+C2095+C2127+C2140+C2145</f>
        <v>-652985.36999999988</v>
      </c>
    </row>
    <row r="2076" spans="1:3" ht="13.8" x14ac:dyDescent="0.25">
      <c r="A2076" s="5">
        <v>2502</v>
      </c>
      <c r="B2076" s="6" t="s">
        <v>226</v>
      </c>
      <c r="C2076" s="12"/>
    </row>
    <row r="2077" spans="1:3" ht="13.8" x14ac:dyDescent="0.25">
      <c r="A2077" s="5">
        <v>250201</v>
      </c>
      <c r="B2077" s="6" t="s">
        <v>227</v>
      </c>
      <c r="C2077" s="12"/>
    </row>
    <row r="2078" spans="1:3" ht="13.8" x14ac:dyDescent="0.25">
      <c r="A2078" s="5">
        <v>250202</v>
      </c>
      <c r="B2078" s="6" t="s">
        <v>228</v>
      </c>
      <c r="C2078" s="12"/>
    </row>
    <row r="2079" spans="1:3" ht="13.8" x14ac:dyDescent="0.25">
      <c r="A2079" s="5">
        <v>250203</v>
      </c>
      <c r="B2079" s="6" t="s">
        <v>229</v>
      </c>
      <c r="C2079" s="12"/>
    </row>
    <row r="2080" spans="1:3" ht="13.8" x14ac:dyDescent="0.25">
      <c r="A2080" s="5">
        <v>250205</v>
      </c>
      <c r="B2080" s="6" t="s">
        <v>230</v>
      </c>
      <c r="C2080" s="12"/>
    </row>
    <row r="2081" spans="1:3" ht="13.8" x14ac:dyDescent="0.25">
      <c r="A2081" s="5">
        <v>250209</v>
      </c>
      <c r="B2081" s="6" t="s">
        <v>231</v>
      </c>
      <c r="C2081" s="12"/>
    </row>
    <row r="2082" spans="1:3" ht="15" x14ac:dyDescent="0.25">
      <c r="A2082" s="2">
        <v>2503</v>
      </c>
      <c r="B2082" s="3" t="s">
        <v>232</v>
      </c>
      <c r="C2082" s="9"/>
    </row>
    <row r="2083" spans="1:3" ht="15" x14ac:dyDescent="0.25">
      <c r="A2083" s="2">
        <v>250301</v>
      </c>
      <c r="B2083" s="3" t="s">
        <v>503</v>
      </c>
      <c r="C2083" s="9"/>
    </row>
    <row r="2084" spans="1:3" ht="15" x14ac:dyDescent="0.25">
      <c r="A2084" s="2">
        <v>25030101</v>
      </c>
      <c r="B2084" s="3" t="s">
        <v>234</v>
      </c>
      <c r="C2084" s="9"/>
    </row>
    <row r="2085" spans="1:3" ht="13.8" x14ac:dyDescent="0.25">
      <c r="A2085" s="5">
        <v>25030102</v>
      </c>
      <c r="B2085" s="6" t="s">
        <v>504</v>
      </c>
      <c r="C2085" s="12"/>
    </row>
    <row r="2086" spans="1:3" ht="13.8" x14ac:dyDescent="0.25">
      <c r="A2086" s="5">
        <v>25030103</v>
      </c>
      <c r="B2086" s="6" t="s">
        <v>229</v>
      </c>
      <c r="C2086" s="12"/>
    </row>
    <row r="2087" spans="1:3" ht="13.8" x14ac:dyDescent="0.25">
      <c r="A2087" s="5">
        <v>25030105</v>
      </c>
      <c r="B2087" s="6" t="s">
        <v>230</v>
      </c>
      <c r="C2087" s="12"/>
    </row>
    <row r="2088" spans="1:3" ht="13.8" x14ac:dyDescent="0.25">
      <c r="A2088" s="5">
        <v>25030109</v>
      </c>
      <c r="B2088" s="6" t="s">
        <v>231</v>
      </c>
      <c r="C2088" s="12"/>
    </row>
    <row r="2089" spans="1:3" ht="15" x14ac:dyDescent="0.25">
      <c r="A2089" s="2">
        <v>250302</v>
      </c>
      <c r="B2089" s="3" t="s">
        <v>235</v>
      </c>
      <c r="C2089" s="9"/>
    </row>
    <row r="2090" spans="1:3" ht="15" x14ac:dyDescent="0.25">
      <c r="A2090" s="2">
        <v>25030201</v>
      </c>
      <c r="B2090" s="3" t="s">
        <v>234</v>
      </c>
      <c r="C2090" s="9"/>
    </row>
    <row r="2091" spans="1:3" ht="13.8" x14ac:dyDescent="0.25">
      <c r="A2091" s="5">
        <v>25030202</v>
      </c>
      <c r="B2091" s="6" t="s">
        <v>228</v>
      </c>
      <c r="C2091" s="12"/>
    </row>
    <row r="2092" spans="1:3" ht="13.8" x14ac:dyDescent="0.25">
      <c r="A2092" s="5">
        <v>25030203</v>
      </c>
      <c r="B2092" s="6" t="s">
        <v>229</v>
      </c>
      <c r="C2092" s="12"/>
    </row>
    <row r="2093" spans="1:3" ht="13.8" x14ac:dyDescent="0.25">
      <c r="A2093" s="5">
        <v>25030205</v>
      </c>
      <c r="B2093" s="6" t="s">
        <v>230</v>
      </c>
      <c r="C2093" s="12"/>
    </row>
    <row r="2094" spans="1:3" ht="13.8" x14ac:dyDescent="0.25">
      <c r="A2094" s="5">
        <v>25030209</v>
      </c>
      <c r="B2094" s="6" t="s">
        <v>231</v>
      </c>
      <c r="C2094" s="12"/>
    </row>
    <row r="2095" spans="1:3" ht="15" x14ac:dyDescent="0.25">
      <c r="A2095" s="2">
        <v>2504</v>
      </c>
      <c r="B2095" s="3" t="s">
        <v>505</v>
      </c>
      <c r="C2095" s="20">
        <f t="shared" ref="C2095" si="60">+C2108</f>
        <v>-393502.44999999995</v>
      </c>
    </row>
    <row r="2096" spans="1:3" ht="15" x14ac:dyDescent="0.25">
      <c r="A2096" s="2">
        <v>250401</v>
      </c>
      <c r="B2096" s="3" t="s">
        <v>506</v>
      </c>
      <c r="C2096" s="9"/>
    </row>
    <row r="2097" spans="1:3" ht="15" x14ac:dyDescent="0.25">
      <c r="A2097" s="2">
        <v>250402</v>
      </c>
      <c r="B2097" s="3" t="s">
        <v>507</v>
      </c>
      <c r="C2097" s="9"/>
    </row>
    <row r="2098" spans="1:3" ht="15" x14ac:dyDescent="0.25">
      <c r="A2098" s="2">
        <v>250403</v>
      </c>
      <c r="B2098" s="3" t="s">
        <v>508</v>
      </c>
      <c r="C2098" s="9"/>
    </row>
    <row r="2099" spans="1:3" ht="15" x14ac:dyDescent="0.25">
      <c r="A2099" s="2">
        <v>250404</v>
      </c>
      <c r="B2099" s="3" t="s">
        <v>509</v>
      </c>
      <c r="C2099" s="9"/>
    </row>
    <row r="2100" spans="1:3" ht="15" x14ac:dyDescent="0.25">
      <c r="A2100" s="2">
        <v>250406</v>
      </c>
      <c r="B2100" s="3" t="s">
        <v>510</v>
      </c>
      <c r="C2100" s="9"/>
    </row>
    <row r="2101" spans="1:3" ht="15" x14ac:dyDescent="0.25">
      <c r="A2101" s="2">
        <v>250408</v>
      </c>
      <c r="B2101" s="3" t="s">
        <v>511</v>
      </c>
      <c r="C2101" s="9"/>
    </row>
    <row r="2102" spans="1:3" ht="30" x14ac:dyDescent="0.25">
      <c r="A2102" s="2">
        <v>250409</v>
      </c>
      <c r="B2102" s="4" t="s">
        <v>512</v>
      </c>
      <c r="C2102" s="11"/>
    </row>
    <row r="2103" spans="1:3" ht="15" x14ac:dyDescent="0.25">
      <c r="A2103" s="2">
        <v>250410</v>
      </c>
      <c r="B2103" s="3" t="s">
        <v>513</v>
      </c>
      <c r="C2103" s="9"/>
    </row>
    <row r="2104" spans="1:3" ht="15" x14ac:dyDescent="0.25">
      <c r="A2104" s="2">
        <v>250411</v>
      </c>
      <c r="B2104" s="3" t="s">
        <v>514</v>
      </c>
      <c r="C2104" s="9"/>
    </row>
    <row r="2105" spans="1:3" ht="15" x14ac:dyDescent="0.25">
      <c r="A2105" s="2">
        <v>25041101</v>
      </c>
      <c r="B2105" s="3" t="s">
        <v>263</v>
      </c>
      <c r="C2105" s="9"/>
    </row>
    <row r="2106" spans="1:3" ht="15" x14ac:dyDescent="0.25">
      <c r="A2106" s="2">
        <v>25041102</v>
      </c>
      <c r="B2106" s="3" t="s">
        <v>264</v>
      </c>
      <c r="C2106" s="9"/>
    </row>
    <row r="2107" spans="1:3" ht="15" x14ac:dyDescent="0.25">
      <c r="A2107" s="2">
        <v>25041103</v>
      </c>
      <c r="B2107" s="3" t="s">
        <v>265</v>
      </c>
      <c r="C2107" s="9"/>
    </row>
    <row r="2108" spans="1:3" ht="15" x14ac:dyDescent="0.25">
      <c r="A2108" s="2">
        <v>250419</v>
      </c>
      <c r="B2108" s="3" t="s">
        <v>59</v>
      </c>
      <c r="C2108" s="20">
        <f t="shared" ref="C2108" si="61">+C2109+C2110+C2111+C2112+C2113+C2114+C2115+C2116+C2117+C2118+C2119+C2120+C2121+C2122+C2123+C2124+C2125+C2126</f>
        <v>-393502.44999999995</v>
      </c>
    </row>
    <row r="2109" spans="1:3" s="15" customFormat="1" ht="15" x14ac:dyDescent="0.25">
      <c r="A2109" s="18" t="s">
        <v>1571</v>
      </c>
      <c r="B2109" s="19" t="s">
        <v>1572</v>
      </c>
      <c r="C2109" s="20"/>
    </row>
    <row r="2110" spans="1:3" s="15" customFormat="1" ht="15" x14ac:dyDescent="0.25">
      <c r="A2110" s="18" t="s">
        <v>1573</v>
      </c>
      <c r="B2110" s="19" t="s">
        <v>1574</v>
      </c>
      <c r="C2110" s="20">
        <v>-1400.81</v>
      </c>
    </row>
    <row r="2111" spans="1:3" s="15" customFormat="1" ht="15" x14ac:dyDescent="0.25">
      <c r="A2111" s="18" t="s">
        <v>1575</v>
      </c>
      <c r="B2111" s="19" t="s">
        <v>1576</v>
      </c>
      <c r="C2111" s="20">
        <v>-207852.1</v>
      </c>
    </row>
    <row r="2112" spans="1:3" s="15" customFormat="1" ht="15" x14ac:dyDescent="0.25">
      <c r="A2112" s="18" t="s">
        <v>1577</v>
      </c>
      <c r="B2112" s="19" t="s">
        <v>1578</v>
      </c>
      <c r="C2112" s="20">
        <v>-157436.44</v>
      </c>
    </row>
    <row r="2113" spans="1:3" s="15" customFormat="1" ht="15" x14ac:dyDescent="0.25">
      <c r="A2113" s="18" t="s">
        <v>1579</v>
      </c>
      <c r="B2113" s="19" t="s">
        <v>1580</v>
      </c>
      <c r="C2113" s="20"/>
    </row>
    <row r="2114" spans="1:3" s="15" customFormat="1" ht="15" x14ac:dyDescent="0.25">
      <c r="A2114" s="18" t="s">
        <v>1581</v>
      </c>
      <c r="B2114" s="19" t="s">
        <v>1582</v>
      </c>
      <c r="C2114" s="20"/>
    </row>
    <row r="2115" spans="1:3" s="15" customFormat="1" ht="15" x14ac:dyDescent="0.25">
      <c r="A2115" s="18" t="s">
        <v>1583</v>
      </c>
      <c r="B2115" s="19" t="s">
        <v>1584</v>
      </c>
      <c r="C2115" s="20">
        <v>0</v>
      </c>
    </row>
    <row r="2116" spans="1:3" s="15" customFormat="1" ht="15" x14ac:dyDescent="0.25">
      <c r="A2116" s="18" t="s">
        <v>1585</v>
      </c>
      <c r="B2116" s="19" t="s">
        <v>1586</v>
      </c>
      <c r="C2116" s="20">
        <v>-15409.17</v>
      </c>
    </row>
    <row r="2117" spans="1:3" s="15" customFormat="1" ht="15" x14ac:dyDescent="0.25">
      <c r="A2117" s="18" t="s">
        <v>1587</v>
      </c>
      <c r="B2117" s="19" t="s">
        <v>1588</v>
      </c>
      <c r="C2117" s="20"/>
    </row>
    <row r="2118" spans="1:3" s="15" customFormat="1" ht="15" x14ac:dyDescent="0.25">
      <c r="A2118" s="18" t="s">
        <v>1589</v>
      </c>
      <c r="B2118" s="19" t="s">
        <v>1590</v>
      </c>
      <c r="C2118" s="20">
        <v>-8886.2199999999993</v>
      </c>
    </row>
    <row r="2119" spans="1:3" s="15" customFormat="1" ht="15" x14ac:dyDescent="0.25">
      <c r="A2119" s="18" t="s">
        <v>1591</v>
      </c>
      <c r="B2119" s="19" t="s">
        <v>1592</v>
      </c>
      <c r="C2119" s="20"/>
    </row>
    <row r="2120" spans="1:3" s="15" customFormat="1" ht="15" x14ac:dyDescent="0.25">
      <c r="A2120" s="18" t="s">
        <v>1593</v>
      </c>
      <c r="B2120" s="19" t="s">
        <v>1594</v>
      </c>
      <c r="C2120" s="20"/>
    </row>
    <row r="2121" spans="1:3" s="15" customFormat="1" ht="15" x14ac:dyDescent="0.25">
      <c r="A2121" s="18" t="s">
        <v>1595</v>
      </c>
      <c r="B2121" s="19" t="s">
        <v>1596</v>
      </c>
      <c r="C2121" s="20">
        <v>0</v>
      </c>
    </row>
    <row r="2122" spans="1:3" s="15" customFormat="1" ht="15" x14ac:dyDescent="0.25">
      <c r="A2122" s="18" t="s">
        <v>1597</v>
      </c>
      <c r="B2122" s="19" t="s">
        <v>1598</v>
      </c>
      <c r="C2122" s="20">
        <v>-2517.71</v>
      </c>
    </row>
    <row r="2123" spans="1:3" s="15" customFormat="1" ht="15" x14ac:dyDescent="0.25">
      <c r="A2123" s="18" t="s">
        <v>1599</v>
      </c>
      <c r="B2123" s="19" t="s">
        <v>1600</v>
      </c>
      <c r="C2123" s="20"/>
    </row>
    <row r="2124" spans="1:3" s="15" customFormat="1" ht="15" x14ac:dyDescent="0.25">
      <c r="A2124" s="18" t="s">
        <v>1601</v>
      </c>
      <c r="B2124" s="19" t="s">
        <v>1602</v>
      </c>
      <c r="C2124" s="20"/>
    </row>
    <row r="2125" spans="1:3" s="15" customFormat="1" ht="15" x14ac:dyDescent="0.25">
      <c r="A2125" s="18" t="s">
        <v>1603</v>
      </c>
      <c r="B2125" s="19" t="s">
        <v>1604</v>
      </c>
      <c r="C2125" s="20"/>
    </row>
    <row r="2126" spans="1:3" s="15" customFormat="1" ht="15" x14ac:dyDescent="0.25">
      <c r="A2126" s="18" t="s">
        <v>1605</v>
      </c>
      <c r="B2126" s="19" t="s">
        <v>1606</v>
      </c>
      <c r="C2126" s="20"/>
    </row>
    <row r="2127" spans="1:3" ht="15" x14ac:dyDescent="0.25">
      <c r="A2127" s="2">
        <v>2505</v>
      </c>
      <c r="B2127" s="3" t="s">
        <v>515</v>
      </c>
      <c r="C2127" s="20">
        <f t="shared" ref="C2127" si="62">+C2130+C2132+C2133+C2134+C2135+C2137</f>
        <v>-206402.99000000002</v>
      </c>
    </row>
    <row r="2128" spans="1:3" ht="15" x14ac:dyDescent="0.25">
      <c r="A2128" s="2">
        <v>250501</v>
      </c>
      <c r="B2128" s="3" t="s">
        <v>516</v>
      </c>
      <c r="C2128" s="9"/>
    </row>
    <row r="2129" spans="1:3" ht="15" x14ac:dyDescent="0.25">
      <c r="A2129" s="2">
        <v>250502</v>
      </c>
      <c r="B2129" s="3" t="s">
        <v>517</v>
      </c>
      <c r="C2129" s="9"/>
    </row>
    <row r="2130" spans="1:3" s="15" customFormat="1" ht="15" x14ac:dyDescent="0.25">
      <c r="A2130" s="18" t="s">
        <v>1607</v>
      </c>
      <c r="B2130" s="19" t="s">
        <v>1608</v>
      </c>
      <c r="C2130" s="20">
        <v>-62705.3</v>
      </c>
    </row>
    <row r="2131" spans="1:3" ht="15" x14ac:dyDescent="0.25">
      <c r="A2131" s="2">
        <v>250504</v>
      </c>
      <c r="B2131" s="3" t="s">
        <v>518</v>
      </c>
      <c r="C2131" s="9"/>
    </row>
    <row r="2132" spans="1:3" s="15" customFormat="1" ht="15" x14ac:dyDescent="0.25">
      <c r="A2132" s="18" t="s">
        <v>1609</v>
      </c>
      <c r="B2132" s="19" t="s">
        <v>1610</v>
      </c>
      <c r="C2132" s="20">
        <v>0</v>
      </c>
    </row>
    <row r="2133" spans="1:3" s="15" customFormat="1" ht="15" x14ac:dyDescent="0.25">
      <c r="A2133" s="18" t="s">
        <v>1611</v>
      </c>
      <c r="B2133" s="19" t="s">
        <v>1612</v>
      </c>
      <c r="C2133" s="20">
        <v>-59304.34</v>
      </c>
    </row>
    <row r="2134" spans="1:3" s="15" customFormat="1" ht="15" x14ac:dyDescent="0.25">
      <c r="A2134" s="18" t="s">
        <v>1613</v>
      </c>
      <c r="B2134" s="19" t="s">
        <v>1614</v>
      </c>
      <c r="C2134" s="20">
        <v>-52747.69</v>
      </c>
    </row>
    <row r="2135" spans="1:3" s="15" customFormat="1" ht="15" x14ac:dyDescent="0.25">
      <c r="A2135" s="18" t="s">
        <v>1615</v>
      </c>
      <c r="B2135" s="19" t="s">
        <v>1616</v>
      </c>
      <c r="C2135" s="20">
        <v>-29795.66</v>
      </c>
    </row>
    <row r="2136" spans="1:3" ht="15" x14ac:dyDescent="0.25">
      <c r="A2136" s="2">
        <v>250505</v>
      </c>
      <c r="B2136" s="3" t="s">
        <v>519</v>
      </c>
      <c r="C2136" s="9"/>
    </row>
    <row r="2137" spans="1:3" s="15" customFormat="1" ht="15" x14ac:dyDescent="0.25">
      <c r="A2137" s="18" t="s">
        <v>1617</v>
      </c>
      <c r="B2137" s="19" t="s">
        <v>1618</v>
      </c>
      <c r="C2137" s="20">
        <v>-1850</v>
      </c>
    </row>
    <row r="2138" spans="1:3" ht="15" x14ac:dyDescent="0.25">
      <c r="A2138" s="2">
        <v>250506</v>
      </c>
      <c r="B2138" s="3" t="s">
        <v>520</v>
      </c>
      <c r="C2138" s="9"/>
    </row>
    <row r="2139" spans="1:3" ht="15" x14ac:dyDescent="0.25">
      <c r="A2139" s="2">
        <v>250509</v>
      </c>
      <c r="B2139" s="3" t="s">
        <v>521</v>
      </c>
      <c r="C2139" s="9"/>
    </row>
    <row r="2140" spans="1:3" ht="15" x14ac:dyDescent="0.25">
      <c r="A2140" s="2">
        <v>2506</v>
      </c>
      <c r="B2140" s="3" t="s">
        <v>522</v>
      </c>
      <c r="C2140" s="20">
        <f t="shared" ref="C2140" si="63">+C2142+C2144</f>
        <v>-1536.32</v>
      </c>
    </row>
    <row r="2141" spans="1:3" ht="15" x14ac:dyDescent="0.25">
      <c r="A2141" s="2">
        <v>250601</v>
      </c>
      <c r="B2141" s="3" t="s">
        <v>523</v>
      </c>
      <c r="C2141" s="9"/>
    </row>
    <row r="2142" spans="1:3" s="15" customFormat="1" ht="15" x14ac:dyDescent="0.25">
      <c r="A2142" s="18" t="s">
        <v>1619</v>
      </c>
      <c r="B2142" s="19" t="s">
        <v>1620</v>
      </c>
      <c r="C2142" s="20">
        <v>-410</v>
      </c>
    </row>
    <row r="2143" spans="1:3" s="15" customFormat="1" ht="15" x14ac:dyDescent="0.25">
      <c r="A2143" s="18">
        <v>250602</v>
      </c>
      <c r="B2143" s="19" t="s">
        <v>524</v>
      </c>
      <c r="C2143" s="20"/>
    </row>
    <row r="2144" spans="1:3" s="15" customFormat="1" ht="15" x14ac:dyDescent="0.25">
      <c r="A2144" s="18" t="s">
        <v>1621</v>
      </c>
      <c r="B2144" s="19" t="s">
        <v>1622</v>
      </c>
      <c r="C2144" s="20">
        <v>-1126.32</v>
      </c>
    </row>
    <row r="2145" spans="1:3" ht="30" x14ac:dyDescent="0.25">
      <c r="A2145" s="2">
        <v>2507</v>
      </c>
      <c r="B2145" s="4" t="s">
        <v>525</v>
      </c>
      <c r="C2145" s="28">
        <f t="shared" ref="C2145" si="64">+C2150+C2152+C2156+C2157+C2158+C2159+C2161</f>
        <v>-51543.61</v>
      </c>
    </row>
    <row r="2146" spans="1:3" ht="15" x14ac:dyDescent="0.25">
      <c r="A2146" s="2">
        <v>250701</v>
      </c>
      <c r="B2146" s="3" t="s">
        <v>526</v>
      </c>
      <c r="C2146" s="9"/>
    </row>
    <row r="2147" spans="1:3" ht="15" x14ac:dyDescent="0.25">
      <c r="A2147" s="2">
        <v>250702</v>
      </c>
      <c r="B2147" s="3" t="s">
        <v>527</v>
      </c>
      <c r="C2147" s="9"/>
    </row>
    <row r="2148" spans="1:3" ht="15" x14ac:dyDescent="0.25">
      <c r="A2148" s="2">
        <v>250703</v>
      </c>
      <c r="B2148" s="3" t="s">
        <v>528</v>
      </c>
      <c r="C2148" s="9"/>
    </row>
    <row r="2149" spans="1:3" ht="15" x14ac:dyDescent="0.25">
      <c r="A2149" s="2">
        <v>25070301</v>
      </c>
      <c r="B2149" s="3" t="s">
        <v>529</v>
      </c>
      <c r="C2149" s="9"/>
    </row>
    <row r="2150" spans="1:3" s="15" customFormat="1" ht="15" x14ac:dyDescent="0.25">
      <c r="A2150" s="18" t="s">
        <v>1623</v>
      </c>
      <c r="B2150" s="19" t="s">
        <v>1624</v>
      </c>
      <c r="C2150" s="20">
        <v>-13508.17</v>
      </c>
    </row>
    <row r="2151" spans="1:3" ht="15" x14ac:dyDescent="0.25">
      <c r="A2151" s="2">
        <v>25070303</v>
      </c>
      <c r="B2151" s="3" t="s">
        <v>531</v>
      </c>
      <c r="C2151" s="9"/>
    </row>
    <row r="2152" spans="1:3" s="15" customFormat="1" ht="15" x14ac:dyDescent="0.25">
      <c r="A2152" s="18" t="s">
        <v>1625</v>
      </c>
      <c r="B2152" s="19" t="s">
        <v>1626</v>
      </c>
      <c r="C2152" s="20">
        <v>-13682.59</v>
      </c>
    </row>
    <row r="2153" spans="1:3" ht="15" x14ac:dyDescent="0.25">
      <c r="A2153" s="2">
        <v>25070309</v>
      </c>
      <c r="B2153" s="3" t="s">
        <v>532</v>
      </c>
      <c r="C2153" s="9"/>
    </row>
    <row r="2154" spans="1:3" ht="15" x14ac:dyDescent="0.25">
      <c r="A2154" s="2">
        <v>250704</v>
      </c>
      <c r="B2154" s="3" t="s">
        <v>533</v>
      </c>
      <c r="C2154" s="9"/>
    </row>
    <row r="2155" spans="1:3" ht="15" x14ac:dyDescent="0.25">
      <c r="A2155" s="2">
        <v>250705</v>
      </c>
      <c r="B2155" s="3" t="s">
        <v>534</v>
      </c>
      <c r="C2155" s="9"/>
    </row>
    <row r="2156" spans="1:3" s="15" customFormat="1" ht="15" x14ac:dyDescent="0.25">
      <c r="A2156" s="18" t="s">
        <v>1627</v>
      </c>
      <c r="B2156" s="19" t="s">
        <v>1628</v>
      </c>
      <c r="C2156" s="20">
        <v>-280.83999999999997</v>
      </c>
    </row>
    <row r="2157" spans="1:3" s="15" customFormat="1" ht="15" x14ac:dyDescent="0.25">
      <c r="A2157" s="18" t="s">
        <v>1629</v>
      </c>
      <c r="B2157" s="19" t="s">
        <v>1630</v>
      </c>
      <c r="C2157" s="20">
        <v>-1891.6</v>
      </c>
    </row>
    <row r="2158" spans="1:3" s="15" customFormat="1" ht="15" x14ac:dyDescent="0.25">
      <c r="A2158" s="18" t="s">
        <v>1631</v>
      </c>
      <c r="B2158" s="19" t="s">
        <v>1632</v>
      </c>
      <c r="C2158" s="20">
        <v>-2390.98</v>
      </c>
    </row>
    <row r="2159" spans="1:3" s="15" customFormat="1" ht="15" x14ac:dyDescent="0.25">
      <c r="A2159" s="18" t="s">
        <v>1633</v>
      </c>
      <c r="B2159" s="19" t="s">
        <v>1634</v>
      </c>
      <c r="C2159" s="20">
        <v>-19789.43</v>
      </c>
    </row>
    <row r="2160" spans="1:3" ht="15" x14ac:dyDescent="0.25">
      <c r="A2160" s="2">
        <v>250706</v>
      </c>
      <c r="B2160" s="3" t="s">
        <v>535</v>
      </c>
      <c r="C2160" s="9"/>
    </row>
    <row r="2161" spans="1:3" s="15" customFormat="1" ht="15" x14ac:dyDescent="0.25">
      <c r="A2161" s="18" t="s">
        <v>1635</v>
      </c>
      <c r="B2161" s="19" t="s">
        <v>1636</v>
      </c>
      <c r="C2161" s="20">
        <v>0</v>
      </c>
    </row>
    <row r="2162" spans="1:3" ht="15" x14ac:dyDescent="0.25">
      <c r="A2162" s="2">
        <v>2508</v>
      </c>
      <c r="B2162" s="3" t="s">
        <v>536</v>
      </c>
      <c r="C2162" s="9"/>
    </row>
    <row r="2163" spans="1:3" ht="15" x14ac:dyDescent="0.25">
      <c r="A2163" s="2">
        <v>250801</v>
      </c>
      <c r="B2163" s="3" t="s">
        <v>537</v>
      </c>
      <c r="C2163" s="9"/>
    </row>
    <row r="2164" spans="1:3" ht="15" x14ac:dyDescent="0.25">
      <c r="A2164" s="2">
        <v>25080101</v>
      </c>
      <c r="B2164" s="3" t="s">
        <v>538</v>
      </c>
      <c r="C2164" s="9"/>
    </row>
    <row r="2165" spans="1:3" ht="15" x14ac:dyDescent="0.25">
      <c r="A2165" s="2">
        <v>25080109</v>
      </c>
      <c r="B2165" s="3" t="s">
        <v>539</v>
      </c>
      <c r="C2165" s="9"/>
    </row>
    <row r="2166" spans="1:3" ht="15" x14ac:dyDescent="0.25">
      <c r="A2166" s="2">
        <v>250809</v>
      </c>
      <c r="B2166" s="3" t="s">
        <v>540</v>
      </c>
      <c r="C2166" s="9"/>
    </row>
    <row r="2167" spans="1:3" ht="15" x14ac:dyDescent="0.25">
      <c r="A2167" s="2">
        <v>26</v>
      </c>
      <c r="B2167" s="3" t="s">
        <v>541</v>
      </c>
      <c r="C2167" s="9"/>
    </row>
    <row r="2168" spans="1:3" ht="30" x14ac:dyDescent="0.25">
      <c r="A2168" s="2">
        <v>2602</v>
      </c>
      <c r="B2168" s="4" t="s">
        <v>484</v>
      </c>
      <c r="C2168" s="11"/>
    </row>
    <row r="2169" spans="1:3" ht="15" x14ac:dyDescent="0.25">
      <c r="A2169" s="2">
        <v>260202</v>
      </c>
      <c r="B2169" s="3" t="s">
        <v>485</v>
      </c>
      <c r="C2169" s="9"/>
    </row>
    <row r="2170" spans="1:3" ht="15" x14ac:dyDescent="0.25">
      <c r="A2170" s="2">
        <v>26020201</v>
      </c>
      <c r="B2170" s="3" t="s">
        <v>486</v>
      </c>
      <c r="C2170" s="9"/>
    </row>
    <row r="2171" spans="1:3" ht="15" x14ac:dyDescent="0.25">
      <c r="A2171" s="2">
        <v>26020202</v>
      </c>
      <c r="B2171" s="3" t="s">
        <v>160</v>
      </c>
      <c r="C2171" s="9"/>
    </row>
    <row r="2172" spans="1:3" ht="15" x14ac:dyDescent="0.25">
      <c r="A2172" s="2">
        <v>260209</v>
      </c>
      <c r="B2172" s="3" t="s">
        <v>487</v>
      </c>
      <c r="C2172" s="9"/>
    </row>
    <row r="2173" spans="1:3" ht="30" x14ac:dyDescent="0.25">
      <c r="A2173" s="2">
        <v>2603</v>
      </c>
      <c r="B2173" s="4" t="s">
        <v>488</v>
      </c>
      <c r="C2173" s="11"/>
    </row>
    <row r="2174" spans="1:3" ht="15" x14ac:dyDescent="0.25">
      <c r="A2174" s="2">
        <v>260302</v>
      </c>
      <c r="B2174" s="3" t="s">
        <v>485</v>
      </c>
      <c r="C2174" s="9"/>
    </row>
    <row r="2175" spans="1:3" ht="15" x14ac:dyDescent="0.25">
      <c r="A2175" s="2">
        <v>26030201</v>
      </c>
      <c r="B2175" s="3" t="s">
        <v>486</v>
      </c>
      <c r="C2175" s="9"/>
    </row>
    <row r="2176" spans="1:3" ht="15" x14ac:dyDescent="0.25">
      <c r="A2176" s="2">
        <v>26030202</v>
      </c>
      <c r="B2176" s="3" t="s">
        <v>160</v>
      </c>
      <c r="C2176" s="9"/>
    </row>
    <row r="2177" spans="1:3" ht="15" x14ac:dyDescent="0.25">
      <c r="A2177" s="2">
        <v>260304</v>
      </c>
      <c r="B2177" s="3" t="s">
        <v>489</v>
      </c>
      <c r="C2177" s="9"/>
    </row>
    <row r="2178" spans="1:3" ht="15" x14ac:dyDescent="0.25">
      <c r="A2178" s="2">
        <v>260306</v>
      </c>
      <c r="B2178" s="3" t="s">
        <v>490</v>
      </c>
      <c r="C2178" s="9"/>
    </row>
    <row r="2179" spans="1:3" ht="15" x14ac:dyDescent="0.25">
      <c r="A2179" s="2">
        <v>260309</v>
      </c>
      <c r="B2179" s="3" t="s">
        <v>487</v>
      </c>
      <c r="C2179" s="9"/>
    </row>
    <row r="2180" spans="1:3" ht="30" x14ac:dyDescent="0.25">
      <c r="A2180" s="2">
        <v>2604</v>
      </c>
      <c r="B2180" s="4" t="s">
        <v>491</v>
      </c>
      <c r="C2180" s="11"/>
    </row>
    <row r="2181" spans="1:3" ht="15" x14ac:dyDescent="0.25">
      <c r="A2181" s="2">
        <v>260402</v>
      </c>
      <c r="B2181" s="3" t="s">
        <v>485</v>
      </c>
      <c r="C2181" s="9"/>
    </row>
    <row r="2182" spans="1:3" ht="15" x14ac:dyDescent="0.25">
      <c r="A2182" s="2">
        <v>26040201</v>
      </c>
      <c r="B2182" s="3" t="s">
        <v>486</v>
      </c>
      <c r="C2182" s="9"/>
    </row>
    <row r="2183" spans="1:3" ht="15" x14ac:dyDescent="0.25">
      <c r="A2183" s="2">
        <v>26040202</v>
      </c>
      <c r="B2183" s="3" t="s">
        <v>160</v>
      </c>
      <c r="C2183" s="9"/>
    </row>
    <row r="2184" spans="1:3" ht="15" x14ac:dyDescent="0.25">
      <c r="A2184" s="2">
        <v>260409</v>
      </c>
      <c r="B2184" s="3" t="s">
        <v>487</v>
      </c>
      <c r="C2184" s="9"/>
    </row>
    <row r="2185" spans="1:3" ht="30" x14ac:dyDescent="0.25">
      <c r="A2185" s="2">
        <v>2605</v>
      </c>
      <c r="B2185" s="4" t="s">
        <v>492</v>
      </c>
      <c r="C2185" s="11"/>
    </row>
    <row r="2186" spans="1:3" ht="15" x14ac:dyDescent="0.25">
      <c r="A2186" s="2">
        <v>260502</v>
      </c>
      <c r="B2186" s="3" t="s">
        <v>485</v>
      </c>
      <c r="C2186" s="9"/>
    </row>
    <row r="2187" spans="1:3" ht="15" x14ac:dyDescent="0.25">
      <c r="A2187" s="2">
        <v>26050201</v>
      </c>
      <c r="B2187" s="3" t="s">
        <v>486</v>
      </c>
      <c r="C2187" s="9"/>
    </row>
    <row r="2188" spans="1:3" ht="15" x14ac:dyDescent="0.25">
      <c r="A2188" s="2">
        <v>26050202</v>
      </c>
      <c r="B2188" s="3" t="s">
        <v>160</v>
      </c>
      <c r="C2188" s="9"/>
    </row>
    <row r="2189" spans="1:3" ht="15" x14ac:dyDescent="0.25">
      <c r="A2189" s="2">
        <v>260509</v>
      </c>
      <c r="B2189" s="3" t="s">
        <v>487</v>
      </c>
      <c r="C2189" s="9"/>
    </row>
    <row r="2190" spans="1:3" ht="15" x14ac:dyDescent="0.25">
      <c r="A2190" s="2">
        <v>2606</v>
      </c>
      <c r="B2190" s="3" t="s">
        <v>493</v>
      </c>
      <c r="C2190" s="9"/>
    </row>
    <row r="2191" spans="1:3" ht="15" x14ac:dyDescent="0.25">
      <c r="A2191" s="2">
        <v>260602</v>
      </c>
      <c r="B2191" s="3" t="s">
        <v>485</v>
      </c>
      <c r="C2191" s="9"/>
    </row>
    <row r="2192" spans="1:3" ht="15" x14ac:dyDescent="0.25">
      <c r="A2192" s="2">
        <v>26060201</v>
      </c>
      <c r="B2192" s="3" t="s">
        <v>486</v>
      </c>
      <c r="C2192" s="9"/>
    </row>
    <row r="2193" spans="1:3" ht="15" x14ac:dyDescent="0.25">
      <c r="A2193" s="2">
        <v>26060202</v>
      </c>
      <c r="B2193" s="3" t="s">
        <v>160</v>
      </c>
      <c r="C2193" s="9"/>
    </row>
    <row r="2194" spans="1:3" ht="15" x14ac:dyDescent="0.25">
      <c r="A2194" s="2">
        <v>260606</v>
      </c>
      <c r="B2194" s="3" t="s">
        <v>490</v>
      </c>
      <c r="C2194" s="9"/>
    </row>
    <row r="2195" spans="1:3" ht="15" x14ac:dyDescent="0.25">
      <c r="A2195" s="2">
        <v>260609</v>
      </c>
      <c r="B2195" s="3" t="s">
        <v>487</v>
      </c>
      <c r="C2195" s="9"/>
    </row>
    <row r="2196" spans="1:3" ht="15" x14ac:dyDescent="0.25">
      <c r="A2196" s="2">
        <v>2607</v>
      </c>
      <c r="B2196" s="3" t="s">
        <v>494</v>
      </c>
      <c r="C2196" s="9"/>
    </row>
    <row r="2197" spans="1:3" ht="15" x14ac:dyDescent="0.25">
      <c r="A2197" s="2">
        <v>260702</v>
      </c>
      <c r="B2197" s="3" t="s">
        <v>485</v>
      </c>
      <c r="C2197" s="9"/>
    </row>
    <row r="2198" spans="1:3" ht="15" x14ac:dyDescent="0.25">
      <c r="A2198" s="2">
        <v>26070201</v>
      </c>
      <c r="B2198" s="3" t="s">
        <v>486</v>
      </c>
      <c r="C2198" s="9"/>
    </row>
    <row r="2199" spans="1:3" ht="15" x14ac:dyDescent="0.25">
      <c r="A2199" s="2">
        <v>26070202</v>
      </c>
      <c r="B2199" s="3" t="s">
        <v>160</v>
      </c>
      <c r="C2199" s="9"/>
    </row>
    <row r="2200" spans="1:3" ht="15" x14ac:dyDescent="0.25">
      <c r="A2200" s="2">
        <v>260709</v>
      </c>
      <c r="B2200" s="3" t="s">
        <v>487</v>
      </c>
      <c r="C2200" s="9"/>
    </row>
    <row r="2201" spans="1:3" ht="30" x14ac:dyDescent="0.25">
      <c r="A2201" s="2">
        <v>2608</v>
      </c>
      <c r="B2201" s="4" t="s">
        <v>542</v>
      </c>
      <c r="C2201" s="11"/>
    </row>
    <row r="2202" spans="1:3" ht="30" x14ac:dyDescent="0.25">
      <c r="A2202" s="2">
        <v>260802</v>
      </c>
      <c r="B2202" s="4" t="s">
        <v>496</v>
      </c>
      <c r="C2202" s="11"/>
    </row>
    <row r="2203" spans="1:3" ht="30" x14ac:dyDescent="0.25">
      <c r="A2203" s="2">
        <v>260803</v>
      </c>
      <c r="B2203" s="4" t="s">
        <v>497</v>
      </c>
      <c r="C2203" s="11"/>
    </row>
    <row r="2204" spans="1:3" ht="30" x14ac:dyDescent="0.25">
      <c r="A2204" s="2">
        <v>260804</v>
      </c>
      <c r="B2204" s="4" t="s">
        <v>498</v>
      </c>
      <c r="C2204" s="11"/>
    </row>
    <row r="2205" spans="1:3" ht="30" x14ac:dyDescent="0.25">
      <c r="A2205" s="2">
        <v>260805</v>
      </c>
      <c r="B2205" s="4" t="s">
        <v>499</v>
      </c>
      <c r="C2205" s="11"/>
    </row>
    <row r="2206" spans="1:3" ht="15" x14ac:dyDescent="0.25">
      <c r="A2206" s="2">
        <v>260806</v>
      </c>
      <c r="B2206" s="3" t="s">
        <v>500</v>
      </c>
      <c r="C2206" s="9"/>
    </row>
    <row r="2207" spans="1:3" ht="15" x14ac:dyDescent="0.25">
      <c r="A2207" s="2">
        <v>260807</v>
      </c>
      <c r="B2207" s="3" t="s">
        <v>501</v>
      </c>
      <c r="C2207" s="9"/>
    </row>
    <row r="2208" spans="1:3" ht="15" x14ac:dyDescent="0.25">
      <c r="A2208" s="2">
        <v>27</v>
      </c>
      <c r="B2208" s="3" t="s">
        <v>543</v>
      </c>
      <c r="C2208" s="20">
        <f t="shared" ref="C2208" si="65">+C2241</f>
        <v>-16505307.99</v>
      </c>
    </row>
    <row r="2209" spans="1:3" ht="15" x14ac:dyDescent="0.25">
      <c r="A2209" s="2">
        <v>2701</v>
      </c>
      <c r="B2209" s="3" t="s">
        <v>544</v>
      </c>
      <c r="C2209" s="9"/>
    </row>
    <row r="2210" spans="1:3" ht="15" x14ac:dyDescent="0.25">
      <c r="A2210" s="2">
        <v>270101</v>
      </c>
      <c r="B2210" s="3" t="s">
        <v>545</v>
      </c>
      <c r="C2210" s="9"/>
    </row>
    <row r="2211" spans="1:3" ht="15" x14ac:dyDescent="0.25">
      <c r="A2211" s="2">
        <v>27010102</v>
      </c>
      <c r="B2211" s="3" t="s">
        <v>94</v>
      </c>
      <c r="C2211" s="9"/>
    </row>
    <row r="2212" spans="1:3" ht="15" x14ac:dyDescent="0.25">
      <c r="A2212" s="2">
        <v>27010103</v>
      </c>
      <c r="B2212" s="3" t="s">
        <v>120</v>
      </c>
      <c r="C2212" s="9"/>
    </row>
    <row r="2213" spans="1:3" ht="15" x14ac:dyDescent="0.25">
      <c r="A2213" s="2">
        <v>27010104</v>
      </c>
      <c r="B2213" s="3" t="s">
        <v>130</v>
      </c>
      <c r="C2213" s="9"/>
    </row>
    <row r="2214" spans="1:3" ht="13.8" x14ac:dyDescent="0.25">
      <c r="A2214" s="5">
        <v>27010107</v>
      </c>
      <c r="B2214" s="6" t="s">
        <v>138</v>
      </c>
      <c r="C2214" s="12"/>
    </row>
    <row r="2215" spans="1:3" ht="15" x14ac:dyDescent="0.25">
      <c r="A2215" s="2">
        <v>27010109</v>
      </c>
      <c r="B2215" s="3" t="s">
        <v>159</v>
      </c>
      <c r="C2215" s="9"/>
    </row>
    <row r="2216" spans="1:3" ht="15" x14ac:dyDescent="0.25">
      <c r="A2216" s="2">
        <v>27010110</v>
      </c>
      <c r="B2216" s="3" t="s">
        <v>162</v>
      </c>
      <c r="C2216" s="9"/>
    </row>
    <row r="2217" spans="1:3" ht="15" x14ac:dyDescent="0.25">
      <c r="A2217" s="2">
        <v>27010111</v>
      </c>
      <c r="B2217" s="3" t="s">
        <v>172</v>
      </c>
      <c r="C2217" s="9"/>
    </row>
    <row r="2218" spans="1:3" ht="15" x14ac:dyDescent="0.25">
      <c r="A2218" s="2">
        <v>27010112</v>
      </c>
      <c r="B2218" s="3" t="s">
        <v>174</v>
      </c>
      <c r="C2218" s="9"/>
    </row>
    <row r="2219" spans="1:3" ht="15" x14ac:dyDescent="0.25">
      <c r="A2219" s="2">
        <v>27010113</v>
      </c>
      <c r="B2219" s="3" t="s">
        <v>175</v>
      </c>
      <c r="C2219" s="9"/>
    </row>
    <row r="2220" spans="1:3" ht="15" x14ac:dyDescent="0.25">
      <c r="A2220" s="2">
        <v>270102</v>
      </c>
      <c r="B2220" s="3" t="s">
        <v>546</v>
      </c>
      <c r="C2220" s="9"/>
    </row>
    <row r="2221" spans="1:3" ht="15" x14ac:dyDescent="0.25">
      <c r="A2221" s="2">
        <v>27010201</v>
      </c>
      <c r="B2221" s="3" t="s">
        <v>209</v>
      </c>
      <c r="C2221" s="9"/>
    </row>
    <row r="2222" spans="1:3" ht="15" x14ac:dyDescent="0.25">
      <c r="A2222" s="2">
        <v>2701020102</v>
      </c>
      <c r="B2222" s="3" t="s">
        <v>94</v>
      </c>
      <c r="C2222" s="9"/>
    </row>
    <row r="2223" spans="1:3" ht="15" x14ac:dyDescent="0.25">
      <c r="A2223" s="2">
        <v>2701020103</v>
      </c>
      <c r="B2223" s="3" t="s">
        <v>120</v>
      </c>
      <c r="C2223" s="9"/>
    </row>
    <row r="2224" spans="1:3" ht="15" x14ac:dyDescent="0.25">
      <c r="A2224" s="2">
        <v>2701020104</v>
      </c>
      <c r="B2224" s="3" t="s">
        <v>130</v>
      </c>
      <c r="C2224" s="9"/>
    </row>
    <row r="2225" spans="1:3" ht="13.8" x14ac:dyDescent="0.25">
      <c r="A2225" s="5">
        <v>2701020107</v>
      </c>
      <c r="B2225" s="6" t="s">
        <v>138</v>
      </c>
      <c r="C2225" s="12"/>
    </row>
    <row r="2226" spans="1:3" ht="15" x14ac:dyDescent="0.25">
      <c r="A2226" s="2">
        <v>2701020109</v>
      </c>
      <c r="B2226" s="3" t="s">
        <v>159</v>
      </c>
      <c r="C2226" s="9"/>
    </row>
    <row r="2227" spans="1:3" ht="15" x14ac:dyDescent="0.25">
      <c r="A2227" s="2">
        <v>2701020110</v>
      </c>
      <c r="B2227" s="3" t="s">
        <v>162</v>
      </c>
      <c r="C2227" s="9"/>
    </row>
    <row r="2228" spans="1:3" ht="15" x14ac:dyDescent="0.25">
      <c r="A2228" s="2">
        <v>2701020111</v>
      </c>
      <c r="B2228" s="3" t="s">
        <v>172</v>
      </c>
      <c r="C2228" s="9"/>
    </row>
    <row r="2229" spans="1:3" ht="15" x14ac:dyDescent="0.25">
      <c r="A2229" s="2">
        <v>2701020112</v>
      </c>
      <c r="B2229" s="3" t="s">
        <v>174</v>
      </c>
      <c r="C2229" s="9"/>
    </row>
    <row r="2230" spans="1:3" ht="15" x14ac:dyDescent="0.25">
      <c r="A2230" s="2">
        <v>2701020113</v>
      </c>
      <c r="B2230" s="3" t="s">
        <v>175</v>
      </c>
      <c r="C2230" s="9"/>
    </row>
    <row r="2231" spans="1:3" ht="13.8" x14ac:dyDescent="0.25">
      <c r="A2231" s="5">
        <v>27010202</v>
      </c>
      <c r="B2231" s="6" t="s">
        <v>218</v>
      </c>
      <c r="C2231" s="12"/>
    </row>
    <row r="2232" spans="1:3" ht="13.8" x14ac:dyDescent="0.25">
      <c r="A2232" s="5">
        <v>2701020202</v>
      </c>
      <c r="B2232" s="6" t="s">
        <v>547</v>
      </c>
      <c r="C2232" s="12"/>
    </row>
    <row r="2233" spans="1:3" ht="13.8" x14ac:dyDescent="0.25">
      <c r="A2233" s="5">
        <v>2701020203</v>
      </c>
      <c r="B2233" s="6" t="s">
        <v>548</v>
      </c>
      <c r="C2233" s="12"/>
    </row>
    <row r="2234" spans="1:3" ht="13.8" x14ac:dyDescent="0.25">
      <c r="A2234" s="5">
        <v>2701020204</v>
      </c>
      <c r="B2234" s="6" t="s">
        <v>549</v>
      </c>
      <c r="C2234" s="12"/>
    </row>
    <row r="2235" spans="1:3" ht="13.8" x14ac:dyDescent="0.25">
      <c r="A2235" s="5">
        <v>2701020207</v>
      </c>
      <c r="B2235" s="6" t="s">
        <v>138</v>
      </c>
      <c r="C2235" s="12"/>
    </row>
    <row r="2236" spans="1:3" ht="13.8" x14ac:dyDescent="0.25">
      <c r="A2236" s="5">
        <v>2701020209</v>
      </c>
      <c r="B2236" s="6" t="s">
        <v>550</v>
      </c>
      <c r="C2236" s="12"/>
    </row>
    <row r="2237" spans="1:3" ht="13.8" x14ac:dyDescent="0.25">
      <c r="A2237" s="5">
        <v>2701020210</v>
      </c>
      <c r="B2237" s="6" t="s">
        <v>551</v>
      </c>
      <c r="C2237" s="12"/>
    </row>
    <row r="2238" spans="1:3" ht="13.8" x14ac:dyDescent="0.25">
      <c r="A2238" s="5">
        <v>2701020211</v>
      </c>
      <c r="B2238" s="6" t="s">
        <v>552</v>
      </c>
      <c r="C2238" s="12"/>
    </row>
    <row r="2239" spans="1:3" ht="13.8" x14ac:dyDescent="0.25">
      <c r="A2239" s="5">
        <v>2701020212</v>
      </c>
      <c r="B2239" s="6" t="s">
        <v>553</v>
      </c>
      <c r="C2239" s="12"/>
    </row>
    <row r="2240" spans="1:3" ht="13.8" x14ac:dyDescent="0.25">
      <c r="A2240" s="5">
        <v>2701020213</v>
      </c>
      <c r="B2240" s="6" t="s">
        <v>554</v>
      </c>
      <c r="C2240" s="12"/>
    </row>
    <row r="2241" spans="1:3" ht="15" x14ac:dyDescent="0.25">
      <c r="A2241" s="2">
        <v>2702</v>
      </c>
      <c r="B2241" s="3" t="s">
        <v>555</v>
      </c>
      <c r="C2241" s="20">
        <f t="shared" ref="C2241" si="66">+C2250+C2251+C2252+C2253</f>
        <v>-16505307.99</v>
      </c>
    </row>
    <row r="2242" spans="1:3" ht="15" x14ac:dyDescent="0.25">
      <c r="A2242" s="2">
        <v>270202</v>
      </c>
      <c r="B2242" s="3" t="s">
        <v>556</v>
      </c>
      <c r="C2242" s="9"/>
    </row>
    <row r="2243" spans="1:3" ht="15" x14ac:dyDescent="0.25">
      <c r="A2243" s="2">
        <v>270209</v>
      </c>
      <c r="B2243" s="3" t="s">
        <v>266</v>
      </c>
      <c r="C2243" s="9"/>
    </row>
    <row r="2244" spans="1:3" ht="15" x14ac:dyDescent="0.25">
      <c r="A2244" s="2">
        <v>2703</v>
      </c>
      <c r="B2244" s="3" t="s">
        <v>557</v>
      </c>
      <c r="C2244" s="9"/>
    </row>
    <row r="2245" spans="1:3" ht="15" x14ac:dyDescent="0.25">
      <c r="A2245" s="2">
        <v>270303</v>
      </c>
      <c r="B2245" s="3" t="s">
        <v>558</v>
      </c>
      <c r="C2245" s="9"/>
    </row>
    <row r="2246" spans="1:3" ht="15" x14ac:dyDescent="0.25">
      <c r="A2246" s="2">
        <v>27030301</v>
      </c>
      <c r="B2246" s="3" t="s">
        <v>559</v>
      </c>
      <c r="C2246" s="9"/>
    </row>
    <row r="2247" spans="1:3" ht="15" x14ac:dyDescent="0.25">
      <c r="A2247" s="2">
        <v>27030302</v>
      </c>
      <c r="B2247" s="3" t="s">
        <v>560</v>
      </c>
      <c r="C2247" s="9"/>
    </row>
    <row r="2248" spans="1:3" ht="15" x14ac:dyDescent="0.25">
      <c r="A2248" s="2">
        <v>270304</v>
      </c>
      <c r="B2248" s="3" t="s">
        <v>561</v>
      </c>
      <c r="C2248" s="9"/>
    </row>
    <row r="2249" spans="1:3" ht="15" x14ac:dyDescent="0.25">
      <c r="A2249" s="2">
        <v>27030401</v>
      </c>
      <c r="B2249" s="3" t="s">
        <v>559</v>
      </c>
      <c r="C2249" s="9"/>
    </row>
    <row r="2250" spans="1:3" s="15" customFormat="1" ht="15" x14ac:dyDescent="0.25">
      <c r="A2250" s="18" t="s">
        <v>1637</v>
      </c>
      <c r="B2250" s="19" t="s">
        <v>1638</v>
      </c>
      <c r="C2250" s="20">
        <v>-14427023.92</v>
      </c>
    </row>
    <row r="2251" spans="1:3" s="15" customFormat="1" ht="15" x14ac:dyDescent="0.25">
      <c r="A2251" s="18" t="s">
        <v>1639</v>
      </c>
      <c r="B2251" s="19" t="s">
        <v>1640</v>
      </c>
      <c r="C2251" s="20">
        <v>-2076590.07</v>
      </c>
    </row>
    <row r="2252" spans="1:3" s="15" customFormat="1" ht="15" x14ac:dyDescent="0.25">
      <c r="A2252" s="18" t="s">
        <v>1641</v>
      </c>
      <c r="B2252" s="19" t="s">
        <v>1642</v>
      </c>
      <c r="C2252" s="20">
        <v>-14</v>
      </c>
    </row>
    <row r="2253" spans="1:3" s="15" customFormat="1" ht="15" x14ac:dyDescent="0.25">
      <c r="A2253" s="18" t="s">
        <v>1643</v>
      </c>
      <c r="B2253" s="19" t="s">
        <v>1644</v>
      </c>
      <c r="C2253" s="20">
        <v>-1680</v>
      </c>
    </row>
    <row r="2254" spans="1:3" ht="15" x14ac:dyDescent="0.25">
      <c r="A2254" s="2">
        <v>27030402</v>
      </c>
      <c r="B2254" s="3" t="s">
        <v>560</v>
      </c>
      <c r="C2254" s="9"/>
    </row>
    <row r="2255" spans="1:3" ht="15" x14ac:dyDescent="0.25">
      <c r="A2255" s="2">
        <v>28</v>
      </c>
      <c r="B2255" s="3" t="s">
        <v>562</v>
      </c>
      <c r="C2255" s="9"/>
    </row>
    <row r="2256" spans="1:3" ht="15" x14ac:dyDescent="0.25">
      <c r="A2256" s="2">
        <v>2801</v>
      </c>
      <c r="B2256" s="3" t="s">
        <v>563</v>
      </c>
      <c r="C2256" s="9"/>
    </row>
    <row r="2257" spans="1:3" ht="15" x14ac:dyDescent="0.25">
      <c r="A2257" s="2">
        <v>2802</v>
      </c>
      <c r="B2257" s="3" t="s">
        <v>564</v>
      </c>
      <c r="C2257" s="9"/>
    </row>
    <row r="2258" spans="1:3" ht="15" x14ac:dyDescent="0.25">
      <c r="A2258" s="2">
        <v>2806</v>
      </c>
      <c r="B2258" s="3" t="s">
        <v>565</v>
      </c>
      <c r="C2258" s="9"/>
    </row>
    <row r="2259" spans="1:3" ht="15" x14ac:dyDescent="0.25">
      <c r="A2259" s="2">
        <v>2807</v>
      </c>
      <c r="B2259" s="3" t="s">
        <v>566</v>
      </c>
      <c r="C2259" s="9"/>
    </row>
    <row r="2260" spans="1:3" ht="15" x14ac:dyDescent="0.25">
      <c r="A2260" s="2">
        <v>280701</v>
      </c>
      <c r="B2260" s="3" t="s">
        <v>75</v>
      </c>
      <c r="C2260" s="9"/>
    </row>
    <row r="2261" spans="1:3" ht="15" x14ac:dyDescent="0.25">
      <c r="A2261" s="2">
        <v>280702</v>
      </c>
      <c r="B2261" s="3" t="s">
        <v>567</v>
      </c>
      <c r="C2261" s="9"/>
    </row>
    <row r="2262" spans="1:3" ht="15" x14ac:dyDescent="0.25">
      <c r="A2262" s="2">
        <v>280703</v>
      </c>
      <c r="B2262" s="3" t="s">
        <v>81</v>
      </c>
      <c r="C2262" s="9"/>
    </row>
    <row r="2263" spans="1:3" ht="15" x14ac:dyDescent="0.25">
      <c r="A2263" s="2">
        <v>280709</v>
      </c>
      <c r="B2263" s="3" t="s">
        <v>568</v>
      </c>
      <c r="C2263" s="9"/>
    </row>
    <row r="2264" spans="1:3" ht="30" x14ac:dyDescent="0.25">
      <c r="A2264" s="2">
        <v>2808</v>
      </c>
      <c r="B2264" s="4" t="s">
        <v>569</v>
      </c>
      <c r="C2264" s="11"/>
    </row>
    <row r="2265" spans="1:3" ht="15" x14ac:dyDescent="0.25">
      <c r="A2265" s="2">
        <v>280801</v>
      </c>
      <c r="B2265" s="3" t="s">
        <v>570</v>
      </c>
      <c r="C2265" s="9"/>
    </row>
    <row r="2266" spans="1:3" ht="15" x14ac:dyDescent="0.25">
      <c r="A2266" s="2">
        <v>280802</v>
      </c>
      <c r="B2266" s="3" t="s">
        <v>571</v>
      </c>
      <c r="C2266" s="9"/>
    </row>
    <row r="2267" spans="1:3" ht="15" x14ac:dyDescent="0.25">
      <c r="A2267" s="2">
        <v>280806</v>
      </c>
      <c r="B2267" s="3" t="s">
        <v>572</v>
      </c>
      <c r="C2267" s="9"/>
    </row>
    <row r="2268" spans="1:3" ht="15" x14ac:dyDescent="0.25">
      <c r="A2268" s="2">
        <v>280807</v>
      </c>
      <c r="B2268" s="3" t="s">
        <v>573</v>
      </c>
      <c r="C2268" s="9"/>
    </row>
    <row r="2269" spans="1:3" ht="15" x14ac:dyDescent="0.25">
      <c r="A2269" s="2">
        <v>29</v>
      </c>
      <c r="B2269" s="3" t="s">
        <v>574</v>
      </c>
      <c r="C2269" s="20">
        <f t="shared" ref="C2269" si="67">+C2270+C2305</f>
        <v>-3701522.1399999997</v>
      </c>
    </row>
    <row r="2270" spans="1:3" ht="15" x14ac:dyDescent="0.25">
      <c r="A2270" s="2">
        <v>2901</v>
      </c>
      <c r="B2270" s="3" t="s">
        <v>575</v>
      </c>
      <c r="C2270" s="20">
        <f t="shared" ref="C2270" si="68">+C2278</f>
        <v>-22038.32</v>
      </c>
    </row>
    <row r="2271" spans="1:3" ht="15" x14ac:dyDescent="0.25">
      <c r="A2271" s="2">
        <v>290101</v>
      </c>
      <c r="B2271" s="3" t="s">
        <v>576</v>
      </c>
      <c r="C2271" s="9"/>
    </row>
    <row r="2272" spans="1:3" ht="30" x14ac:dyDescent="0.25">
      <c r="A2272" s="2">
        <v>29010101</v>
      </c>
      <c r="B2272" s="4" t="s">
        <v>577</v>
      </c>
      <c r="C2272" s="11"/>
    </row>
    <row r="2273" spans="1:3" ht="15" x14ac:dyDescent="0.25">
      <c r="A2273" s="2">
        <v>29010103</v>
      </c>
      <c r="B2273" s="3" t="s">
        <v>183</v>
      </c>
      <c r="C2273" s="9"/>
    </row>
    <row r="2274" spans="1:3" ht="15" x14ac:dyDescent="0.25">
      <c r="A2274" s="2">
        <v>29010104</v>
      </c>
      <c r="B2274" s="3" t="s">
        <v>182</v>
      </c>
      <c r="C2274" s="9"/>
    </row>
    <row r="2275" spans="1:3" ht="15" x14ac:dyDescent="0.25">
      <c r="A2275" s="2">
        <v>29010105</v>
      </c>
      <c r="B2275" s="3" t="s">
        <v>578</v>
      </c>
      <c r="C2275" s="9"/>
    </row>
    <row r="2276" spans="1:3" ht="15" x14ac:dyDescent="0.25">
      <c r="A2276" s="2">
        <v>29010106</v>
      </c>
      <c r="B2276" s="3" t="s">
        <v>579</v>
      </c>
      <c r="C2276" s="9"/>
    </row>
    <row r="2277" spans="1:3" ht="15" x14ac:dyDescent="0.25">
      <c r="A2277" s="2">
        <v>290102</v>
      </c>
      <c r="B2277" s="3" t="s">
        <v>580</v>
      </c>
      <c r="C2277" s="9"/>
    </row>
    <row r="2278" spans="1:3" s="15" customFormat="1" ht="15" x14ac:dyDescent="0.25">
      <c r="A2278" s="18" t="s">
        <v>1645</v>
      </c>
      <c r="B2278" s="19" t="s">
        <v>1646</v>
      </c>
      <c r="C2278" s="20">
        <v>-22038.32</v>
      </c>
    </row>
    <row r="2279" spans="1:3" ht="15" x14ac:dyDescent="0.25">
      <c r="A2279" s="2">
        <v>29010205</v>
      </c>
      <c r="B2279" s="3" t="s">
        <v>578</v>
      </c>
      <c r="C2279" s="9"/>
    </row>
    <row r="2280" spans="1:3" ht="15" x14ac:dyDescent="0.25">
      <c r="A2280" s="2">
        <v>29010206</v>
      </c>
      <c r="B2280" s="3" t="s">
        <v>579</v>
      </c>
      <c r="C2280" s="9"/>
    </row>
    <row r="2281" spans="1:3" ht="15" x14ac:dyDescent="0.25">
      <c r="A2281" s="2">
        <v>29010207</v>
      </c>
      <c r="B2281" s="3" t="s">
        <v>582</v>
      </c>
      <c r="C2281" s="9"/>
    </row>
    <row r="2282" spans="1:3" ht="15" x14ac:dyDescent="0.25">
      <c r="A2282" s="2">
        <v>290107</v>
      </c>
      <c r="B2282" s="3" t="s">
        <v>583</v>
      </c>
      <c r="C2282" s="9"/>
    </row>
    <row r="2283" spans="1:3" ht="15" x14ac:dyDescent="0.25">
      <c r="A2283" s="2">
        <v>29010701</v>
      </c>
      <c r="B2283" s="3" t="s">
        <v>584</v>
      </c>
      <c r="C2283" s="9"/>
    </row>
    <row r="2284" spans="1:3" ht="15" x14ac:dyDescent="0.25">
      <c r="A2284" s="2">
        <v>29010702</v>
      </c>
      <c r="B2284" s="3" t="s">
        <v>585</v>
      </c>
      <c r="C2284" s="9"/>
    </row>
    <row r="2285" spans="1:3" ht="15" x14ac:dyDescent="0.25">
      <c r="A2285" s="2">
        <v>2901070201</v>
      </c>
      <c r="B2285" s="3" t="s">
        <v>586</v>
      </c>
      <c r="C2285" s="9"/>
    </row>
    <row r="2286" spans="1:3" ht="15" x14ac:dyDescent="0.25">
      <c r="A2286" s="2">
        <v>2901070203</v>
      </c>
      <c r="B2286" s="3" t="s">
        <v>587</v>
      </c>
      <c r="C2286" s="9"/>
    </row>
    <row r="2287" spans="1:3" ht="15" x14ac:dyDescent="0.25">
      <c r="A2287" s="2">
        <v>2901070204</v>
      </c>
      <c r="B2287" s="3" t="s">
        <v>588</v>
      </c>
      <c r="C2287" s="9"/>
    </row>
    <row r="2288" spans="1:3" ht="15" x14ac:dyDescent="0.25">
      <c r="A2288" s="2">
        <v>2901070205</v>
      </c>
      <c r="B2288" s="3" t="s">
        <v>589</v>
      </c>
      <c r="C2288" s="9"/>
    </row>
    <row r="2289" spans="1:3" ht="15" x14ac:dyDescent="0.25">
      <c r="A2289" s="2">
        <v>2901070206</v>
      </c>
      <c r="B2289" s="3" t="s">
        <v>590</v>
      </c>
      <c r="C2289" s="9"/>
    </row>
    <row r="2290" spans="1:3" ht="15" x14ac:dyDescent="0.25">
      <c r="A2290" s="2">
        <v>29010705</v>
      </c>
      <c r="B2290" s="3" t="s">
        <v>591</v>
      </c>
      <c r="C2290" s="9"/>
    </row>
    <row r="2291" spans="1:3" ht="15" x14ac:dyDescent="0.25">
      <c r="A2291" s="2">
        <v>29010709</v>
      </c>
      <c r="B2291" s="3" t="s">
        <v>59</v>
      </c>
      <c r="C2291" s="9"/>
    </row>
    <row r="2292" spans="1:3" ht="15" x14ac:dyDescent="0.25">
      <c r="A2292" s="2">
        <v>290108</v>
      </c>
      <c r="B2292" s="3" t="s">
        <v>592</v>
      </c>
      <c r="C2292" s="9"/>
    </row>
    <row r="2293" spans="1:3" ht="15" x14ac:dyDescent="0.25">
      <c r="A2293" s="2">
        <v>29010801</v>
      </c>
      <c r="B2293" s="3" t="s">
        <v>593</v>
      </c>
      <c r="C2293" s="9"/>
    </row>
    <row r="2294" spans="1:3" ht="15" x14ac:dyDescent="0.25">
      <c r="A2294" s="2">
        <v>2901080101</v>
      </c>
      <c r="B2294" s="3" t="s">
        <v>581</v>
      </c>
      <c r="C2294" s="9"/>
    </row>
    <row r="2295" spans="1:3" ht="15" x14ac:dyDescent="0.25">
      <c r="A2295" s="2">
        <v>2901080103</v>
      </c>
      <c r="B2295" s="3" t="s">
        <v>183</v>
      </c>
      <c r="C2295" s="9"/>
    </row>
    <row r="2296" spans="1:3" ht="15" x14ac:dyDescent="0.25">
      <c r="A2296" s="2">
        <v>2901080104</v>
      </c>
      <c r="B2296" s="3" t="s">
        <v>182</v>
      </c>
      <c r="C2296" s="9"/>
    </row>
    <row r="2297" spans="1:3" ht="15" x14ac:dyDescent="0.25">
      <c r="A2297" s="2">
        <v>2901080105</v>
      </c>
      <c r="B2297" s="3" t="s">
        <v>578</v>
      </c>
      <c r="C2297" s="9"/>
    </row>
    <row r="2298" spans="1:3" ht="15" x14ac:dyDescent="0.25">
      <c r="A2298" s="2">
        <v>2901080106</v>
      </c>
      <c r="B2298" s="3" t="s">
        <v>579</v>
      </c>
      <c r="C2298" s="9"/>
    </row>
    <row r="2299" spans="1:3" ht="15" x14ac:dyDescent="0.25">
      <c r="A2299" s="2">
        <v>29010809</v>
      </c>
      <c r="B2299" s="3" t="s">
        <v>59</v>
      </c>
      <c r="C2299" s="9"/>
    </row>
    <row r="2300" spans="1:3" ht="15" x14ac:dyDescent="0.25">
      <c r="A2300" s="2">
        <v>290109</v>
      </c>
      <c r="B2300" s="3" t="s">
        <v>594</v>
      </c>
      <c r="C2300" s="9"/>
    </row>
    <row r="2301" spans="1:3" ht="15" x14ac:dyDescent="0.25">
      <c r="A2301" s="2">
        <v>2902</v>
      </c>
      <c r="B2301" s="3" t="s">
        <v>595</v>
      </c>
      <c r="C2301" s="9"/>
    </row>
    <row r="2302" spans="1:3" ht="15" x14ac:dyDescent="0.25">
      <c r="A2302" s="2">
        <v>290201</v>
      </c>
      <c r="B2302" s="3" t="s">
        <v>596</v>
      </c>
      <c r="C2302" s="9"/>
    </row>
    <row r="2303" spans="1:3" ht="15" x14ac:dyDescent="0.25">
      <c r="A2303" s="2">
        <v>2903</v>
      </c>
      <c r="B2303" s="3" t="s">
        <v>377</v>
      </c>
      <c r="C2303" s="9"/>
    </row>
    <row r="2304" spans="1:3" ht="15" x14ac:dyDescent="0.25">
      <c r="A2304" s="2">
        <v>290301</v>
      </c>
      <c r="B2304" s="3" t="s">
        <v>597</v>
      </c>
      <c r="C2304" s="9"/>
    </row>
    <row r="2305" spans="1:3" ht="15" x14ac:dyDescent="0.25">
      <c r="A2305" s="2">
        <v>2908</v>
      </c>
      <c r="B2305" s="3" t="s">
        <v>397</v>
      </c>
      <c r="C2305" s="20">
        <f t="shared" ref="C2305" si="69">SUM(C2309:C2330)</f>
        <v>-3679483.82</v>
      </c>
    </row>
    <row r="2306" spans="1:3" ht="15" x14ac:dyDescent="0.25">
      <c r="A2306" s="2">
        <v>290804</v>
      </c>
      <c r="B2306" s="3" t="s">
        <v>401</v>
      </c>
      <c r="C2306" s="9"/>
    </row>
    <row r="2307" spans="1:3" ht="15" x14ac:dyDescent="0.25">
      <c r="A2307" s="2">
        <v>290805</v>
      </c>
      <c r="B2307" s="3" t="s">
        <v>402</v>
      </c>
      <c r="C2307" s="9"/>
    </row>
    <row r="2308" spans="1:3" ht="15" x14ac:dyDescent="0.25">
      <c r="A2308" s="2">
        <v>290806</v>
      </c>
      <c r="B2308" s="3" t="s">
        <v>598</v>
      </c>
      <c r="C2308" s="9"/>
    </row>
    <row r="2309" spans="1:3" s="15" customFormat="1" ht="15" x14ac:dyDescent="0.25">
      <c r="A2309" s="18" t="s">
        <v>1647</v>
      </c>
      <c r="B2309" s="19" t="s">
        <v>1648</v>
      </c>
      <c r="C2309" s="20">
        <v>-39149.08</v>
      </c>
    </row>
    <row r="2310" spans="1:3" s="15" customFormat="1" ht="15" x14ac:dyDescent="0.25">
      <c r="A2310" s="18" t="s">
        <v>1649</v>
      </c>
      <c r="B2310" s="19" t="s">
        <v>1650</v>
      </c>
      <c r="C2310" s="20">
        <v>-711532.55</v>
      </c>
    </row>
    <row r="2311" spans="1:3" s="15" customFormat="1" ht="15" x14ac:dyDescent="0.25">
      <c r="A2311" s="18" t="s">
        <v>1651</v>
      </c>
      <c r="B2311" s="19" t="s">
        <v>1652</v>
      </c>
      <c r="C2311" s="20">
        <v>-862148.52</v>
      </c>
    </row>
    <row r="2312" spans="1:3" s="15" customFormat="1" ht="15" x14ac:dyDescent="0.25">
      <c r="A2312" s="18" t="s">
        <v>1653</v>
      </c>
      <c r="B2312" s="19" t="s">
        <v>1654</v>
      </c>
      <c r="C2312" s="20">
        <v>-6844.88</v>
      </c>
    </row>
    <row r="2313" spans="1:3" s="15" customFormat="1" ht="15" x14ac:dyDescent="0.25">
      <c r="A2313" s="18" t="s">
        <v>1655</v>
      </c>
      <c r="B2313" s="19" t="s">
        <v>1656</v>
      </c>
      <c r="C2313" s="20">
        <v>-15861.78</v>
      </c>
    </row>
    <row r="2314" spans="1:3" ht="15" x14ac:dyDescent="0.25">
      <c r="A2314" s="2">
        <v>290807</v>
      </c>
      <c r="B2314" s="3" t="s">
        <v>404</v>
      </c>
      <c r="C2314" s="9"/>
    </row>
    <row r="2315" spans="1:3" s="15" customFormat="1" ht="15" x14ac:dyDescent="0.25">
      <c r="A2315" s="18" t="s">
        <v>1657</v>
      </c>
      <c r="B2315" s="19" t="s">
        <v>1658</v>
      </c>
      <c r="C2315" s="20"/>
    </row>
    <row r="2316" spans="1:3" s="15" customFormat="1" ht="15" x14ac:dyDescent="0.25">
      <c r="A2316" s="18" t="s">
        <v>1659</v>
      </c>
      <c r="B2316" s="19" t="s">
        <v>1660</v>
      </c>
      <c r="C2316" s="20">
        <v>0</v>
      </c>
    </row>
    <row r="2317" spans="1:3" s="15" customFormat="1" ht="15" x14ac:dyDescent="0.25">
      <c r="A2317" s="18" t="s">
        <v>1661</v>
      </c>
      <c r="B2317" s="19" t="s">
        <v>1662</v>
      </c>
      <c r="C2317" s="20">
        <v>0</v>
      </c>
    </row>
    <row r="2318" spans="1:3" s="15" customFormat="1" ht="15" x14ac:dyDescent="0.25">
      <c r="A2318" s="18" t="s">
        <v>1663</v>
      </c>
      <c r="B2318" s="19" t="s">
        <v>1664</v>
      </c>
      <c r="C2318" s="20">
        <v>0</v>
      </c>
    </row>
    <row r="2319" spans="1:3" s="15" customFormat="1" ht="15" x14ac:dyDescent="0.25">
      <c r="A2319" s="18" t="s">
        <v>1665</v>
      </c>
      <c r="B2319" s="19" t="s">
        <v>1666</v>
      </c>
      <c r="C2319" s="20">
        <v>-57.1</v>
      </c>
    </row>
    <row r="2320" spans="1:3" s="15" customFormat="1" ht="15" x14ac:dyDescent="0.25">
      <c r="A2320" s="18" t="s">
        <v>1667</v>
      </c>
      <c r="B2320" s="19" t="s">
        <v>1668</v>
      </c>
      <c r="C2320" s="20">
        <v>0</v>
      </c>
    </row>
    <row r="2321" spans="1:3" s="15" customFormat="1" ht="15" x14ac:dyDescent="0.25">
      <c r="A2321" s="18" t="s">
        <v>1669</v>
      </c>
      <c r="B2321" s="19" t="s">
        <v>1670</v>
      </c>
      <c r="C2321" s="20">
        <v>0</v>
      </c>
    </row>
    <row r="2322" spans="1:3" s="15" customFormat="1" ht="15" x14ac:dyDescent="0.25">
      <c r="A2322" s="18" t="s">
        <v>1671</v>
      </c>
      <c r="B2322" s="19" t="s">
        <v>1672</v>
      </c>
      <c r="C2322" s="20">
        <v>0</v>
      </c>
    </row>
    <row r="2323" spans="1:3" s="15" customFormat="1" ht="15" x14ac:dyDescent="0.25">
      <c r="A2323" s="18" t="s">
        <v>1673</v>
      </c>
      <c r="B2323" s="19" t="s">
        <v>1674</v>
      </c>
      <c r="C2323" s="20">
        <v>0</v>
      </c>
    </row>
    <row r="2324" spans="1:3" s="15" customFormat="1" ht="15" x14ac:dyDescent="0.25">
      <c r="A2324" s="18" t="s">
        <v>1675</v>
      </c>
      <c r="B2324" s="19" t="s">
        <v>1676</v>
      </c>
      <c r="C2324" s="20"/>
    </row>
    <row r="2325" spans="1:3" ht="15" x14ac:dyDescent="0.25">
      <c r="A2325" s="2">
        <v>290809</v>
      </c>
      <c r="B2325" s="3" t="s">
        <v>266</v>
      </c>
      <c r="C2325" s="9"/>
    </row>
    <row r="2326" spans="1:3" s="15" customFormat="1" ht="15" x14ac:dyDescent="0.25">
      <c r="A2326" s="18" t="s">
        <v>1677</v>
      </c>
      <c r="B2326" s="19" t="s">
        <v>1678</v>
      </c>
      <c r="C2326" s="20">
        <v>0</v>
      </c>
    </row>
    <row r="2327" spans="1:3" s="15" customFormat="1" ht="15" x14ac:dyDescent="0.25">
      <c r="A2327" s="18" t="s">
        <v>1679</v>
      </c>
      <c r="B2327" s="19" t="s">
        <v>1680</v>
      </c>
      <c r="C2327" s="20">
        <v>-2034767.15</v>
      </c>
    </row>
    <row r="2328" spans="1:3" s="15" customFormat="1" ht="15" x14ac:dyDescent="0.25">
      <c r="A2328" s="18" t="s">
        <v>1681</v>
      </c>
      <c r="B2328" s="19" t="s">
        <v>1682</v>
      </c>
      <c r="C2328" s="20">
        <v>-8567.99</v>
      </c>
    </row>
    <row r="2329" spans="1:3" s="15" customFormat="1" ht="15" x14ac:dyDescent="0.25">
      <c r="A2329" s="18" t="s">
        <v>1683</v>
      </c>
      <c r="B2329" s="19" t="s">
        <v>1684</v>
      </c>
      <c r="C2329" s="20">
        <v>-554.77</v>
      </c>
    </row>
    <row r="2330" spans="1:3" s="15" customFormat="1" ht="15" x14ac:dyDescent="0.25">
      <c r="A2330" s="18" t="s">
        <v>1685</v>
      </c>
      <c r="B2330" s="19" t="s">
        <v>1686</v>
      </c>
      <c r="C2330" s="20"/>
    </row>
    <row r="2331" spans="1:3" ht="15" x14ac:dyDescent="0.25">
      <c r="A2331" s="2">
        <v>2909</v>
      </c>
      <c r="B2331" s="3" t="s">
        <v>405</v>
      </c>
      <c r="C2331" s="9"/>
    </row>
    <row r="2332" spans="1:3" ht="15" x14ac:dyDescent="0.25">
      <c r="A2332" s="2">
        <v>290901</v>
      </c>
      <c r="B2332" s="3" t="s">
        <v>599</v>
      </c>
      <c r="C2332" s="9"/>
    </row>
    <row r="2333" spans="1:3" ht="15" x14ac:dyDescent="0.25">
      <c r="A2333" s="2">
        <v>290902</v>
      </c>
      <c r="B2333" s="3" t="s">
        <v>407</v>
      </c>
      <c r="C2333" s="9"/>
    </row>
    <row r="2334" spans="1:3" ht="15" x14ac:dyDescent="0.25">
      <c r="A2334" s="25">
        <v>3</v>
      </c>
      <c r="B2334" s="26" t="s">
        <v>600</v>
      </c>
      <c r="C2334" s="27">
        <f t="shared" ref="C2334" si="70">+C2335+C2342+C2346+C2357+C2370</f>
        <v>-42250743.619999997</v>
      </c>
    </row>
    <row r="2335" spans="1:3" ht="15" x14ac:dyDescent="0.25">
      <c r="A2335" s="2">
        <v>31</v>
      </c>
      <c r="B2335" s="3" t="s">
        <v>601</v>
      </c>
      <c r="C2335" s="20">
        <f t="shared" ref="C2335" si="71">+C2338</f>
        <v>-51580022.18</v>
      </c>
    </row>
    <row r="2336" spans="1:3" ht="15" x14ac:dyDescent="0.25">
      <c r="A2336" s="2">
        <v>3101</v>
      </c>
      <c r="B2336" s="3" t="s">
        <v>602</v>
      </c>
      <c r="C2336" s="9"/>
    </row>
    <row r="2337" spans="1:3" ht="15" x14ac:dyDescent="0.25">
      <c r="A2337" s="2">
        <v>310101</v>
      </c>
      <c r="B2337" s="3" t="s">
        <v>603</v>
      </c>
      <c r="C2337" s="9"/>
    </row>
    <row r="2338" spans="1:3" s="15" customFormat="1" ht="15" x14ac:dyDescent="0.25">
      <c r="A2338" s="18" t="s">
        <v>1687</v>
      </c>
      <c r="B2338" s="19" t="s">
        <v>1688</v>
      </c>
      <c r="C2338" s="20">
        <v>-51580022.18</v>
      </c>
    </row>
    <row r="2339" spans="1:3" ht="15" x14ac:dyDescent="0.25">
      <c r="A2339" s="2">
        <v>3102</v>
      </c>
      <c r="B2339" s="3" t="s">
        <v>604</v>
      </c>
      <c r="C2339" s="9"/>
    </row>
    <row r="2340" spans="1:3" ht="15" x14ac:dyDescent="0.25">
      <c r="A2340" s="2">
        <v>310201</v>
      </c>
      <c r="B2340" s="3" t="s">
        <v>605</v>
      </c>
      <c r="C2340" s="9"/>
    </row>
    <row r="2341" spans="1:3" ht="15" x14ac:dyDescent="0.25">
      <c r="A2341" s="2">
        <v>3103</v>
      </c>
      <c r="B2341" s="3" t="s">
        <v>606</v>
      </c>
      <c r="C2341" s="9"/>
    </row>
    <row r="2342" spans="1:3" ht="15" x14ac:dyDescent="0.25">
      <c r="A2342" s="2">
        <v>310301</v>
      </c>
      <c r="B2342" s="3" t="s">
        <v>607</v>
      </c>
      <c r="C2342" s="9"/>
    </row>
    <row r="2343" spans="1:3" ht="15" x14ac:dyDescent="0.25">
      <c r="A2343" s="2">
        <v>32</v>
      </c>
      <c r="B2343" s="3" t="s">
        <v>608</v>
      </c>
      <c r="C2343" s="9"/>
    </row>
    <row r="2344" spans="1:3" ht="15" x14ac:dyDescent="0.25">
      <c r="A2344" s="2">
        <v>3201</v>
      </c>
      <c r="B2344" s="3" t="s">
        <v>609</v>
      </c>
      <c r="C2344" s="9"/>
    </row>
    <row r="2345" spans="1:3" ht="15" x14ac:dyDescent="0.25">
      <c r="A2345" s="2">
        <v>320101</v>
      </c>
      <c r="B2345" s="3" t="s">
        <v>610</v>
      </c>
      <c r="C2345" s="9"/>
    </row>
    <row r="2346" spans="1:3" ht="15" x14ac:dyDescent="0.25">
      <c r="A2346" s="2">
        <v>33</v>
      </c>
      <c r="B2346" s="3" t="s">
        <v>611</v>
      </c>
      <c r="C2346" s="20">
        <f t="shared" ref="C2346" si="72">+C2349+C2351</f>
        <v>-2976579.88</v>
      </c>
    </row>
    <row r="2347" spans="1:3" ht="15" x14ac:dyDescent="0.25">
      <c r="A2347" s="2">
        <v>3301</v>
      </c>
      <c r="B2347" s="3" t="s">
        <v>612</v>
      </c>
      <c r="C2347" s="9"/>
    </row>
    <row r="2348" spans="1:3" ht="15" x14ac:dyDescent="0.25">
      <c r="A2348" s="2">
        <v>330102</v>
      </c>
      <c r="B2348" s="3" t="s">
        <v>613</v>
      </c>
      <c r="C2348" s="9"/>
    </row>
    <row r="2349" spans="1:3" s="15" customFormat="1" ht="15" x14ac:dyDescent="0.25">
      <c r="A2349" s="18" t="s">
        <v>1689</v>
      </c>
      <c r="B2349" s="19" t="s">
        <v>1690</v>
      </c>
      <c r="C2349" s="20"/>
    </row>
    <row r="2350" spans="1:3" ht="15" x14ac:dyDescent="0.25">
      <c r="A2350" s="2">
        <v>330109</v>
      </c>
      <c r="B2350" s="3" t="s">
        <v>59</v>
      </c>
      <c r="C2350" s="9"/>
    </row>
    <row r="2351" spans="1:3" s="15" customFormat="1" ht="15" x14ac:dyDescent="0.25">
      <c r="A2351" s="18" t="s">
        <v>1691</v>
      </c>
      <c r="B2351" s="19" t="s">
        <v>1692</v>
      </c>
      <c r="C2351" s="20">
        <v>-2976579.88</v>
      </c>
    </row>
    <row r="2352" spans="1:3" ht="15" x14ac:dyDescent="0.25">
      <c r="A2352" s="2">
        <v>3303</v>
      </c>
      <c r="B2352" s="3" t="s">
        <v>614</v>
      </c>
      <c r="C2352" s="9"/>
    </row>
    <row r="2353" spans="1:3" ht="30" x14ac:dyDescent="0.25">
      <c r="A2353" s="2">
        <v>330301</v>
      </c>
      <c r="B2353" s="4" t="s">
        <v>615</v>
      </c>
      <c r="C2353" s="11"/>
    </row>
    <row r="2354" spans="1:3" ht="30" x14ac:dyDescent="0.25">
      <c r="A2354" s="2">
        <v>330302</v>
      </c>
      <c r="B2354" s="4" t="s">
        <v>616</v>
      </c>
      <c r="C2354" s="11"/>
    </row>
    <row r="2355" spans="1:3" ht="15" x14ac:dyDescent="0.25">
      <c r="A2355" s="2">
        <v>36</v>
      </c>
      <c r="B2355" s="3" t="s">
        <v>617</v>
      </c>
      <c r="C2355" s="9"/>
    </row>
    <row r="2356" spans="1:3" ht="30" x14ac:dyDescent="0.25">
      <c r="A2356" s="2">
        <v>3605</v>
      </c>
      <c r="B2356" s="4" t="s">
        <v>618</v>
      </c>
      <c r="C2356" s="20"/>
    </row>
    <row r="2357" spans="1:3" ht="15" x14ac:dyDescent="0.25">
      <c r="A2357" s="2">
        <v>38</v>
      </c>
      <c r="B2357" s="3" t="s">
        <v>619</v>
      </c>
      <c r="C2357" s="20">
        <f t="shared" ref="C2357" si="73">+C2366</f>
        <v>12046225.449999999</v>
      </c>
    </row>
    <row r="2358" spans="1:3" ht="15" x14ac:dyDescent="0.25">
      <c r="A2358" s="2">
        <v>3801</v>
      </c>
      <c r="B2358" s="3" t="s">
        <v>620</v>
      </c>
      <c r="C2358" s="9"/>
    </row>
    <row r="2359" spans="1:3" ht="15" x14ac:dyDescent="0.25">
      <c r="A2359" s="2">
        <v>380101</v>
      </c>
      <c r="B2359" s="3" t="s">
        <v>621</v>
      </c>
      <c r="C2359" s="9"/>
    </row>
    <row r="2360" spans="1:3" ht="15" x14ac:dyDescent="0.25">
      <c r="A2360" s="2">
        <v>380102</v>
      </c>
      <c r="B2360" s="3" t="s">
        <v>622</v>
      </c>
      <c r="C2360" s="9"/>
    </row>
    <row r="2361" spans="1:3" ht="15" x14ac:dyDescent="0.25">
      <c r="A2361" s="2">
        <v>380103</v>
      </c>
      <c r="B2361" s="3" t="s">
        <v>623</v>
      </c>
      <c r="C2361" s="9"/>
    </row>
    <row r="2362" spans="1:3" ht="30" x14ac:dyDescent="0.25">
      <c r="A2362" s="2">
        <v>380104</v>
      </c>
      <c r="B2362" s="4" t="s">
        <v>624</v>
      </c>
      <c r="C2362" s="11"/>
    </row>
    <row r="2363" spans="1:3" ht="30" x14ac:dyDescent="0.25">
      <c r="A2363" s="2">
        <v>380105</v>
      </c>
      <c r="B2363" s="4" t="s">
        <v>625</v>
      </c>
      <c r="C2363" s="11"/>
    </row>
    <row r="2364" spans="1:3" ht="15" x14ac:dyDescent="0.25">
      <c r="A2364" s="2">
        <v>3802</v>
      </c>
      <c r="B2364" s="3" t="s">
        <v>626</v>
      </c>
      <c r="C2364" s="9"/>
    </row>
    <row r="2365" spans="1:3" ht="15" x14ac:dyDescent="0.25">
      <c r="A2365" s="2">
        <v>380201</v>
      </c>
      <c r="B2365" s="3" t="s">
        <v>627</v>
      </c>
      <c r="C2365" s="9"/>
    </row>
    <row r="2366" spans="1:3" s="15" customFormat="1" ht="15" x14ac:dyDescent="0.25">
      <c r="A2366" s="18" t="s">
        <v>1693</v>
      </c>
      <c r="B2366" s="19" t="s">
        <v>1694</v>
      </c>
      <c r="C2366" s="20">
        <v>12046225.449999999</v>
      </c>
    </row>
    <row r="2367" spans="1:3" ht="15" x14ac:dyDescent="0.25">
      <c r="A2367" s="2">
        <v>380203</v>
      </c>
      <c r="B2367" s="3" t="s">
        <v>628</v>
      </c>
      <c r="C2367" s="9"/>
    </row>
    <row r="2368" spans="1:3" ht="30" x14ac:dyDescent="0.25">
      <c r="A2368" s="2">
        <v>380204</v>
      </c>
      <c r="B2368" s="4" t="s">
        <v>629</v>
      </c>
      <c r="C2368" s="11"/>
    </row>
    <row r="2369" spans="1:3" ht="30" x14ac:dyDescent="0.25">
      <c r="A2369" s="2">
        <v>380205</v>
      </c>
      <c r="B2369" s="4" t="s">
        <v>630</v>
      </c>
      <c r="C2369" s="11"/>
    </row>
    <row r="2370" spans="1:3" ht="15" x14ac:dyDescent="0.25">
      <c r="A2370" s="2">
        <v>39</v>
      </c>
      <c r="B2370" s="3" t="s">
        <v>631</v>
      </c>
      <c r="C2370" s="20">
        <f t="shared" ref="C2370" si="74">+C2375+C2372</f>
        <v>259632.99</v>
      </c>
    </row>
    <row r="2371" spans="1:3" ht="15" x14ac:dyDescent="0.25">
      <c r="A2371" s="2">
        <v>3901</v>
      </c>
      <c r="B2371" s="3" t="s">
        <v>632</v>
      </c>
      <c r="C2371" s="9"/>
    </row>
    <row r="2372" spans="1:3" ht="15" x14ac:dyDescent="0.25">
      <c r="A2372" s="2">
        <v>390101</v>
      </c>
      <c r="B2372" s="3" t="s">
        <v>633</v>
      </c>
      <c r="C2372" s="9"/>
    </row>
    <row r="2373" spans="1:3" ht="15" x14ac:dyDescent="0.25">
      <c r="A2373" s="2">
        <v>390102</v>
      </c>
      <c r="B2373" s="3" t="s">
        <v>634</v>
      </c>
      <c r="C2373" s="9"/>
    </row>
    <row r="2374" spans="1:3" ht="15" x14ac:dyDescent="0.25">
      <c r="A2374" s="2">
        <v>3902</v>
      </c>
      <c r="B2374" s="3" t="s">
        <v>635</v>
      </c>
      <c r="C2374" s="9"/>
    </row>
    <row r="2375" spans="1:3" ht="15" x14ac:dyDescent="0.25">
      <c r="A2375" s="2">
        <v>390201</v>
      </c>
      <c r="B2375" s="3" t="s">
        <v>636</v>
      </c>
      <c r="C2375" s="20">
        <v>259632.99</v>
      </c>
    </row>
    <row r="2376" spans="1:3" ht="15" x14ac:dyDescent="0.25">
      <c r="A2376" s="2">
        <v>4</v>
      </c>
      <c r="B2376" s="3" t="s">
        <v>637</v>
      </c>
      <c r="C2376" s="20">
        <f t="shared" ref="C2376" si="75">+C2377+C2679+C2702+C2846+C2888+C3116</f>
        <v>2182934.12</v>
      </c>
    </row>
    <row r="2377" spans="1:3" ht="15" x14ac:dyDescent="0.25">
      <c r="A2377" s="2">
        <v>41</v>
      </c>
      <c r="B2377" s="3" t="s">
        <v>638</v>
      </c>
      <c r="C2377" s="20">
        <f t="shared" ref="C2377" si="76">+C2397+C2401+C2404+C2460+C2463+C2470</f>
        <v>933959.06</v>
      </c>
    </row>
    <row r="2378" spans="1:3" ht="15" x14ac:dyDescent="0.25">
      <c r="A2378" s="2">
        <v>4101</v>
      </c>
      <c r="B2378" s="3" t="s">
        <v>639</v>
      </c>
      <c r="C2378" s="9"/>
    </row>
    <row r="2379" spans="1:3" ht="13.8" x14ac:dyDescent="0.25">
      <c r="A2379" s="5">
        <v>410101</v>
      </c>
      <c r="B2379" s="6" t="s">
        <v>640</v>
      </c>
      <c r="C2379" s="12"/>
    </row>
    <row r="2380" spans="1:3" ht="13.8" x14ac:dyDescent="0.25">
      <c r="A2380" s="5">
        <v>41010101</v>
      </c>
      <c r="B2380" s="6" t="s">
        <v>411</v>
      </c>
      <c r="C2380" s="12"/>
    </row>
    <row r="2381" spans="1:3" ht="13.8" x14ac:dyDescent="0.25">
      <c r="A2381" s="5">
        <v>41010102</v>
      </c>
      <c r="B2381" s="6" t="s">
        <v>412</v>
      </c>
      <c r="C2381" s="12"/>
    </row>
    <row r="2382" spans="1:3" ht="13.8" x14ac:dyDescent="0.25">
      <c r="A2382" s="5">
        <v>41010103</v>
      </c>
      <c r="B2382" s="6" t="s">
        <v>413</v>
      </c>
      <c r="C2382" s="12"/>
    </row>
    <row r="2383" spans="1:3" ht="13.8" x14ac:dyDescent="0.25">
      <c r="A2383" s="5">
        <v>41010104</v>
      </c>
      <c r="B2383" s="6" t="s">
        <v>414</v>
      </c>
      <c r="C2383" s="12"/>
    </row>
    <row r="2384" spans="1:3" ht="13.8" x14ac:dyDescent="0.25">
      <c r="A2384" s="5">
        <v>41010105</v>
      </c>
      <c r="B2384" s="6" t="s">
        <v>415</v>
      </c>
      <c r="C2384" s="12"/>
    </row>
    <row r="2385" spans="1:3" ht="13.8" x14ac:dyDescent="0.25">
      <c r="A2385" s="5">
        <v>41010106</v>
      </c>
      <c r="B2385" s="6" t="s">
        <v>416</v>
      </c>
      <c r="C2385" s="12"/>
    </row>
    <row r="2386" spans="1:3" ht="13.8" x14ac:dyDescent="0.25">
      <c r="A2386" s="5">
        <v>41010107</v>
      </c>
      <c r="B2386" s="6" t="s">
        <v>417</v>
      </c>
      <c r="C2386" s="12"/>
    </row>
    <row r="2387" spans="1:3" ht="13.8" x14ac:dyDescent="0.25">
      <c r="A2387" s="5">
        <v>41010108</v>
      </c>
      <c r="B2387" s="6" t="s">
        <v>420</v>
      </c>
      <c r="C2387" s="12"/>
    </row>
    <row r="2388" spans="1:3" ht="13.8" x14ac:dyDescent="0.25">
      <c r="A2388" s="5">
        <v>41010109</v>
      </c>
      <c r="B2388" s="6" t="s">
        <v>423</v>
      </c>
      <c r="C2388" s="12"/>
    </row>
    <row r="2389" spans="1:3" ht="13.8" x14ac:dyDescent="0.25">
      <c r="A2389" s="5">
        <v>41010110</v>
      </c>
      <c r="B2389" s="6" t="s">
        <v>431</v>
      </c>
      <c r="C2389" s="12"/>
    </row>
    <row r="2390" spans="1:3" ht="13.8" x14ac:dyDescent="0.25">
      <c r="A2390" s="5">
        <v>41010112</v>
      </c>
      <c r="B2390" s="6" t="s">
        <v>433</v>
      </c>
      <c r="C2390" s="12"/>
    </row>
    <row r="2391" spans="1:3" ht="13.8" x14ac:dyDescent="0.25">
      <c r="A2391" s="5">
        <v>41010113</v>
      </c>
      <c r="B2391" s="6" t="s">
        <v>435</v>
      </c>
      <c r="C2391" s="12"/>
    </row>
    <row r="2392" spans="1:3" ht="13.8" x14ac:dyDescent="0.25">
      <c r="A2392" s="5">
        <v>41010114</v>
      </c>
      <c r="B2392" s="6" t="s">
        <v>436</v>
      </c>
      <c r="C2392" s="12"/>
    </row>
    <row r="2393" spans="1:3" ht="13.8" x14ac:dyDescent="0.25">
      <c r="A2393" s="5">
        <v>41010115</v>
      </c>
      <c r="B2393" s="6" t="s">
        <v>437</v>
      </c>
      <c r="C2393" s="12"/>
    </row>
    <row r="2394" spans="1:3" ht="13.8" x14ac:dyDescent="0.25">
      <c r="A2394" s="5">
        <v>41010116</v>
      </c>
      <c r="B2394" s="6" t="s">
        <v>438</v>
      </c>
      <c r="C2394" s="12"/>
    </row>
    <row r="2395" spans="1:3" ht="13.8" x14ac:dyDescent="0.25">
      <c r="A2395" s="5">
        <v>41010119</v>
      </c>
      <c r="B2395" s="6" t="s">
        <v>439</v>
      </c>
      <c r="C2395" s="12"/>
    </row>
    <row r="2396" spans="1:3" ht="30" x14ac:dyDescent="0.25">
      <c r="A2396" s="2">
        <v>410102</v>
      </c>
      <c r="B2396" s="4" t="s">
        <v>641</v>
      </c>
      <c r="C2396" s="11"/>
    </row>
    <row r="2397" spans="1:3" s="15" customFormat="1" ht="15" x14ac:dyDescent="0.25">
      <c r="A2397" s="18" t="s">
        <v>1695</v>
      </c>
      <c r="B2397" s="19" t="s">
        <v>1696</v>
      </c>
      <c r="C2397" s="20">
        <v>114594.01</v>
      </c>
    </row>
    <row r="2398" spans="1:3" ht="15" x14ac:dyDescent="0.25">
      <c r="A2398" s="2">
        <v>41010202</v>
      </c>
      <c r="B2398" s="3" t="s">
        <v>444</v>
      </c>
      <c r="C2398" s="9"/>
    </row>
    <row r="2399" spans="1:3" ht="30" x14ac:dyDescent="0.25">
      <c r="A2399" s="2">
        <v>410103</v>
      </c>
      <c r="B2399" s="4" t="s">
        <v>642</v>
      </c>
      <c r="C2399" s="11"/>
    </row>
    <row r="2400" spans="1:3" ht="15" x14ac:dyDescent="0.25">
      <c r="A2400" s="2">
        <v>41010301</v>
      </c>
      <c r="B2400" s="3" t="s">
        <v>643</v>
      </c>
      <c r="C2400" s="9"/>
    </row>
    <row r="2401" spans="1:3" s="15" customFormat="1" ht="15" x14ac:dyDescent="0.25">
      <c r="A2401" s="18" t="s">
        <v>1697</v>
      </c>
      <c r="B2401" s="19" t="s">
        <v>1698</v>
      </c>
      <c r="C2401" s="20">
        <v>760668.86</v>
      </c>
    </row>
    <row r="2402" spans="1:3" s="15" customFormat="1" ht="15" x14ac:dyDescent="0.25">
      <c r="A2402" s="18" t="s">
        <v>1699</v>
      </c>
      <c r="B2402" s="19" t="s">
        <v>1698</v>
      </c>
      <c r="C2402" s="20"/>
    </row>
    <row r="2403" spans="1:3" ht="15" x14ac:dyDescent="0.25">
      <c r="A2403" s="2">
        <v>41010305</v>
      </c>
      <c r="B2403" s="3" t="s">
        <v>644</v>
      </c>
      <c r="C2403" s="9"/>
    </row>
    <row r="2404" spans="1:3" s="15" customFormat="1" ht="15" x14ac:dyDescent="0.25">
      <c r="A2404" s="18" t="s">
        <v>1700</v>
      </c>
      <c r="B2404" s="19" t="s">
        <v>1701</v>
      </c>
      <c r="C2404" s="20"/>
    </row>
    <row r="2405" spans="1:3" ht="15" x14ac:dyDescent="0.25">
      <c r="A2405" s="2">
        <v>410107</v>
      </c>
      <c r="B2405" s="3" t="s">
        <v>645</v>
      </c>
      <c r="C2405" s="9"/>
    </row>
    <row r="2406" spans="1:3" ht="15" x14ac:dyDescent="0.25">
      <c r="A2406" s="2">
        <v>41010701</v>
      </c>
      <c r="B2406" s="3" t="s">
        <v>457</v>
      </c>
      <c r="C2406" s="9"/>
    </row>
    <row r="2407" spans="1:3" ht="15" x14ac:dyDescent="0.25">
      <c r="A2407" s="2">
        <v>41010702</v>
      </c>
      <c r="B2407" s="3" t="s">
        <v>458</v>
      </c>
      <c r="C2407" s="9"/>
    </row>
    <row r="2408" spans="1:3" ht="15" x14ac:dyDescent="0.25">
      <c r="A2408" s="2">
        <v>41010703</v>
      </c>
      <c r="B2408" s="3" t="s">
        <v>459</v>
      </c>
      <c r="C2408" s="9"/>
    </row>
    <row r="2409" spans="1:3" s="15" customFormat="1" ht="15" x14ac:dyDescent="0.25">
      <c r="A2409" s="18" t="s">
        <v>1702</v>
      </c>
      <c r="B2409" s="19" t="s">
        <v>1703</v>
      </c>
      <c r="C2409" s="20"/>
    </row>
    <row r="2410" spans="1:3" ht="15" x14ac:dyDescent="0.25">
      <c r="A2410" s="2">
        <v>41010709</v>
      </c>
      <c r="B2410" s="3" t="s">
        <v>646</v>
      </c>
      <c r="C2410" s="9"/>
    </row>
    <row r="2411" spans="1:3" ht="15" x14ac:dyDescent="0.25">
      <c r="A2411" s="2">
        <v>4102</v>
      </c>
      <c r="B2411" s="3" t="s">
        <v>647</v>
      </c>
      <c r="C2411" s="9"/>
    </row>
    <row r="2412" spans="1:3" ht="15" x14ac:dyDescent="0.25">
      <c r="A2412" s="2">
        <v>410207</v>
      </c>
      <c r="B2412" s="3" t="s">
        <v>35</v>
      </c>
      <c r="C2412" s="9"/>
    </row>
    <row r="2413" spans="1:3" ht="15" x14ac:dyDescent="0.25">
      <c r="A2413" s="2">
        <v>4103</v>
      </c>
      <c r="B2413" s="3" t="s">
        <v>648</v>
      </c>
      <c r="C2413" s="9"/>
    </row>
    <row r="2414" spans="1:3" ht="13.8" x14ac:dyDescent="0.25">
      <c r="A2414" s="5">
        <v>410301</v>
      </c>
      <c r="B2414" s="6" t="s">
        <v>649</v>
      </c>
      <c r="C2414" s="12"/>
    </row>
    <row r="2415" spans="1:3" ht="15" x14ac:dyDescent="0.25">
      <c r="A2415" s="2">
        <v>410302</v>
      </c>
      <c r="B2415" s="3" t="s">
        <v>650</v>
      </c>
      <c r="C2415" s="9"/>
    </row>
    <row r="2416" spans="1:3" ht="15" x14ac:dyDescent="0.25">
      <c r="A2416" s="2">
        <v>410303</v>
      </c>
      <c r="B2416" s="3" t="s">
        <v>651</v>
      </c>
      <c r="C2416" s="9"/>
    </row>
    <row r="2417" spans="1:3" ht="15" x14ac:dyDescent="0.25">
      <c r="A2417" s="2">
        <v>4104</v>
      </c>
      <c r="B2417" s="3" t="s">
        <v>652</v>
      </c>
      <c r="C2417" s="9"/>
    </row>
    <row r="2418" spans="1:3" ht="30" x14ac:dyDescent="0.25">
      <c r="A2418" s="2">
        <v>410402</v>
      </c>
      <c r="B2418" s="4" t="s">
        <v>653</v>
      </c>
      <c r="C2418" s="11"/>
    </row>
    <row r="2419" spans="1:3" ht="15" x14ac:dyDescent="0.25">
      <c r="A2419" s="2">
        <v>41040202</v>
      </c>
      <c r="B2419" s="3" t="s">
        <v>654</v>
      </c>
      <c r="C2419" s="9"/>
    </row>
    <row r="2420" spans="1:3" ht="15" x14ac:dyDescent="0.25">
      <c r="A2420" s="2">
        <v>41040209</v>
      </c>
      <c r="B2420" s="3" t="s">
        <v>655</v>
      </c>
      <c r="C2420" s="9"/>
    </row>
    <row r="2421" spans="1:3" ht="30" x14ac:dyDescent="0.25">
      <c r="A2421" s="2">
        <v>410403</v>
      </c>
      <c r="B2421" s="4" t="s">
        <v>656</v>
      </c>
      <c r="C2421" s="11"/>
    </row>
    <row r="2422" spans="1:3" ht="15" x14ac:dyDescent="0.25">
      <c r="A2422" s="2">
        <v>41040302</v>
      </c>
      <c r="B2422" s="3" t="s">
        <v>654</v>
      </c>
      <c r="C2422" s="9"/>
    </row>
    <row r="2423" spans="1:3" ht="15" x14ac:dyDescent="0.25">
      <c r="A2423" s="2">
        <v>41040304</v>
      </c>
      <c r="B2423" s="3" t="s">
        <v>657</v>
      </c>
      <c r="C2423" s="9"/>
    </row>
    <row r="2424" spans="1:3" ht="15" x14ac:dyDescent="0.25">
      <c r="A2424" s="2">
        <v>41040306</v>
      </c>
      <c r="B2424" s="3" t="s">
        <v>658</v>
      </c>
      <c r="C2424" s="9"/>
    </row>
    <row r="2425" spans="1:3" ht="15" x14ac:dyDescent="0.25">
      <c r="A2425" s="2">
        <v>41040309</v>
      </c>
      <c r="B2425" s="3" t="s">
        <v>655</v>
      </c>
      <c r="C2425" s="9"/>
    </row>
    <row r="2426" spans="1:3" ht="30" x14ac:dyDescent="0.25">
      <c r="A2426" s="2">
        <v>410404</v>
      </c>
      <c r="B2426" s="4" t="s">
        <v>659</v>
      </c>
      <c r="C2426" s="11"/>
    </row>
    <row r="2427" spans="1:3" ht="13.8" x14ac:dyDescent="0.25">
      <c r="A2427" s="5">
        <v>41040401</v>
      </c>
      <c r="B2427" s="6" t="s">
        <v>660</v>
      </c>
      <c r="C2427" s="12"/>
    </row>
    <row r="2428" spans="1:3" ht="15" x14ac:dyDescent="0.25">
      <c r="A2428" s="2">
        <v>41040402</v>
      </c>
      <c r="B2428" s="3" t="s">
        <v>654</v>
      </c>
      <c r="C2428" s="9"/>
    </row>
    <row r="2429" spans="1:3" ht="15" x14ac:dyDescent="0.25">
      <c r="A2429" s="2">
        <v>41040409</v>
      </c>
      <c r="B2429" s="3" t="s">
        <v>655</v>
      </c>
      <c r="C2429" s="9"/>
    </row>
    <row r="2430" spans="1:3" ht="30" x14ac:dyDescent="0.25">
      <c r="A2430" s="2">
        <v>410405</v>
      </c>
      <c r="B2430" s="4" t="s">
        <v>661</v>
      </c>
      <c r="C2430" s="11"/>
    </row>
    <row r="2431" spans="1:3" ht="15" x14ac:dyDescent="0.25">
      <c r="A2431" s="2">
        <v>41040501</v>
      </c>
      <c r="B2431" s="3" t="s">
        <v>662</v>
      </c>
      <c r="C2431" s="9"/>
    </row>
    <row r="2432" spans="1:3" ht="15" x14ac:dyDescent="0.25">
      <c r="A2432" s="2">
        <v>41040509</v>
      </c>
      <c r="B2432" s="3" t="s">
        <v>655</v>
      </c>
      <c r="C2432" s="9"/>
    </row>
    <row r="2433" spans="1:3" ht="15" x14ac:dyDescent="0.25">
      <c r="A2433" s="2">
        <v>410406</v>
      </c>
      <c r="B2433" s="3" t="s">
        <v>663</v>
      </c>
      <c r="C2433" s="9"/>
    </row>
    <row r="2434" spans="1:3" ht="15" x14ac:dyDescent="0.25">
      <c r="A2434" s="2">
        <v>41040601</v>
      </c>
      <c r="B2434" s="3" t="s">
        <v>664</v>
      </c>
      <c r="C2434" s="9"/>
    </row>
    <row r="2435" spans="1:3" ht="15" x14ac:dyDescent="0.25">
      <c r="A2435" s="2">
        <v>41040606</v>
      </c>
      <c r="B2435" s="3" t="s">
        <v>665</v>
      </c>
      <c r="C2435" s="9"/>
    </row>
    <row r="2436" spans="1:3" ht="15" x14ac:dyDescent="0.25">
      <c r="A2436" s="2">
        <v>41040609</v>
      </c>
      <c r="B2436" s="3" t="s">
        <v>655</v>
      </c>
      <c r="C2436" s="9"/>
    </row>
    <row r="2437" spans="1:3" ht="15" x14ac:dyDescent="0.25">
      <c r="A2437" s="2">
        <v>410407</v>
      </c>
      <c r="B2437" s="3" t="s">
        <v>666</v>
      </c>
      <c r="C2437" s="9"/>
    </row>
    <row r="2438" spans="1:3" ht="15" x14ac:dyDescent="0.25">
      <c r="A2438" s="2">
        <v>41040701</v>
      </c>
      <c r="B2438" s="3" t="s">
        <v>664</v>
      </c>
      <c r="C2438" s="9"/>
    </row>
    <row r="2439" spans="1:3" ht="15" x14ac:dyDescent="0.25">
      <c r="A2439" s="2">
        <v>41040709</v>
      </c>
      <c r="B2439" s="3" t="s">
        <v>655</v>
      </c>
      <c r="C2439" s="9"/>
    </row>
    <row r="2440" spans="1:3" ht="15" x14ac:dyDescent="0.25">
      <c r="A2440" s="2">
        <v>4105</v>
      </c>
      <c r="B2440" s="3" t="s">
        <v>667</v>
      </c>
      <c r="C2440" s="9"/>
    </row>
    <row r="2441" spans="1:3" ht="15" x14ac:dyDescent="0.25">
      <c r="A2441" s="2">
        <v>410501</v>
      </c>
      <c r="B2441" s="3" t="s">
        <v>668</v>
      </c>
      <c r="C2441" s="9"/>
    </row>
    <row r="2442" spans="1:3" ht="27.6" x14ac:dyDescent="0.25">
      <c r="A2442" s="5">
        <v>41050101</v>
      </c>
      <c r="B2442" s="4" t="s">
        <v>669</v>
      </c>
      <c r="C2442" s="11"/>
    </row>
    <row r="2443" spans="1:3" ht="27.6" x14ac:dyDescent="0.25">
      <c r="A2443" s="5">
        <v>41050102</v>
      </c>
      <c r="B2443" s="4" t="s">
        <v>670</v>
      </c>
      <c r="C2443" s="11"/>
    </row>
    <row r="2444" spans="1:3" ht="27.6" x14ac:dyDescent="0.25">
      <c r="A2444" s="5">
        <v>41050103</v>
      </c>
      <c r="B2444" s="4" t="s">
        <v>671</v>
      </c>
      <c r="C2444" s="11"/>
    </row>
    <row r="2445" spans="1:3" ht="15" x14ac:dyDescent="0.25">
      <c r="A2445" s="2">
        <v>41050109</v>
      </c>
      <c r="B2445" s="3" t="s">
        <v>672</v>
      </c>
      <c r="C2445" s="9"/>
    </row>
    <row r="2446" spans="1:3" ht="30" x14ac:dyDescent="0.25">
      <c r="A2446" s="2">
        <v>4106</v>
      </c>
      <c r="B2446" s="4" t="s">
        <v>673</v>
      </c>
      <c r="C2446" s="11"/>
    </row>
    <row r="2447" spans="1:3" ht="15" x14ac:dyDescent="0.25">
      <c r="A2447" s="2">
        <v>410601</v>
      </c>
      <c r="B2447" s="3" t="s">
        <v>674</v>
      </c>
      <c r="C2447" s="9"/>
    </row>
    <row r="2448" spans="1:3" ht="15" x14ac:dyDescent="0.25">
      <c r="A2448" s="2">
        <v>410602</v>
      </c>
      <c r="B2448" s="3" t="s">
        <v>675</v>
      </c>
      <c r="C2448" s="9"/>
    </row>
    <row r="2449" spans="1:3" ht="15" x14ac:dyDescent="0.25">
      <c r="A2449" s="2">
        <v>410606</v>
      </c>
      <c r="B2449" s="3" t="s">
        <v>676</v>
      </c>
      <c r="C2449" s="9"/>
    </row>
    <row r="2450" spans="1:3" ht="15" x14ac:dyDescent="0.25">
      <c r="A2450" s="2">
        <v>410607</v>
      </c>
      <c r="B2450" s="3" t="s">
        <v>677</v>
      </c>
      <c r="C2450" s="9"/>
    </row>
    <row r="2451" spans="1:3" ht="15" x14ac:dyDescent="0.25">
      <c r="A2451" s="2">
        <v>41060701</v>
      </c>
      <c r="B2451" s="3" t="s">
        <v>678</v>
      </c>
      <c r="C2451" s="9"/>
    </row>
    <row r="2452" spans="1:3" ht="15" x14ac:dyDescent="0.25">
      <c r="A2452" s="2">
        <v>41060702</v>
      </c>
      <c r="B2452" s="3" t="s">
        <v>679</v>
      </c>
      <c r="C2452" s="9"/>
    </row>
    <row r="2453" spans="1:3" ht="15" x14ac:dyDescent="0.25">
      <c r="A2453" s="2">
        <v>41060703</v>
      </c>
      <c r="B2453" s="3" t="s">
        <v>81</v>
      </c>
      <c r="C2453" s="9"/>
    </row>
    <row r="2454" spans="1:3" ht="15" x14ac:dyDescent="0.25">
      <c r="A2454" s="2">
        <v>41060709</v>
      </c>
      <c r="B2454" s="3" t="s">
        <v>677</v>
      </c>
      <c r="C2454" s="9"/>
    </row>
    <row r="2455" spans="1:3" ht="15" x14ac:dyDescent="0.25">
      <c r="A2455" s="2">
        <v>4107</v>
      </c>
      <c r="B2455" s="3" t="s">
        <v>680</v>
      </c>
      <c r="C2455" s="9"/>
    </row>
    <row r="2456" spans="1:3" ht="15" x14ac:dyDescent="0.25">
      <c r="A2456" s="2">
        <v>410703</v>
      </c>
      <c r="B2456" s="3" t="s">
        <v>681</v>
      </c>
      <c r="C2456" s="9"/>
    </row>
    <row r="2457" spans="1:3" ht="15" x14ac:dyDescent="0.25">
      <c r="A2457" s="2">
        <v>410709</v>
      </c>
      <c r="B2457" s="3" t="s">
        <v>59</v>
      </c>
      <c r="C2457" s="9"/>
    </row>
    <row r="2458" spans="1:3" ht="15" x14ac:dyDescent="0.25">
      <c r="A2458" s="2">
        <v>4108</v>
      </c>
      <c r="B2458" s="3" t="s">
        <v>682</v>
      </c>
      <c r="C2458" s="9"/>
    </row>
    <row r="2459" spans="1:3" ht="15" x14ac:dyDescent="0.25">
      <c r="A2459" s="2">
        <v>410801</v>
      </c>
      <c r="B2459" s="3" t="s">
        <v>683</v>
      </c>
      <c r="C2459" s="9"/>
    </row>
    <row r="2460" spans="1:3" s="15" customFormat="1" ht="15" x14ac:dyDescent="0.25">
      <c r="A2460" s="18" t="s">
        <v>1704</v>
      </c>
      <c r="B2460" s="19" t="s">
        <v>1705</v>
      </c>
      <c r="C2460" s="20">
        <v>393.87</v>
      </c>
    </row>
    <row r="2461" spans="1:3" s="15" customFormat="1" ht="15" x14ac:dyDescent="0.25">
      <c r="A2461" s="18">
        <v>410804</v>
      </c>
      <c r="B2461" s="19" t="s">
        <v>684</v>
      </c>
      <c r="C2461" s="20"/>
    </row>
    <row r="2462" spans="1:3" s="15" customFormat="1" ht="15" x14ac:dyDescent="0.25">
      <c r="A2462" s="18">
        <v>41080403</v>
      </c>
      <c r="B2462" s="19" t="s">
        <v>685</v>
      </c>
      <c r="C2462" s="20"/>
    </row>
    <row r="2463" spans="1:3" s="15" customFormat="1" ht="15" x14ac:dyDescent="0.25">
      <c r="A2463" s="18" t="s">
        <v>1706</v>
      </c>
      <c r="B2463" s="19" t="s">
        <v>1707</v>
      </c>
      <c r="C2463" s="20">
        <v>13651.16</v>
      </c>
    </row>
    <row r="2464" spans="1:3" s="15" customFormat="1" ht="15" x14ac:dyDescent="0.25">
      <c r="A2464" s="18">
        <v>410809</v>
      </c>
      <c r="B2464" s="19" t="s">
        <v>59</v>
      </c>
      <c r="C2464" s="20"/>
    </row>
    <row r="2465" spans="1:3" ht="15" x14ac:dyDescent="0.25">
      <c r="A2465" s="2">
        <v>4109</v>
      </c>
      <c r="B2465" s="3" t="s">
        <v>686</v>
      </c>
      <c r="C2465" s="9"/>
    </row>
    <row r="2466" spans="1:3" ht="15" x14ac:dyDescent="0.25">
      <c r="A2466" s="2">
        <v>410901</v>
      </c>
      <c r="B2466" s="3" t="s">
        <v>687</v>
      </c>
      <c r="C2466" s="9"/>
    </row>
    <row r="2467" spans="1:3" ht="15" x14ac:dyDescent="0.25">
      <c r="A2467" s="2">
        <v>410903</v>
      </c>
      <c r="B2467" s="3" t="s">
        <v>688</v>
      </c>
      <c r="C2467" s="9"/>
    </row>
    <row r="2468" spans="1:3" ht="15" x14ac:dyDescent="0.25">
      <c r="A2468" s="2">
        <v>410904</v>
      </c>
      <c r="B2468" s="3" t="s">
        <v>689</v>
      </c>
      <c r="C2468" s="9"/>
    </row>
    <row r="2469" spans="1:3" ht="15" x14ac:dyDescent="0.25">
      <c r="A2469" s="2">
        <v>410905</v>
      </c>
      <c r="B2469" s="3" t="s">
        <v>690</v>
      </c>
      <c r="C2469" s="9"/>
    </row>
    <row r="2470" spans="1:3" s="15" customFormat="1" ht="15" x14ac:dyDescent="0.25">
      <c r="A2470" s="18" t="s">
        <v>1708</v>
      </c>
      <c r="B2470" s="19" t="s">
        <v>1709</v>
      </c>
      <c r="C2470" s="20">
        <v>44651.16</v>
      </c>
    </row>
    <row r="2471" spans="1:3" ht="15" x14ac:dyDescent="0.25">
      <c r="A2471" s="2">
        <v>410907</v>
      </c>
      <c r="B2471" s="3" t="s">
        <v>691</v>
      </c>
      <c r="C2471" s="9"/>
    </row>
    <row r="2472" spans="1:3" ht="15" x14ac:dyDescent="0.25">
      <c r="A2472" s="2">
        <v>410908</v>
      </c>
      <c r="B2472" s="3" t="s">
        <v>692</v>
      </c>
      <c r="C2472" s="9"/>
    </row>
    <row r="2473" spans="1:3" ht="15" x14ac:dyDescent="0.25">
      <c r="A2473" s="2">
        <v>410909</v>
      </c>
      <c r="B2473" s="3" t="s">
        <v>693</v>
      </c>
      <c r="C2473" s="9"/>
    </row>
    <row r="2474" spans="1:3" ht="15" x14ac:dyDescent="0.25">
      <c r="A2474" s="2">
        <v>410910</v>
      </c>
      <c r="B2474" s="3" t="s">
        <v>694</v>
      </c>
      <c r="C2474" s="9"/>
    </row>
    <row r="2475" spans="1:3" ht="30" x14ac:dyDescent="0.25">
      <c r="A2475" s="2">
        <v>410911</v>
      </c>
      <c r="B2475" s="4" t="s">
        <v>695</v>
      </c>
      <c r="C2475" s="11"/>
    </row>
    <row r="2476" spans="1:3" ht="15" x14ac:dyDescent="0.25">
      <c r="A2476" s="2">
        <v>41091105</v>
      </c>
      <c r="B2476" s="3" t="s">
        <v>39</v>
      </c>
      <c r="C2476" s="9"/>
    </row>
    <row r="2477" spans="1:3" ht="15" x14ac:dyDescent="0.25">
      <c r="A2477" s="2">
        <v>4109110501</v>
      </c>
      <c r="B2477" s="3" t="s">
        <v>40</v>
      </c>
      <c r="C2477" s="9"/>
    </row>
    <row r="2478" spans="1:3" ht="15" x14ac:dyDescent="0.25">
      <c r="A2478" s="2">
        <v>4109110519</v>
      </c>
      <c r="B2478" s="3" t="s">
        <v>41</v>
      </c>
      <c r="C2478" s="9"/>
    </row>
    <row r="2479" spans="1:3" ht="15" x14ac:dyDescent="0.25">
      <c r="A2479" s="2">
        <v>41091106</v>
      </c>
      <c r="B2479" s="3" t="s">
        <v>42</v>
      </c>
      <c r="C2479" s="9"/>
    </row>
    <row r="2480" spans="1:3" ht="15" x14ac:dyDescent="0.25">
      <c r="A2480" s="2">
        <v>4109110601</v>
      </c>
      <c r="B2480" s="3" t="s">
        <v>40</v>
      </c>
      <c r="C2480" s="9"/>
    </row>
    <row r="2481" spans="1:3" ht="15" x14ac:dyDescent="0.25">
      <c r="A2481" s="2">
        <v>4109110619</v>
      </c>
      <c r="B2481" s="3" t="s">
        <v>41</v>
      </c>
      <c r="C2481" s="9"/>
    </row>
    <row r="2482" spans="1:3" ht="15" x14ac:dyDescent="0.25">
      <c r="A2482" s="2">
        <v>41091107</v>
      </c>
      <c r="B2482" s="3" t="s">
        <v>43</v>
      </c>
      <c r="C2482" s="9"/>
    </row>
    <row r="2483" spans="1:3" ht="15" x14ac:dyDescent="0.25">
      <c r="A2483" s="2">
        <v>4109110701</v>
      </c>
      <c r="B2483" s="3" t="s">
        <v>40</v>
      </c>
      <c r="C2483" s="9"/>
    </row>
    <row r="2484" spans="1:3" ht="15" x14ac:dyDescent="0.25">
      <c r="A2484" s="2">
        <v>4109110702</v>
      </c>
      <c r="B2484" s="3" t="s">
        <v>44</v>
      </c>
      <c r="C2484" s="9"/>
    </row>
    <row r="2485" spans="1:3" ht="15" x14ac:dyDescent="0.25">
      <c r="A2485" s="2">
        <v>4109110705</v>
      </c>
      <c r="B2485" s="3" t="s">
        <v>46</v>
      </c>
      <c r="C2485" s="9"/>
    </row>
    <row r="2486" spans="1:3" ht="15" x14ac:dyDescent="0.25">
      <c r="A2486" s="2">
        <v>4109110706</v>
      </c>
      <c r="B2486" s="3" t="s">
        <v>45</v>
      </c>
      <c r="C2486" s="9"/>
    </row>
    <row r="2487" spans="1:3" ht="15" x14ac:dyDescent="0.25">
      <c r="A2487" s="2">
        <v>4109110712</v>
      </c>
      <c r="B2487" s="3" t="s">
        <v>47</v>
      </c>
      <c r="C2487" s="9"/>
    </row>
    <row r="2488" spans="1:3" ht="15" x14ac:dyDescent="0.25">
      <c r="A2488" s="2">
        <v>4109110719</v>
      </c>
      <c r="B2488" s="3" t="s">
        <v>41</v>
      </c>
      <c r="C2488" s="9"/>
    </row>
    <row r="2489" spans="1:3" ht="30" x14ac:dyDescent="0.25">
      <c r="A2489" s="2">
        <v>41091110</v>
      </c>
      <c r="B2489" s="4" t="s">
        <v>48</v>
      </c>
      <c r="C2489" s="11"/>
    </row>
    <row r="2490" spans="1:3" ht="15" x14ac:dyDescent="0.25">
      <c r="A2490" s="2">
        <v>4109111005</v>
      </c>
      <c r="B2490" s="3" t="s">
        <v>39</v>
      </c>
      <c r="C2490" s="9"/>
    </row>
    <row r="2491" spans="1:3" ht="15" x14ac:dyDescent="0.25">
      <c r="A2491" s="2">
        <v>4109111006</v>
      </c>
      <c r="B2491" s="3" t="s">
        <v>42</v>
      </c>
      <c r="C2491" s="9"/>
    </row>
    <row r="2492" spans="1:3" ht="15" x14ac:dyDescent="0.25">
      <c r="A2492" s="2">
        <v>4109111007</v>
      </c>
      <c r="B2492" s="3" t="s">
        <v>43</v>
      </c>
      <c r="C2492" s="9"/>
    </row>
    <row r="2493" spans="1:3" ht="30" x14ac:dyDescent="0.25">
      <c r="A2493" s="2">
        <v>41091111</v>
      </c>
      <c r="B2493" s="4" t="s">
        <v>50</v>
      </c>
      <c r="C2493" s="11"/>
    </row>
    <row r="2494" spans="1:3" ht="15" x14ac:dyDescent="0.25">
      <c r="A2494" s="2">
        <v>4109111105</v>
      </c>
      <c r="B2494" s="3" t="s">
        <v>39</v>
      </c>
      <c r="C2494" s="9"/>
    </row>
    <row r="2495" spans="1:3" ht="15" x14ac:dyDescent="0.25">
      <c r="A2495" s="2">
        <v>4109111106</v>
      </c>
      <c r="B2495" s="3" t="s">
        <v>42</v>
      </c>
      <c r="C2495" s="9"/>
    </row>
    <row r="2496" spans="1:3" ht="15" x14ac:dyDescent="0.25">
      <c r="A2496" s="2">
        <v>4109111107</v>
      </c>
      <c r="B2496" s="3" t="s">
        <v>43</v>
      </c>
      <c r="C2496" s="9"/>
    </row>
    <row r="2497" spans="1:3" ht="30" x14ac:dyDescent="0.25">
      <c r="A2497" s="2">
        <v>41091112</v>
      </c>
      <c r="B2497" s="4" t="s">
        <v>51</v>
      </c>
      <c r="C2497" s="11"/>
    </row>
    <row r="2498" spans="1:3" ht="15" x14ac:dyDescent="0.25">
      <c r="A2498" s="2">
        <v>4109111205</v>
      </c>
      <c r="B2498" s="3" t="s">
        <v>39</v>
      </c>
      <c r="C2498" s="9"/>
    </row>
    <row r="2499" spans="1:3" ht="15" x14ac:dyDescent="0.25">
      <c r="A2499" s="2">
        <v>4109111206</v>
      </c>
      <c r="B2499" s="3" t="s">
        <v>42</v>
      </c>
      <c r="C2499" s="9"/>
    </row>
    <row r="2500" spans="1:3" ht="15" x14ac:dyDescent="0.25">
      <c r="A2500" s="2">
        <v>4109111207</v>
      </c>
      <c r="B2500" s="3" t="s">
        <v>43</v>
      </c>
      <c r="C2500" s="9"/>
    </row>
    <row r="2501" spans="1:3" ht="15" x14ac:dyDescent="0.25">
      <c r="A2501" s="2">
        <v>41091113</v>
      </c>
      <c r="B2501" s="3" t="s">
        <v>49</v>
      </c>
      <c r="C2501" s="9"/>
    </row>
    <row r="2502" spans="1:3" ht="15" x14ac:dyDescent="0.25">
      <c r="A2502" s="2">
        <v>41091119</v>
      </c>
      <c r="B2502" s="3" t="s">
        <v>53</v>
      </c>
      <c r="C2502" s="9"/>
    </row>
    <row r="2503" spans="1:3" ht="30" x14ac:dyDescent="0.25">
      <c r="A2503" s="2">
        <v>410912</v>
      </c>
      <c r="B2503" s="4" t="s">
        <v>696</v>
      </c>
      <c r="C2503" s="11"/>
    </row>
    <row r="2504" spans="1:3" ht="15" x14ac:dyDescent="0.25">
      <c r="A2504" s="2">
        <v>41091201</v>
      </c>
      <c r="B2504" s="3" t="s">
        <v>55</v>
      </c>
      <c r="C2504" s="9"/>
    </row>
    <row r="2505" spans="1:3" ht="15" x14ac:dyDescent="0.25">
      <c r="A2505" s="2">
        <v>4109120101</v>
      </c>
      <c r="B2505" s="3" t="s">
        <v>56</v>
      </c>
      <c r="C2505" s="9"/>
    </row>
    <row r="2506" spans="1:3" ht="15" x14ac:dyDescent="0.25">
      <c r="A2506" s="2">
        <v>4109120109</v>
      </c>
      <c r="B2506" s="3" t="s">
        <v>60</v>
      </c>
      <c r="C2506" s="9"/>
    </row>
    <row r="2507" spans="1:3" ht="15" x14ac:dyDescent="0.25">
      <c r="A2507" s="2">
        <v>41091202</v>
      </c>
      <c r="B2507" s="3" t="s">
        <v>61</v>
      </c>
      <c r="C2507" s="9"/>
    </row>
    <row r="2508" spans="1:3" ht="15" x14ac:dyDescent="0.25">
      <c r="A2508" s="2">
        <v>41091203</v>
      </c>
      <c r="B2508" s="3" t="s">
        <v>62</v>
      </c>
      <c r="C2508" s="9"/>
    </row>
    <row r="2509" spans="1:3" ht="15" x14ac:dyDescent="0.25">
      <c r="A2509" s="2">
        <v>41091205</v>
      </c>
      <c r="B2509" s="3" t="s">
        <v>39</v>
      </c>
      <c r="C2509" s="9"/>
    </row>
    <row r="2510" spans="1:3" ht="15" x14ac:dyDescent="0.25">
      <c r="A2510" s="2">
        <v>4109120503</v>
      </c>
      <c r="B2510" s="3" t="s">
        <v>65</v>
      </c>
      <c r="C2510" s="9"/>
    </row>
    <row r="2511" spans="1:3" ht="15" x14ac:dyDescent="0.25">
      <c r="A2511" s="2">
        <v>4109120505</v>
      </c>
      <c r="B2511" s="3" t="s">
        <v>66</v>
      </c>
      <c r="C2511" s="9"/>
    </row>
    <row r="2512" spans="1:3" ht="15" x14ac:dyDescent="0.25">
      <c r="A2512" s="2">
        <v>4109120506</v>
      </c>
      <c r="B2512" s="3" t="s">
        <v>67</v>
      </c>
      <c r="C2512" s="9"/>
    </row>
    <row r="2513" spans="1:3" ht="15" x14ac:dyDescent="0.25">
      <c r="A2513" s="2">
        <v>4109120508</v>
      </c>
      <c r="B2513" s="3" t="s">
        <v>69</v>
      </c>
      <c r="C2513" s="9"/>
    </row>
    <row r="2514" spans="1:3" ht="15" x14ac:dyDescent="0.25">
      <c r="A2514" s="2">
        <v>4109120509</v>
      </c>
      <c r="B2514" s="3" t="s">
        <v>70</v>
      </c>
      <c r="C2514" s="9"/>
    </row>
    <row r="2515" spans="1:3" ht="30" x14ac:dyDescent="0.25">
      <c r="A2515" s="2">
        <v>4109120510</v>
      </c>
      <c r="B2515" s="4" t="s">
        <v>697</v>
      </c>
      <c r="C2515" s="11"/>
    </row>
    <row r="2516" spans="1:3" ht="15" x14ac:dyDescent="0.25">
      <c r="A2516" s="2">
        <v>4109120511</v>
      </c>
      <c r="B2516" s="3" t="s">
        <v>72</v>
      </c>
      <c r="C2516" s="9"/>
    </row>
    <row r="2517" spans="1:3" ht="15" x14ac:dyDescent="0.25">
      <c r="A2517" s="2">
        <v>4109120519</v>
      </c>
      <c r="B2517" s="3" t="s">
        <v>41</v>
      </c>
      <c r="C2517" s="9"/>
    </row>
    <row r="2518" spans="1:3" ht="15" x14ac:dyDescent="0.25">
      <c r="A2518" s="2">
        <v>41091206</v>
      </c>
      <c r="B2518" s="3" t="s">
        <v>42</v>
      </c>
      <c r="C2518" s="9"/>
    </row>
    <row r="2519" spans="1:3" ht="15" x14ac:dyDescent="0.25">
      <c r="A2519" s="2">
        <v>4109120608</v>
      </c>
      <c r="B2519" s="3" t="s">
        <v>69</v>
      </c>
      <c r="C2519" s="9"/>
    </row>
    <row r="2520" spans="1:3" ht="15" x14ac:dyDescent="0.25">
      <c r="A2520" s="2">
        <v>4109120609</v>
      </c>
      <c r="B2520" s="3" t="s">
        <v>70</v>
      </c>
      <c r="C2520" s="9"/>
    </row>
    <row r="2521" spans="1:3" ht="30" x14ac:dyDescent="0.25">
      <c r="A2521" s="2">
        <v>4109120610</v>
      </c>
      <c r="B2521" s="4" t="s">
        <v>697</v>
      </c>
      <c r="C2521" s="11"/>
    </row>
    <row r="2522" spans="1:3" ht="15" x14ac:dyDescent="0.25">
      <c r="A2522" s="2">
        <v>4109120611</v>
      </c>
      <c r="B2522" s="3" t="s">
        <v>72</v>
      </c>
      <c r="C2522" s="9"/>
    </row>
    <row r="2523" spans="1:3" ht="15" x14ac:dyDescent="0.25">
      <c r="A2523" s="2">
        <v>4109120619</v>
      </c>
      <c r="B2523" s="3" t="s">
        <v>41</v>
      </c>
      <c r="C2523" s="9"/>
    </row>
    <row r="2524" spans="1:3" ht="15" x14ac:dyDescent="0.25">
      <c r="A2524" s="2">
        <v>41091207</v>
      </c>
      <c r="B2524" s="3" t="s">
        <v>43</v>
      </c>
      <c r="C2524" s="9"/>
    </row>
    <row r="2525" spans="1:3" ht="15" x14ac:dyDescent="0.25">
      <c r="A2525" s="2">
        <v>4109120708</v>
      </c>
      <c r="B2525" s="3" t="s">
        <v>69</v>
      </c>
      <c r="C2525" s="9"/>
    </row>
    <row r="2526" spans="1:3" ht="15" x14ac:dyDescent="0.25">
      <c r="A2526" s="2">
        <v>4109120709</v>
      </c>
      <c r="B2526" s="3" t="s">
        <v>70</v>
      </c>
      <c r="C2526" s="9"/>
    </row>
    <row r="2527" spans="1:3" ht="30" x14ac:dyDescent="0.25">
      <c r="A2527" s="2">
        <v>4109120710</v>
      </c>
      <c r="B2527" s="4" t="s">
        <v>697</v>
      </c>
      <c r="C2527" s="11"/>
    </row>
    <row r="2528" spans="1:3" ht="15" x14ac:dyDescent="0.25">
      <c r="A2528" s="2">
        <v>4109120711</v>
      </c>
      <c r="B2528" s="3" t="s">
        <v>72</v>
      </c>
      <c r="C2528" s="9"/>
    </row>
    <row r="2529" spans="1:3" ht="15" x14ac:dyDescent="0.25">
      <c r="A2529" s="2">
        <v>4109120712</v>
      </c>
      <c r="B2529" s="3" t="s">
        <v>47</v>
      </c>
      <c r="C2529" s="9"/>
    </row>
    <row r="2530" spans="1:3" ht="15" x14ac:dyDescent="0.25">
      <c r="A2530" s="2">
        <v>4109120714</v>
      </c>
      <c r="B2530" s="3" t="s">
        <v>73</v>
      </c>
      <c r="C2530" s="9"/>
    </row>
    <row r="2531" spans="1:3" ht="15" x14ac:dyDescent="0.25">
      <c r="A2531" s="2">
        <v>4109120715</v>
      </c>
      <c r="B2531" s="3" t="s">
        <v>74</v>
      </c>
      <c r="C2531" s="9"/>
    </row>
    <row r="2532" spans="1:3" ht="15" x14ac:dyDescent="0.25">
      <c r="A2532" s="2">
        <v>4109120719</v>
      </c>
      <c r="B2532" s="3" t="s">
        <v>41</v>
      </c>
      <c r="C2532" s="9"/>
    </row>
    <row r="2533" spans="1:3" ht="30" x14ac:dyDescent="0.25">
      <c r="A2533" s="2">
        <v>41091210</v>
      </c>
      <c r="B2533" s="4" t="s">
        <v>48</v>
      </c>
      <c r="C2533" s="11"/>
    </row>
    <row r="2534" spans="1:3" ht="15" x14ac:dyDescent="0.25">
      <c r="A2534" s="2">
        <v>4109121001</v>
      </c>
      <c r="B2534" s="3" t="s">
        <v>55</v>
      </c>
      <c r="C2534" s="9"/>
    </row>
    <row r="2535" spans="1:3" ht="15" x14ac:dyDescent="0.25">
      <c r="A2535" s="2">
        <v>4109121002</v>
      </c>
      <c r="B2535" s="3" t="s">
        <v>61</v>
      </c>
      <c r="C2535" s="9"/>
    </row>
    <row r="2536" spans="1:3" ht="15" x14ac:dyDescent="0.25">
      <c r="A2536" s="2">
        <v>4109121003</v>
      </c>
      <c r="B2536" s="3" t="s">
        <v>62</v>
      </c>
      <c r="C2536" s="9"/>
    </row>
    <row r="2537" spans="1:3" ht="15" x14ac:dyDescent="0.25">
      <c r="A2537" s="2">
        <v>4109121005</v>
      </c>
      <c r="B2537" s="3" t="s">
        <v>39</v>
      </c>
      <c r="C2537" s="9"/>
    </row>
    <row r="2538" spans="1:3" ht="15" x14ac:dyDescent="0.25">
      <c r="A2538" s="2">
        <v>4109121006</v>
      </c>
      <c r="B2538" s="3" t="s">
        <v>42</v>
      </c>
      <c r="C2538" s="9"/>
    </row>
    <row r="2539" spans="1:3" ht="15" x14ac:dyDescent="0.25">
      <c r="A2539" s="2">
        <v>4109121007</v>
      </c>
      <c r="B2539" s="3" t="s">
        <v>43</v>
      </c>
      <c r="C2539" s="9"/>
    </row>
    <row r="2540" spans="1:3" ht="30" x14ac:dyDescent="0.25">
      <c r="A2540" s="2">
        <v>41091211</v>
      </c>
      <c r="B2540" s="4" t="s">
        <v>50</v>
      </c>
      <c r="C2540" s="11"/>
    </row>
    <row r="2541" spans="1:3" ht="15" x14ac:dyDescent="0.25">
      <c r="A2541" s="2">
        <v>4109121101</v>
      </c>
      <c r="B2541" s="3" t="s">
        <v>55</v>
      </c>
      <c r="C2541" s="9"/>
    </row>
    <row r="2542" spans="1:3" ht="15" x14ac:dyDescent="0.25">
      <c r="A2542" s="2">
        <v>4109121102</v>
      </c>
      <c r="B2542" s="3" t="s">
        <v>61</v>
      </c>
      <c r="C2542" s="9"/>
    </row>
    <row r="2543" spans="1:3" ht="15" x14ac:dyDescent="0.25">
      <c r="A2543" s="2">
        <v>4109121103</v>
      </c>
      <c r="B2543" s="3" t="s">
        <v>62</v>
      </c>
      <c r="C2543" s="9"/>
    </row>
    <row r="2544" spans="1:3" ht="15" x14ac:dyDescent="0.25">
      <c r="A2544" s="2">
        <v>4109121105</v>
      </c>
      <c r="B2544" s="3" t="s">
        <v>39</v>
      </c>
      <c r="C2544" s="9"/>
    </row>
    <row r="2545" spans="1:3" ht="15" x14ac:dyDescent="0.25">
      <c r="A2545" s="2">
        <v>4109121106</v>
      </c>
      <c r="B2545" s="3" t="s">
        <v>42</v>
      </c>
      <c r="C2545" s="9"/>
    </row>
    <row r="2546" spans="1:3" ht="15" x14ac:dyDescent="0.25">
      <c r="A2546" s="2">
        <v>4109121107</v>
      </c>
      <c r="B2546" s="3" t="s">
        <v>43</v>
      </c>
      <c r="C2546" s="9"/>
    </row>
    <row r="2547" spans="1:3" ht="30" x14ac:dyDescent="0.25">
      <c r="A2547" s="2">
        <v>41091212</v>
      </c>
      <c r="B2547" s="4" t="s">
        <v>51</v>
      </c>
      <c r="C2547" s="11"/>
    </row>
    <row r="2548" spans="1:3" ht="15" x14ac:dyDescent="0.25">
      <c r="A2548" s="2">
        <v>4109121201</v>
      </c>
      <c r="B2548" s="3" t="s">
        <v>55</v>
      </c>
      <c r="C2548" s="9"/>
    </row>
    <row r="2549" spans="1:3" ht="15" x14ac:dyDescent="0.25">
      <c r="A2549" s="2">
        <v>4109121202</v>
      </c>
      <c r="B2549" s="3" t="s">
        <v>61</v>
      </c>
      <c r="C2549" s="9"/>
    </row>
    <row r="2550" spans="1:3" ht="15" x14ac:dyDescent="0.25">
      <c r="A2550" s="2">
        <v>4109121203</v>
      </c>
      <c r="B2550" s="3" t="s">
        <v>62</v>
      </c>
      <c r="C2550" s="9"/>
    </row>
    <row r="2551" spans="1:3" ht="15" x14ac:dyDescent="0.25">
      <c r="A2551" s="2">
        <v>4109121205</v>
      </c>
      <c r="B2551" s="3" t="s">
        <v>39</v>
      </c>
      <c r="C2551" s="9"/>
    </row>
    <row r="2552" spans="1:3" ht="15" x14ac:dyDescent="0.25">
      <c r="A2552" s="2">
        <v>4109121206</v>
      </c>
      <c r="B2552" s="3" t="s">
        <v>42</v>
      </c>
      <c r="C2552" s="9"/>
    </row>
    <row r="2553" spans="1:3" ht="15" x14ac:dyDescent="0.25">
      <c r="A2553" s="2">
        <v>4109121207</v>
      </c>
      <c r="B2553" s="3" t="s">
        <v>43</v>
      </c>
      <c r="C2553" s="9"/>
    </row>
    <row r="2554" spans="1:3" ht="15" x14ac:dyDescent="0.25">
      <c r="A2554" s="2">
        <v>41091219</v>
      </c>
      <c r="B2554" s="3" t="s">
        <v>59</v>
      </c>
      <c r="C2554" s="9"/>
    </row>
    <row r="2555" spans="1:3" ht="30" x14ac:dyDescent="0.25">
      <c r="A2555" s="2">
        <v>410913</v>
      </c>
      <c r="B2555" s="4" t="s">
        <v>698</v>
      </c>
      <c r="C2555" s="11"/>
    </row>
    <row r="2556" spans="1:3" ht="15" x14ac:dyDescent="0.25">
      <c r="A2556" s="2">
        <v>41091305</v>
      </c>
      <c r="B2556" s="3" t="s">
        <v>39</v>
      </c>
      <c r="C2556" s="9"/>
    </row>
    <row r="2557" spans="1:3" ht="15" x14ac:dyDescent="0.25">
      <c r="A2557" s="2">
        <v>4109130501</v>
      </c>
      <c r="B2557" s="3" t="s">
        <v>40</v>
      </c>
      <c r="C2557" s="9"/>
    </row>
    <row r="2558" spans="1:3" ht="15" x14ac:dyDescent="0.25">
      <c r="A2558" s="2">
        <v>4109130519</v>
      </c>
      <c r="B2558" s="3" t="s">
        <v>41</v>
      </c>
      <c r="C2558" s="9"/>
    </row>
    <row r="2559" spans="1:3" ht="15" x14ac:dyDescent="0.25">
      <c r="A2559" s="2">
        <v>41091306</v>
      </c>
      <c r="B2559" s="3" t="s">
        <v>42</v>
      </c>
      <c r="C2559" s="9"/>
    </row>
    <row r="2560" spans="1:3" ht="15" x14ac:dyDescent="0.25">
      <c r="A2560" s="2">
        <v>4109130601</v>
      </c>
      <c r="B2560" s="3" t="s">
        <v>40</v>
      </c>
      <c r="C2560" s="9"/>
    </row>
    <row r="2561" spans="1:3" ht="15" x14ac:dyDescent="0.25">
      <c r="A2561" s="2">
        <v>4109130619</v>
      </c>
      <c r="B2561" s="3" t="s">
        <v>41</v>
      </c>
      <c r="C2561" s="9"/>
    </row>
    <row r="2562" spans="1:3" ht="15" x14ac:dyDescent="0.25">
      <c r="A2562" s="2">
        <v>41091307</v>
      </c>
      <c r="B2562" s="3" t="s">
        <v>43</v>
      </c>
      <c r="C2562" s="9"/>
    </row>
    <row r="2563" spans="1:3" ht="15" x14ac:dyDescent="0.25">
      <c r="A2563" s="2">
        <v>4109130701</v>
      </c>
      <c r="B2563" s="3" t="s">
        <v>40</v>
      </c>
      <c r="C2563" s="9"/>
    </row>
    <row r="2564" spans="1:3" ht="15" x14ac:dyDescent="0.25">
      <c r="A2564" s="2">
        <v>4109130702</v>
      </c>
      <c r="B2564" s="3" t="s">
        <v>44</v>
      </c>
      <c r="C2564" s="9"/>
    </row>
    <row r="2565" spans="1:3" ht="15" x14ac:dyDescent="0.25">
      <c r="A2565" s="2">
        <v>4109130705</v>
      </c>
      <c r="B2565" s="3" t="s">
        <v>699</v>
      </c>
      <c r="C2565" s="9"/>
    </row>
    <row r="2566" spans="1:3" ht="15" x14ac:dyDescent="0.25">
      <c r="A2566" s="2">
        <v>4109130706</v>
      </c>
      <c r="B2566" s="3" t="s">
        <v>700</v>
      </c>
      <c r="C2566" s="9"/>
    </row>
    <row r="2567" spans="1:3" ht="15" x14ac:dyDescent="0.25">
      <c r="A2567" s="2">
        <v>4109130712</v>
      </c>
      <c r="B2567" s="3" t="s">
        <v>47</v>
      </c>
      <c r="C2567" s="9"/>
    </row>
    <row r="2568" spans="1:3" ht="15" x14ac:dyDescent="0.25">
      <c r="A2568" s="2">
        <v>4109130719</v>
      </c>
      <c r="B2568" s="3" t="s">
        <v>41</v>
      </c>
      <c r="C2568" s="9"/>
    </row>
    <row r="2569" spans="1:3" ht="30" x14ac:dyDescent="0.25">
      <c r="A2569" s="2">
        <v>41091310</v>
      </c>
      <c r="B2569" s="4" t="s">
        <v>48</v>
      </c>
      <c r="C2569" s="11"/>
    </row>
    <row r="2570" spans="1:3" ht="15" x14ac:dyDescent="0.25">
      <c r="A2570" s="2">
        <v>4109131005</v>
      </c>
      <c r="B2570" s="3" t="s">
        <v>39</v>
      </c>
      <c r="C2570" s="9"/>
    </row>
    <row r="2571" spans="1:3" ht="15" x14ac:dyDescent="0.25">
      <c r="A2571" s="2">
        <v>4109131006</v>
      </c>
      <c r="B2571" s="3" t="s">
        <v>42</v>
      </c>
      <c r="C2571" s="9"/>
    </row>
    <row r="2572" spans="1:3" ht="15" x14ac:dyDescent="0.25">
      <c r="A2572" s="2">
        <v>4109131007</v>
      </c>
      <c r="B2572" s="3" t="s">
        <v>43</v>
      </c>
      <c r="C2572" s="9"/>
    </row>
    <row r="2573" spans="1:3" ht="30" x14ac:dyDescent="0.25">
      <c r="A2573" s="2">
        <v>41091311</v>
      </c>
      <c r="B2573" s="4" t="s">
        <v>50</v>
      </c>
      <c r="C2573" s="11"/>
    </row>
    <row r="2574" spans="1:3" ht="15" x14ac:dyDescent="0.25">
      <c r="A2574" s="2">
        <v>4109131105</v>
      </c>
      <c r="B2574" s="3" t="s">
        <v>39</v>
      </c>
      <c r="C2574" s="9"/>
    </row>
    <row r="2575" spans="1:3" ht="15" x14ac:dyDescent="0.25">
      <c r="A2575" s="2">
        <v>4109131106</v>
      </c>
      <c r="B2575" s="3" t="s">
        <v>42</v>
      </c>
      <c r="C2575" s="9"/>
    </row>
    <row r="2576" spans="1:3" ht="15" x14ac:dyDescent="0.25">
      <c r="A2576" s="2">
        <v>4109131107</v>
      </c>
      <c r="B2576" s="3" t="s">
        <v>43</v>
      </c>
      <c r="C2576" s="9"/>
    </row>
    <row r="2577" spans="1:3" ht="30" x14ac:dyDescent="0.25">
      <c r="A2577" s="2">
        <v>41091312</v>
      </c>
      <c r="B2577" s="4" t="s">
        <v>51</v>
      </c>
      <c r="C2577" s="11"/>
    </row>
    <row r="2578" spans="1:3" ht="15" x14ac:dyDescent="0.25">
      <c r="A2578" s="2">
        <v>4109131205</v>
      </c>
      <c r="B2578" s="3" t="s">
        <v>39</v>
      </c>
      <c r="C2578" s="9"/>
    </row>
    <row r="2579" spans="1:3" ht="15" x14ac:dyDescent="0.25">
      <c r="A2579" s="2">
        <v>4109131206</v>
      </c>
      <c r="B2579" s="3" t="s">
        <v>42</v>
      </c>
      <c r="C2579" s="9"/>
    </row>
    <row r="2580" spans="1:3" ht="15" x14ac:dyDescent="0.25">
      <c r="A2580" s="2">
        <v>4109131207</v>
      </c>
      <c r="B2580" s="3" t="s">
        <v>43</v>
      </c>
      <c r="C2580" s="9"/>
    </row>
    <row r="2581" spans="1:3" ht="15" x14ac:dyDescent="0.25">
      <c r="A2581" s="2">
        <v>41091313</v>
      </c>
      <c r="B2581" s="3" t="s">
        <v>49</v>
      </c>
      <c r="C2581" s="9"/>
    </row>
    <row r="2582" spans="1:3" ht="15" x14ac:dyDescent="0.25">
      <c r="A2582" s="2">
        <v>4109131301</v>
      </c>
      <c r="B2582" s="3" t="s">
        <v>52</v>
      </c>
      <c r="C2582" s="9"/>
    </row>
    <row r="2583" spans="1:3" ht="15" x14ac:dyDescent="0.25">
      <c r="A2583" s="2">
        <v>41091318</v>
      </c>
      <c r="B2583" s="3" t="s">
        <v>78</v>
      </c>
      <c r="C2583" s="9"/>
    </row>
    <row r="2584" spans="1:3" ht="15" x14ac:dyDescent="0.25">
      <c r="A2584" s="2">
        <v>4109131805</v>
      </c>
      <c r="B2584" s="3" t="s">
        <v>39</v>
      </c>
      <c r="C2584" s="9"/>
    </row>
    <row r="2585" spans="1:3" ht="15" x14ac:dyDescent="0.25">
      <c r="A2585" s="2">
        <v>4109131806</v>
      </c>
      <c r="B2585" s="3" t="s">
        <v>42</v>
      </c>
      <c r="C2585" s="9"/>
    </row>
    <row r="2586" spans="1:3" ht="15" x14ac:dyDescent="0.25">
      <c r="A2586" s="2">
        <v>4109131807</v>
      </c>
      <c r="B2586" s="3" t="s">
        <v>43</v>
      </c>
      <c r="C2586" s="9"/>
    </row>
    <row r="2587" spans="1:3" ht="15" x14ac:dyDescent="0.25">
      <c r="A2587" s="2">
        <v>41091319</v>
      </c>
      <c r="B2587" s="3" t="s">
        <v>53</v>
      </c>
      <c r="C2587" s="9"/>
    </row>
    <row r="2588" spans="1:3" ht="30" x14ac:dyDescent="0.25">
      <c r="A2588" s="2">
        <v>410914</v>
      </c>
      <c r="B2588" s="4" t="s">
        <v>701</v>
      </c>
      <c r="C2588" s="11"/>
    </row>
    <row r="2589" spans="1:3" ht="15" x14ac:dyDescent="0.25">
      <c r="A2589" s="2">
        <v>41091401</v>
      </c>
      <c r="B2589" s="3" t="s">
        <v>55</v>
      </c>
      <c r="C2589" s="9"/>
    </row>
    <row r="2590" spans="1:3" ht="15" x14ac:dyDescent="0.25">
      <c r="A2590" s="2">
        <v>4109140101</v>
      </c>
      <c r="B2590" s="3" t="s">
        <v>56</v>
      </c>
      <c r="C2590" s="9"/>
    </row>
    <row r="2591" spans="1:3" ht="15" x14ac:dyDescent="0.25">
      <c r="A2591" s="2">
        <v>4109140109</v>
      </c>
      <c r="B2591" s="3" t="s">
        <v>60</v>
      </c>
      <c r="C2591" s="9"/>
    </row>
    <row r="2592" spans="1:3" ht="15" x14ac:dyDescent="0.25">
      <c r="A2592" s="2">
        <v>41091402</v>
      </c>
      <c r="B2592" s="3" t="s">
        <v>61</v>
      </c>
      <c r="C2592" s="9"/>
    </row>
    <row r="2593" spans="1:3" ht="15" x14ac:dyDescent="0.25">
      <c r="A2593" s="2">
        <v>41091403</v>
      </c>
      <c r="B2593" s="3" t="s">
        <v>62</v>
      </c>
      <c r="C2593" s="9"/>
    </row>
    <row r="2594" spans="1:3" ht="15" x14ac:dyDescent="0.25">
      <c r="A2594" s="2">
        <v>41091405</v>
      </c>
      <c r="B2594" s="3" t="s">
        <v>39</v>
      </c>
      <c r="C2594" s="9"/>
    </row>
    <row r="2595" spans="1:3" ht="15" x14ac:dyDescent="0.25">
      <c r="A2595" s="2">
        <v>4109140503</v>
      </c>
      <c r="B2595" s="3" t="s">
        <v>81</v>
      </c>
      <c r="C2595" s="9"/>
    </row>
    <row r="2596" spans="1:3" ht="15" x14ac:dyDescent="0.25">
      <c r="A2596" s="2">
        <v>4109140505</v>
      </c>
      <c r="B2596" s="3" t="s">
        <v>66</v>
      </c>
      <c r="C2596" s="9"/>
    </row>
    <row r="2597" spans="1:3" ht="15" x14ac:dyDescent="0.25">
      <c r="A2597" s="2">
        <v>4109140506</v>
      </c>
      <c r="B2597" s="3" t="s">
        <v>67</v>
      </c>
      <c r="C2597" s="9"/>
    </row>
    <row r="2598" spans="1:3" ht="15" x14ac:dyDescent="0.25">
      <c r="A2598" s="2">
        <v>4109140508</v>
      </c>
      <c r="B2598" s="3" t="s">
        <v>69</v>
      </c>
      <c r="C2598" s="9"/>
    </row>
    <row r="2599" spans="1:3" ht="15" x14ac:dyDescent="0.25">
      <c r="A2599" s="2">
        <v>4109140509</v>
      </c>
      <c r="B2599" s="3" t="s">
        <v>70</v>
      </c>
      <c r="C2599" s="9"/>
    </row>
    <row r="2600" spans="1:3" ht="30" x14ac:dyDescent="0.25">
      <c r="A2600" s="2">
        <v>4109140510</v>
      </c>
      <c r="B2600" s="4" t="s">
        <v>697</v>
      </c>
      <c r="C2600" s="11"/>
    </row>
    <row r="2601" spans="1:3" ht="15" x14ac:dyDescent="0.25">
      <c r="A2601" s="2">
        <v>4109140511</v>
      </c>
      <c r="B2601" s="3" t="s">
        <v>72</v>
      </c>
      <c r="C2601" s="9"/>
    </row>
    <row r="2602" spans="1:3" ht="15" x14ac:dyDescent="0.25">
      <c r="A2602" s="2">
        <v>4109140519</v>
      </c>
      <c r="B2602" s="3" t="s">
        <v>41</v>
      </c>
      <c r="C2602" s="9"/>
    </row>
    <row r="2603" spans="1:3" ht="15" x14ac:dyDescent="0.25">
      <c r="A2603" s="2">
        <v>41091406</v>
      </c>
      <c r="B2603" s="3" t="s">
        <v>42</v>
      </c>
      <c r="C2603" s="9"/>
    </row>
    <row r="2604" spans="1:3" ht="15" x14ac:dyDescent="0.25">
      <c r="A2604" s="2">
        <v>4109140608</v>
      </c>
      <c r="B2604" s="3" t="s">
        <v>69</v>
      </c>
      <c r="C2604" s="9"/>
    </row>
    <row r="2605" spans="1:3" ht="15" x14ac:dyDescent="0.25">
      <c r="A2605" s="2">
        <v>4109140609</v>
      </c>
      <c r="B2605" s="3" t="s">
        <v>70</v>
      </c>
      <c r="C2605" s="9"/>
    </row>
    <row r="2606" spans="1:3" ht="30" x14ac:dyDescent="0.25">
      <c r="A2606" s="2">
        <v>4109140610</v>
      </c>
      <c r="B2606" s="4" t="s">
        <v>697</v>
      </c>
      <c r="C2606" s="11"/>
    </row>
    <row r="2607" spans="1:3" ht="15" x14ac:dyDescent="0.25">
      <c r="A2607" s="2">
        <v>4109140611</v>
      </c>
      <c r="B2607" s="3" t="s">
        <v>72</v>
      </c>
      <c r="C2607" s="9"/>
    </row>
    <row r="2608" spans="1:3" ht="15" x14ac:dyDescent="0.25">
      <c r="A2608" s="2">
        <v>4109140619</v>
      </c>
      <c r="B2608" s="3" t="s">
        <v>41</v>
      </c>
      <c r="C2608" s="9"/>
    </row>
    <row r="2609" spans="1:3" ht="15" x14ac:dyDescent="0.25">
      <c r="A2609" s="2">
        <v>41091407</v>
      </c>
      <c r="B2609" s="3" t="s">
        <v>43</v>
      </c>
      <c r="C2609" s="9"/>
    </row>
    <row r="2610" spans="1:3" ht="15" x14ac:dyDescent="0.25">
      <c r="A2610" s="2">
        <v>4109140708</v>
      </c>
      <c r="B2610" s="3" t="s">
        <v>69</v>
      </c>
      <c r="C2610" s="9"/>
    </row>
    <row r="2611" spans="1:3" ht="15" x14ac:dyDescent="0.25">
      <c r="A2611" s="2">
        <v>4109140709</v>
      </c>
      <c r="B2611" s="3" t="s">
        <v>70</v>
      </c>
      <c r="C2611" s="9"/>
    </row>
    <row r="2612" spans="1:3" ht="30" x14ac:dyDescent="0.25">
      <c r="A2612" s="2">
        <v>4109140710</v>
      </c>
      <c r="B2612" s="4" t="s">
        <v>697</v>
      </c>
      <c r="C2612" s="11"/>
    </row>
    <row r="2613" spans="1:3" ht="15" x14ac:dyDescent="0.25">
      <c r="A2613" s="2">
        <v>4109140711</v>
      </c>
      <c r="B2613" s="3" t="s">
        <v>72</v>
      </c>
      <c r="C2613" s="9"/>
    </row>
    <row r="2614" spans="1:3" ht="15" x14ac:dyDescent="0.25">
      <c r="A2614" s="2">
        <v>4109140712</v>
      </c>
      <c r="B2614" s="3" t="s">
        <v>47</v>
      </c>
      <c r="C2614" s="9"/>
    </row>
    <row r="2615" spans="1:3" ht="15" x14ac:dyDescent="0.25">
      <c r="A2615" s="2">
        <v>4109140714</v>
      </c>
      <c r="B2615" s="3" t="s">
        <v>702</v>
      </c>
      <c r="C2615" s="9"/>
    </row>
    <row r="2616" spans="1:3" ht="15" x14ac:dyDescent="0.25">
      <c r="A2616" s="2">
        <v>4109140715</v>
      </c>
      <c r="B2616" s="3" t="s">
        <v>74</v>
      </c>
      <c r="C2616" s="9"/>
    </row>
    <row r="2617" spans="1:3" ht="15" x14ac:dyDescent="0.25">
      <c r="A2617" s="2">
        <v>4109140719</v>
      </c>
      <c r="B2617" s="3" t="s">
        <v>41</v>
      </c>
      <c r="C2617" s="9"/>
    </row>
    <row r="2618" spans="1:3" ht="30" x14ac:dyDescent="0.25">
      <c r="A2618" s="2">
        <v>41091410</v>
      </c>
      <c r="B2618" s="4" t="s">
        <v>48</v>
      </c>
      <c r="C2618" s="11"/>
    </row>
    <row r="2619" spans="1:3" ht="15" x14ac:dyDescent="0.25">
      <c r="A2619" s="2">
        <v>4109141001</v>
      </c>
      <c r="B2619" s="3" t="s">
        <v>55</v>
      </c>
      <c r="C2619" s="9"/>
    </row>
    <row r="2620" spans="1:3" ht="15" x14ac:dyDescent="0.25">
      <c r="A2620" s="2">
        <v>4109141002</v>
      </c>
      <c r="B2620" s="3" t="s">
        <v>61</v>
      </c>
      <c r="C2620" s="9"/>
    </row>
    <row r="2621" spans="1:3" ht="15" x14ac:dyDescent="0.25">
      <c r="A2621" s="2">
        <v>4109141003</v>
      </c>
      <c r="B2621" s="3" t="s">
        <v>62</v>
      </c>
      <c r="C2621" s="9"/>
    </row>
    <row r="2622" spans="1:3" ht="15" x14ac:dyDescent="0.25">
      <c r="A2622" s="2">
        <v>4109141005</v>
      </c>
      <c r="B2622" s="3" t="s">
        <v>39</v>
      </c>
      <c r="C2622" s="9"/>
    </row>
    <row r="2623" spans="1:3" ht="15" x14ac:dyDescent="0.25">
      <c r="A2623" s="2">
        <v>4109141006</v>
      </c>
      <c r="B2623" s="3" t="s">
        <v>42</v>
      </c>
      <c r="C2623" s="9"/>
    </row>
    <row r="2624" spans="1:3" ht="15" x14ac:dyDescent="0.25">
      <c r="A2624" s="2">
        <v>4109141007</v>
      </c>
      <c r="B2624" s="3" t="s">
        <v>43</v>
      </c>
      <c r="C2624" s="9"/>
    </row>
    <row r="2625" spans="1:3" ht="30" x14ac:dyDescent="0.25">
      <c r="A2625" s="2">
        <v>41091411</v>
      </c>
      <c r="B2625" s="4" t="s">
        <v>50</v>
      </c>
      <c r="C2625" s="11"/>
    </row>
    <row r="2626" spans="1:3" ht="15" x14ac:dyDescent="0.25">
      <c r="A2626" s="2">
        <v>4109141101</v>
      </c>
      <c r="B2626" s="3" t="s">
        <v>55</v>
      </c>
      <c r="C2626" s="9"/>
    </row>
    <row r="2627" spans="1:3" ht="15" x14ac:dyDescent="0.25">
      <c r="A2627" s="2">
        <v>4109141102</v>
      </c>
      <c r="B2627" s="3" t="s">
        <v>61</v>
      </c>
      <c r="C2627" s="9"/>
    </row>
    <row r="2628" spans="1:3" ht="15" x14ac:dyDescent="0.25">
      <c r="A2628" s="2">
        <v>4109141103</v>
      </c>
      <c r="B2628" s="3" t="s">
        <v>62</v>
      </c>
      <c r="C2628" s="9"/>
    </row>
    <row r="2629" spans="1:3" ht="15" x14ac:dyDescent="0.25">
      <c r="A2629" s="2">
        <v>4109141105</v>
      </c>
      <c r="B2629" s="3" t="s">
        <v>39</v>
      </c>
      <c r="C2629" s="9"/>
    </row>
    <row r="2630" spans="1:3" ht="15" x14ac:dyDescent="0.25">
      <c r="A2630" s="2">
        <v>4109141106</v>
      </c>
      <c r="B2630" s="3" t="s">
        <v>42</v>
      </c>
      <c r="C2630" s="9"/>
    </row>
    <row r="2631" spans="1:3" ht="15" x14ac:dyDescent="0.25">
      <c r="A2631" s="2">
        <v>4109141107</v>
      </c>
      <c r="B2631" s="3" t="s">
        <v>43</v>
      </c>
      <c r="C2631" s="9"/>
    </row>
    <row r="2632" spans="1:3" ht="15" x14ac:dyDescent="0.25">
      <c r="A2632" s="2">
        <v>41091412</v>
      </c>
      <c r="B2632" s="3" t="s">
        <v>703</v>
      </c>
      <c r="C2632" s="9"/>
    </row>
    <row r="2633" spans="1:3" ht="15" x14ac:dyDescent="0.25">
      <c r="A2633" s="2">
        <v>4109141201</v>
      </c>
      <c r="B2633" s="3" t="s">
        <v>55</v>
      </c>
      <c r="C2633" s="9"/>
    </row>
    <row r="2634" spans="1:3" ht="15" x14ac:dyDescent="0.25">
      <c r="A2634" s="2">
        <v>4109141202</v>
      </c>
      <c r="B2634" s="3" t="s">
        <v>61</v>
      </c>
      <c r="C2634" s="9"/>
    </row>
    <row r="2635" spans="1:3" ht="15" x14ac:dyDescent="0.25">
      <c r="A2635" s="2">
        <v>4109141203</v>
      </c>
      <c r="B2635" s="3" t="s">
        <v>62</v>
      </c>
      <c r="C2635" s="9"/>
    </row>
    <row r="2636" spans="1:3" ht="15" x14ac:dyDescent="0.25">
      <c r="A2636" s="2">
        <v>4109141205</v>
      </c>
      <c r="B2636" s="3" t="s">
        <v>39</v>
      </c>
      <c r="C2636" s="9"/>
    </row>
    <row r="2637" spans="1:3" ht="15" x14ac:dyDescent="0.25">
      <c r="A2637" s="2">
        <v>4109141206</v>
      </c>
      <c r="B2637" s="3" t="s">
        <v>42</v>
      </c>
      <c r="C2637" s="9"/>
    </row>
    <row r="2638" spans="1:3" ht="15" x14ac:dyDescent="0.25">
      <c r="A2638" s="2">
        <v>4109141207</v>
      </c>
      <c r="B2638" s="3" t="s">
        <v>43</v>
      </c>
      <c r="C2638" s="9"/>
    </row>
    <row r="2639" spans="1:3" ht="15" x14ac:dyDescent="0.25">
      <c r="A2639" s="2">
        <v>41091418</v>
      </c>
      <c r="B2639" s="3" t="s">
        <v>78</v>
      </c>
      <c r="C2639" s="9"/>
    </row>
    <row r="2640" spans="1:3" ht="15" x14ac:dyDescent="0.25">
      <c r="A2640" s="2">
        <v>4109141801</v>
      </c>
      <c r="B2640" s="3" t="s">
        <v>55</v>
      </c>
      <c r="C2640" s="9"/>
    </row>
    <row r="2641" spans="1:3" ht="15" x14ac:dyDescent="0.25">
      <c r="A2641" s="2">
        <v>4109141802</v>
      </c>
      <c r="B2641" s="3" t="s">
        <v>61</v>
      </c>
      <c r="C2641" s="9"/>
    </row>
    <row r="2642" spans="1:3" ht="15" x14ac:dyDescent="0.25">
      <c r="A2642" s="2">
        <v>4109141803</v>
      </c>
      <c r="B2642" s="3" t="s">
        <v>62</v>
      </c>
      <c r="C2642" s="9"/>
    </row>
    <row r="2643" spans="1:3" ht="15" x14ac:dyDescent="0.25">
      <c r="A2643" s="2">
        <v>4109141805</v>
      </c>
      <c r="B2643" s="3" t="s">
        <v>39</v>
      </c>
      <c r="C2643" s="9"/>
    </row>
    <row r="2644" spans="1:3" ht="15" x14ac:dyDescent="0.25">
      <c r="A2644" s="2">
        <v>4109141806</v>
      </c>
      <c r="B2644" s="3" t="s">
        <v>42</v>
      </c>
      <c r="C2644" s="9"/>
    </row>
    <row r="2645" spans="1:3" ht="15" x14ac:dyDescent="0.25">
      <c r="A2645" s="2">
        <v>4109141807</v>
      </c>
      <c r="B2645" s="3" t="s">
        <v>43</v>
      </c>
      <c r="C2645" s="9"/>
    </row>
    <row r="2646" spans="1:3" ht="15" x14ac:dyDescent="0.25">
      <c r="A2646" s="2">
        <v>41091419</v>
      </c>
      <c r="B2646" s="3" t="s">
        <v>59</v>
      </c>
      <c r="C2646" s="9"/>
    </row>
    <row r="2647" spans="1:3" ht="15" x14ac:dyDescent="0.25">
      <c r="A2647" s="2">
        <v>410915</v>
      </c>
      <c r="B2647" s="3" t="s">
        <v>704</v>
      </c>
      <c r="C2647" s="9"/>
    </row>
    <row r="2648" spans="1:3" ht="13.8" x14ac:dyDescent="0.25">
      <c r="A2648" s="5">
        <v>410916</v>
      </c>
      <c r="B2648" s="6" t="s">
        <v>705</v>
      </c>
      <c r="C2648" s="12"/>
    </row>
    <row r="2649" spans="1:3" ht="13.8" x14ac:dyDescent="0.25">
      <c r="A2649" s="5">
        <v>41091601</v>
      </c>
      <c r="B2649" s="6" t="s">
        <v>227</v>
      </c>
      <c r="C2649" s="12"/>
    </row>
    <row r="2650" spans="1:3" ht="13.8" x14ac:dyDescent="0.25">
      <c r="A2650" s="5">
        <v>41091602</v>
      </c>
      <c r="B2650" s="6" t="s">
        <v>228</v>
      </c>
      <c r="C2650" s="12"/>
    </row>
    <row r="2651" spans="1:3" ht="13.8" x14ac:dyDescent="0.25">
      <c r="A2651" s="5">
        <v>41091603</v>
      </c>
      <c r="B2651" s="6" t="s">
        <v>229</v>
      </c>
      <c r="C2651" s="12"/>
    </row>
    <row r="2652" spans="1:3" ht="13.8" x14ac:dyDescent="0.25">
      <c r="A2652" s="5">
        <v>41091605</v>
      </c>
      <c r="B2652" s="6" t="s">
        <v>230</v>
      </c>
      <c r="C2652" s="12"/>
    </row>
    <row r="2653" spans="1:3" ht="13.8" x14ac:dyDescent="0.25">
      <c r="A2653" s="5">
        <v>41091609</v>
      </c>
      <c r="B2653" s="6" t="s">
        <v>231</v>
      </c>
      <c r="C2653" s="12"/>
    </row>
    <row r="2654" spans="1:3" ht="15" x14ac:dyDescent="0.25">
      <c r="A2654" s="2">
        <v>410917</v>
      </c>
      <c r="B2654" s="3" t="s">
        <v>706</v>
      </c>
      <c r="C2654" s="9"/>
    </row>
    <row r="2655" spans="1:3" ht="15" x14ac:dyDescent="0.25">
      <c r="A2655" s="2">
        <v>41091701</v>
      </c>
      <c r="B2655" s="3" t="s">
        <v>233</v>
      </c>
      <c r="C2655" s="9"/>
    </row>
    <row r="2656" spans="1:3" ht="15" x14ac:dyDescent="0.25">
      <c r="A2656" s="2">
        <v>4109170101</v>
      </c>
      <c r="B2656" s="3" t="s">
        <v>234</v>
      </c>
      <c r="C2656" s="9"/>
    </row>
    <row r="2657" spans="1:3" ht="13.8" x14ac:dyDescent="0.25">
      <c r="A2657" s="5">
        <v>4109170102</v>
      </c>
      <c r="B2657" s="6" t="s">
        <v>707</v>
      </c>
      <c r="C2657" s="12"/>
    </row>
    <row r="2658" spans="1:3" ht="13.8" x14ac:dyDescent="0.25">
      <c r="A2658" s="5">
        <v>4109170103</v>
      </c>
      <c r="B2658" s="6" t="s">
        <v>229</v>
      </c>
      <c r="C2658" s="12"/>
    </row>
    <row r="2659" spans="1:3" ht="13.8" x14ac:dyDescent="0.25">
      <c r="A2659" s="5">
        <v>4109170105</v>
      </c>
      <c r="B2659" s="6" t="s">
        <v>230</v>
      </c>
      <c r="C2659" s="12"/>
    </row>
    <row r="2660" spans="1:3" ht="13.8" x14ac:dyDescent="0.25">
      <c r="A2660" s="5">
        <v>4109170106</v>
      </c>
      <c r="B2660" s="6" t="s">
        <v>504</v>
      </c>
      <c r="C2660" s="12"/>
    </row>
    <row r="2661" spans="1:3" ht="13.8" x14ac:dyDescent="0.25">
      <c r="A2661" s="5">
        <v>4109170109</v>
      </c>
      <c r="B2661" s="6" t="s">
        <v>231</v>
      </c>
      <c r="C2661" s="12"/>
    </row>
    <row r="2662" spans="1:3" ht="15" x14ac:dyDescent="0.25">
      <c r="A2662" s="2">
        <v>41091702</v>
      </c>
      <c r="B2662" s="3" t="s">
        <v>235</v>
      </c>
      <c r="C2662" s="9"/>
    </row>
    <row r="2663" spans="1:3" ht="15" x14ac:dyDescent="0.25">
      <c r="A2663" s="2">
        <v>4109170201</v>
      </c>
      <c r="B2663" s="3" t="s">
        <v>234</v>
      </c>
      <c r="C2663" s="9"/>
    </row>
    <row r="2664" spans="1:3" ht="13.8" x14ac:dyDescent="0.25">
      <c r="A2664" s="5">
        <v>4109170202</v>
      </c>
      <c r="B2664" s="6" t="s">
        <v>707</v>
      </c>
      <c r="C2664" s="12"/>
    </row>
    <row r="2665" spans="1:3" ht="13.8" x14ac:dyDescent="0.25">
      <c r="A2665" s="5">
        <v>4109170203</v>
      </c>
      <c r="B2665" s="6" t="s">
        <v>229</v>
      </c>
      <c r="C2665" s="12"/>
    </row>
    <row r="2666" spans="1:3" ht="13.8" x14ac:dyDescent="0.25">
      <c r="A2666" s="5">
        <v>4109170205</v>
      </c>
      <c r="B2666" s="6" t="s">
        <v>230</v>
      </c>
      <c r="C2666" s="12"/>
    </row>
    <row r="2667" spans="1:3" ht="13.8" x14ac:dyDescent="0.25">
      <c r="A2667" s="5">
        <v>4109170206</v>
      </c>
      <c r="B2667" s="6" t="s">
        <v>504</v>
      </c>
      <c r="C2667" s="12"/>
    </row>
    <row r="2668" spans="1:3" ht="13.8" x14ac:dyDescent="0.25">
      <c r="A2668" s="5">
        <v>4109170209</v>
      </c>
      <c r="B2668" s="6" t="s">
        <v>231</v>
      </c>
      <c r="C2668" s="12"/>
    </row>
    <row r="2669" spans="1:3" ht="13.8" x14ac:dyDescent="0.25">
      <c r="A2669" s="5">
        <v>410918</v>
      </c>
      <c r="B2669" s="6" t="s">
        <v>708</v>
      </c>
      <c r="C2669" s="12"/>
    </row>
    <row r="2670" spans="1:3" ht="15" x14ac:dyDescent="0.25">
      <c r="A2670" s="2">
        <v>410920</v>
      </c>
      <c r="B2670" s="3" t="s">
        <v>709</v>
      </c>
      <c r="C2670" s="9"/>
    </row>
    <row r="2671" spans="1:3" ht="15" x14ac:dyDescent="0.25">
      <c r="A2671" s="2">
        <v>410922</v>
      </c>
      <c r="B2671" s="3" t="s">
        <v>710</v>
      </c>
      <c r="C2671" s="9"/>
    </row>
    <row r="2672" spans="1:3" ht="13.8" x14ac:dyDescent="0.25">
      <c r="A2672" s="5">
        <v>410923</v>
      </c>
      <c r="B2672" s="6" t="s">
        <v>711</v>
      </c>
      <c r="C2672" s="12"/>
    </row>
    <row r="2673" spans="1:3" ht="13.8" x14ac:dyDescent="0.25">
      <c r="A2673" s="5">
        <v>410924</v>
      </c>
      <c r="B2673" s="6" t="s">
        <v>712</v>
      </c>
      <c r="C2673" s="12"/>
    </row>
    <row r="2674" spans="1:3" ht="13.8" x14ac:dyDescent="0.25">
      <c r="A2674" s="5">
        <v>41092401</v>
      </c>
      <c r="B2674" s="6" t="s">
        <v>713</v>
      </c>
      <c r="C2674" s="12"/>
    </row>
    <row r="2675" spans="1:3" ht="13.8" x14ac:dyDescent="0.25">
      <c r="A2675" s="5">
        <v>4109240101</v>
      </c>
      <c r="B2675" s="6" t="s">
        <v>714</v>
      </c>
      <c r="C2675" s="12"/>
    </row>
    <row r="2676" spans="1:3" ht="13.8" x14ac:dyDescent="0.25">
      <c r="A2676" s="5">
        <v>4109240102</v>
      </c>
      <c r="B2676" s="6" t="s">
        <v>715</v>
      </c>
      <c r="C2676" s="12"/>
    </row>
    <row r="2677" spans="1:3" ht="15" x14ac:dyDescent="0.25">
      <c r="A2677" s="2">
        <v>410925</v>
      </c>
      <c r="B2677" s="3" t="s">
        <v>716</v>
      </c>
      <c r="C2677" s="9"/>
    </row>
    <row r="2678" spans="1:3" ht="15" x14ac:dyDescent="0.25">
      <c r="A2678" s="2">
        <v>410926</v>
      </c>
      <c r="B2678" s="3" t="s">
        <v>717</v>
      </c>
      <c r="C2678" s="9"/>
    </row>
    <row r="2679" spans="1:3" ht="15" x14ac:dyDescent="0.25">
      <c r="A2679" s="2">
        <v>42</v>
      </c>
      <c r="B2679" s="3" t="s">
        <v>718</v>
      </c>
      <c r="C2679" s="20">
        <f t="shared" ref="C2679" si="77">+C2686+C2696+C2701</f>
        <v>22593.200000000001</v>
      </c>
    </row>
    <row r="2680" spans="1:3" ht="15" x14ac:dyDescent="0.25">
      <c r="A2680" s="2">
        <v>4201</v>
      </c>
      <c r="B2680" s="3" t="s">
        <v>719</v>
      </c>
      <c r="C2680" s="9"/>
    </row>
    <row r="2681" spans="1:3" ht="15" x14ac:dyDescent="0.25">
      <c r="A2681" s="2">
        <v>420101</v>
      </c>
      <c r="B2681" s="3" t="s">
        <v>720</v>
      </c>
      <c r="C2681" s="9"/>
    </row>
    <row r="2682" spans="1:3" ht="15" x14ac:dyDescent="0.25">
      <c r="A2682" s="2">
        <v>420102</v>
      </c>
      <c r="B2682" s="3" t="s">
        <v>721</v>
      </c>
      <c r="C2682" s="9"/>
    </row>
    <row r="2683" spans="1:3" ht="15" x14ac:dyDescent="0.25">
      <c r="A2683" s="2">
        <v>420104</v>
      </c>
      <c r="B2683" s="3" t="s">
        <v>722</v>
      </c>
      <c r="C2683" s="9"/>
    </row>
    <row r="2684" spans="1:3" ht="15" x14ac:dyDescent="0.25">
      <c r="A2684" s="2">
        <v>4202</v>
      </c>
      <c r="B2684" s="3" t="s">
        <v>723</v>
      </c>
      <c r="C2684" s="9"/>
    </row>
    <row r="2685" spans="1:3" ht="15" x14ac:dyDescent="0.25">
      <c r="A2685" s="2">
        <v>420201</v>
      </c>
      <c r="B2685" s="3" t="s">
        <v>724</v>
      </c>
      <c r="C2685" s="9"/>
    </row>
    <row r="2686" spans="1:3" s="15" customFormat="1" ht="15" x14ac:dyDescent="0.25">
      <c r="A2686" s="18" t="s">
        <v>1710</v>
      </c>
      <c r="B2686" s="19" t="s">
        <v>1711</v>
      </c>
      <c r="C2686" s="20">
        <v>552.03</v>
      </c>
    </row>
    <row r="2687" spans="1:3" ht="15" x14ac:dyDescent="0.25">
      <c r="A2687" s="2">
        <v>420202</v>
      </c>
      <c r="B2687" s="3" t="s">
        <v>725</v>
      </c>
      <c r="C2687" s="9"/>
    </row>
    <row r="2688" spans="1:3" ht="15" x14ac:dyDescent="0.25">
      <c r="A2688" s="2">
        <v>420203</v>
      </c>
      <c r="B2688" s="3" t="s">
        <v>726</v>
      </c>
      <c r="C2688" s="9"/>
    </row>
    <row r="2689" spans="1:3" ht="13.8" x14ac:dyDescent="0.25">
      <c r="A2689" s="5">
        <v>420204</v>
      </c>
      <c r="B2689" s="6" t="s">
        <v>727</v>
      </c>
      <c r="C2689" s="12"/>
    </row>
    <row r="2690" spans="1:3" ht="15" x14ac:dyDescent="0.25">
      <c r="A2690" s="2">
        <v>420206</v>
      </c>
      <c r="B2690" s="3" t="s">
        <v>728</v>
      </c>
      <c r="C2690" s="9"/>
    </row>
    <row r="2691" spans="1:3" ht="13.8" x14ac:dyDescent="0.25">
      <c r="A2691" s="5">
        <v>420207</v>
      </c>
      <c r="B2691" s="6" t="s">
        <v>729</v>
      </c>
      <c r="C2691" s="12"/>
    </row>
    <row r="2692" spans="1:3" ht="13.8" x14ac:dyDescent="0.25">
      <c r="A2692" s="5">
        <v>420208</v>
      </c>
      <c r="B2692" s="6" t="s">
        <v>730</v>
      </c>
      <c r="C2692" s="12"/>
    </row>
    <row r="2693" spans="1:3" ht="13.8" x14ac:dyDescent="0.25">
      <c r="A2693" s="5">
        <v>420209</v>
      </c>
      <c r="B2693" s="6" t="s">
        <v>731</v>
      </c>
      <c r="C2693" s="12"/>
    </row>
    <row r="2694" spans="1:3" ht="15" x14ac:dyDescent="0.25">
      <c r="A2694" s="2">
        <v>420210</v>
      </c>
      <c r="B2694" s="3" t="s">
        <v>732</v>
      </c>
      <c r="C2694" s="9"/>
    </row>
    <row r="2695" spans="1:3" ht="15" x14ac:dyDescent="0.25">
      <c r="A2695" s="2">
        <v>420212</v>
      </c>
      <c r="B2695" s="3" t="s">
        <v>733</v>
      </c>
      <c r="C2695" s="9"/>
    </row>
    <row r="2696" spans="1:3" s="15" customFormat="1" ht="15" x14ac:dyDescent="0.25">
      <c r="A2696" s="18" t="s">
        <v>1712</v>
      </c>
      <c r="B2696" s="19" t="s">
        <v>1713</v>
      </c>
      <c r="C2696" s="20">
        <v>7333.41</v>
      </c>
    </row>
    <row r="2697" spans="1:3" ht="13.8" x14ac:dyDescent="0.25">
      <c r="A2697" s="5">
        <v>420213</v>
      </c>
      <c r="B2697" s="6" t="s">
        <v>413</v>
      </c>
      <c r="C2697" s="12"/>
    </row>
    <row r="2698" spans="1:3" ht="15" x14ac:dyDescent="0.25">
      <c r="A2698" s="2">
        <v>420214</v>
      </c>
      <c r="B2698" s="3" t="s">
        <v>734</v>
      </c>
      <c r="C2698" s="9"/>
    </row>
    <row r="2699" spans="1:3" ht="13.8" x14ac:dyDescent="0.25">
      <c r="A2699" s="5">
        <v>420215</v>
      </c>
      <c r="B2699" s="6" t="s">
        <v>735</v>
      </c>
      <c r="C2699" s="12"/>
    </row>
    <row r="2700" spans="1:3" ht="15" x14ac:dyDescent="0.25">
      <c r="A2700" s="2">
        <v>420229</v>
      </c>
      <c r="B2700" s="3" t="s">
        <v>736</v>
      </c>
      <c r="C2700" s="9"/>
    </row>
    <row r="2701" spans="1:3" s="15" customFormat="1" ht="15" x14ac:dyDescent="0.25">
      <c r="A2701" s="18" t="s">
        <v>1714</v>
      </c>
      <c r="B2701" s="19" t="s">
        <v>1715</v>
      </c>
      <c r="C2701" s="20">
        <v>14707.76</v>
      </c>
    </row>
    <row r="2702" spans="1:3" ht="30" x14ac:dyDescent="0.25">
      <c r="A2702" s="2">
        <v>43</v>
      </c>
      <c r="B2702" s="4" t="s">
        <v>737</v>
      </c>
      <c r="C2702" s="28">
        <f t="shared" ref="C2702" si="78">+C2712+C2748+C2749+C2803</f>
        <v>0</v>
      </c>
    </row>
    <row r="2703" spans="1:3" ht="15" x14ac:dyDescent="0.25">
      <c r="A2703" s="2">
        <v>4301</v>
      </c>
      <c r="B2703" s="3" t="s">
        <v>738</v>
      </c>
      <c r="C2703" s="9"/>
    </row>
    <row r="2704" spans="1:3" ht="15" x14ac:dyDescent="0.25">
      <c r="A2704" s="2">
        <v>430101</v>
      </c>
      <c r="B2704" s="3" t="s">
        <v>739</v>
      </c>
      <c r="C2704" s="9"/>
    </row>
    <row r="2705" spans="1:3" ht="30" x14ac:dyDescent="0.25">
      <c r="A2705" s="2">
        <v>43010103</v>
      </c>
      <c r="B2705" s="4" t="s">
        <v>87</v>
      </c>
      <c r="C2705" s="11"/>
    </row>
    <row r="2706" spans="1:3" ht="15" x14ac:dyDescent="0.25">
      <c r="A2706" s="2">
        <v>4301010305</v>
      </c>
      <c r="B2706" s="3" t="s">
        <v>39</v>
      </c>
      <c r="C2706" s="9"/>
    </row>
    <row r="2707" spans="1:3" ht="15" x14ac:dyDescent="0.25">
      <c r="A2707" s="2">
        <v>4301010306</v>
      </c>
      <c r="B2707" s="3" t="s">
        <v>42</v>
      </c>
      <c r="C2707" s="9"/>
    </row>
    <row r="2708" spans="1:3" ht="15" x14ac:dyDescent="0.25">
      <c r="A2708" s="2">
        <v>4301010307</v>
      </c>
      <c r="B2708" s="3" t="s">
        <v>43</v>
      </c>
      <c r="C2708" s="9"/>
    </row>
    <row r="2709" spans="1:3" ht="30" x14ac:dyDescent="0.25">
      <c r="A2709" s="2">
        <v>4301010310</v>
      </c>
      <c r="B2709" s="4" t="s">
        <v>740</v>
      </c>
      <c r="C2709" s="11"/>
    </row>
    <row r="2710" spans="1:3" ht="30" x14ac:dyDescent="0.25">
      <c r="A2710" s="2">
        <v>4301010311</v>
      </c>
      <c r="B2710" s="4" t="s">
        <v>50</v>
      </c>
      <c r="C2710" s="11"/>
    </row>
    <row r="2711" spans="1:3" ht="30" x14ac:dyDescent="0.25">
      <c r="A2711" s="2">
        <v>4301010312</v>
      </c>
      <c r="B2711" s="4" t="s">
        <v>51</v>
      </c>
      <c r="C2711" s="11"/>
    </row>
    <row r="2712" spans="1:3" s="15" customFormat="1" ht="15" x14ac:dyDescent="0.25">
      <c r="A2712" s="18" t="s">
        <v>1716</v>
      </c>
      <c r="B2712" s="19" t="s">
        <v>1717</v>
      </c>
      <c r="C2712" s="20"/>
    </row>
    <row r="2713" spans="1:3" ht="15" x14ac:dyDescent="0.25">
      <c r="A2713" s="2">
        <v>4301010318</v>
      </c>
      <c r="B2713" s="3" t="s">
        <v>78</v>
      </c>
      <c r="C2713" s="9"/>
    </row>
    <row r="2714" spans="1:3" ht="15" x14ac:dyDescent="0.25">
      <c r="A2714" s="2">
        <v>4301010319</v>
      </c>
      <c r="B2714" s="3" t="s">
        <v>53</v>
      </c>
      <c r="C2714" s="9"/>
    </row>
    <row r="2715" spans="1:3" ht="30" x14ac:dyDescent="0.25">
      <c r="A2715" s="2">
        <v>43010104</v>
      </c>
      <c r="B2715" s="4" t="s">
        <v>741</v>
      </c>
      <c r="C2715" s="11"/>
    </row>
    <row r="2716" spans="1:3" ht="15" x14ac:dyDescent="0.25">
      <c r="A2716" s="2">
        <v>4301010401</v>
      </c>
      <c r="B2716" s="3" t="s">
        <v>55</v>
      </c>
      <c r="C2716" s="9"/>
    </row>
    <row r="2717" spans="1:3" ht="15" x14ac:dyDescent="0.25">
      <c r="A2717" s="2">
        <v>4301010402</v>
      </c>
      <c r="B2717" s="3" t="s">
        <v>61</v>
      </c>
      <c r="C2717" s="9"/>
    </row>
    <row r="2718" spans="1:3" ht="15" x14ac:dyDescent="0.25">
      <c r="A2718" s="2">
        <v>4301010403</v>
      </c>
      <c r="B2718" s="3" t="s">
        <v>62</v>
      </c>
      <c r="C2718" s="9"/>
    </row>
    <row r="2719" spans="1:3" ht="15" x14ac:dyDescent="0.25">
      <c r="A2719" s="2">
        <v>4301010405</v>
      </c>
      <c r="B2719" s="3" t="s">
        <v>39</v>
      </c>
      <c r="C2719" s="9"/>
    </row>
    <row r="2720" spans="1:3" ht="15" x14ac:dyDescent="0.25">
      <c r="A2720" s="2">
        <v>4301010406</v>
      </c>
      <c r="B2720" s="3" t="s">
        <v>42</v>
      </c>
      <c r="C2720" s="9"/>
    </row>
    <row r="2721" spans="1:3" ht="15" x14ac:dyDescent="0.25">
      <c r="A2721" s="2">
        <v>4301010407</v>
      </c>
      <c r="B2721" s="3" t="s">
        <v>43</v>
      </c>
      <c r="C2721" s="9"/>
    </row>
    <row r="2722" spans="1:3" ht="15" x14ac:dyDescent="0.25">
      <c r="A2722" s="2">
        <v>4301010410</v>
      </c>
      <c r="B2722" s="3" t="s">
        <v>742</v>
      </c>
      <c r="C2722" s="9"/>
    </row>
    <row r="2723" spans="1:3" ht="30" x14ac:dyDescent="0.25">
      <c r="A2723" s="2">
        <v>4301010411</v>
      </c>
      <c r="B2723" s="4" t="s">
        <v>50</v>
      </c>
      <c r="C2723" s="11"/>
    </row>
    <row r="2724" spans="1:3" ht="30" x14ac:dyDescent="0.25">
      <c r="A2724" s="2">
        <v>4301010412</v>
      </c>
      <c r="B2724" s="4" t="s">
        <v>51</v>
      </c>
      <c r="C2724" s="11"/>
    </row>
    <row r="2725" spans="1:3" ht="15" x14ac:dyDescent="0.25">
      <c r="A2725" s="2">
        <v>4301010418</v>
      </c>
      <c r="B2725" s="3" t="s">
        <v>78</v>
      </c>
      <c r="C2725" s="9"/>
    </row>
    <row r="2726" spans="1:3" ht="15" x14ac:dyDescent="0.25">
      <c r="A2726" s="2">
        <v>4301010419</v>
      </c>
      <c r="B2726" s="3" t="s">
        <v>59</v>
      </c>
      <c r="C2726" s="9"/>
    </row>
    <row r="2727" spans="1:3" ht="15" x14ac:dyDescent="0.25">
      <c r="A2727" s="2">
        <v>43010105</v>
      </c>
      <c r="B2727" s="3" t="s">
        <v>91</v>
      </c>
      <c r="C2727" s="9"/>
    </row>
    <row r="2728" spans="1:3" ht="15" x14ac:dyDescent="0.25">
      <c r="A2728" s="2">
        <v>4301010501</v>
      </c>
      <c r="B2728" s="3" t="s">
        <v>55</v>
      </c>
      <c r="C2728" s="9"/>
    </row>
    <row r="2729" spans="1:3" ht="15" x14ac:dyDescent="0.25">
      <c r="A2729" s="2">
        <v>4301010502</v>
      </c>
      <c r="B2729" s="3" t="s">
        <v>61</v>
      </c>
      <c r="C2729" s="9"/>
    </row>
    <row r="2730" spans="1:3" ht="15" x14ac:dyDescent="0.25">
      <c r="A2730" s="2">
        <v>4301010503</v>
      </c>
      <c r="B2730" s="3" t="s">
        <v>62</v>
      </c>
      <c r="C2730" s="9"/>
    </row>
    <row r="2731" spans="1:3" ht="15" x14ac:dyDescent="0.25">
      <c r="A2731" s="2">
        <v>4301010505</v>
      </c>
      <c r="B2731" s="3" t="s">
        <v>39</v>
      </c>
      <c r="C2731" s="9"/>
    </row>
    <row r="2732" spans="1:3" ht="15" x14ac:dyDescent="0.25">
      <c r="A2732" s="2">
        <v>4301010506</v>
      </c>
      <c r="B2732" s="3" t="s">
        <v>42</v>
      </c>
      <c r="C2732" s="9"/>
    </row>
    <row r="2733" spans="1:3" ht="15" x14ac:dyDescent="0.25">
      <c r="A2733" s="2">
        <v>4301010507</v>
      </c>
      <c r="B2733" s="3" t="s">
        <v>43</v>
      </c>
      <c r="C2733" s="9"/>
    </row>
    <row r="2734" spans="1:3" ht="30" x14ac:dyDescent="0.25">
      <c r="A2734" s="2">
        <v>4301010510</v>
      </c>
      <c r="B2734" s="4" t="s">
        <v>48</v>
      </c>
      <c r="C2734" s="11"/>
    </row>
    <row r="2735" spans="1:3" ht="30" x14ac:dyDescent="0.25">
      <c r="A2735" s="2">
        <v>4301010511</v>
      </c>
      <c r="B2735" s="4" t="s">
        <v>50</v>
      </c>
      <c r="C2735" s="11"/>
    </row>
    <row r="2736" spans="1:3" ht="30" x14ac:dyDescent="0.25">
      <c r="A2736" s="2">
        <v>4301010512</v>
      </c>
      <c r="B2736" s="4" t="s">
        <v>51</v>
      </c>
      <c r="C2736" s="11"/>
    </row>
    <row r="2737" spans="1:3" ht="15" x14ac:dyDescent="0.25">
      <c r="A2737" s="2">
        <v>4301010518</v>
      </c>
      <c r="B2737" s="3" t="s">
        <v>78</v>
      </c>
      <c r="C2737" s="9"/>
    </row>
    <row r="2738" spans="1:3" ht="15" x14ac:dyDescent="0.25">
      <c r="A2738" s="2">
        <v>4301010519</v>
      </c>
      <c r="B2738" s="3" t="s">
        <v>59</v>
      </c>
      <c r="C2738" s="9"/>
    </row>
    <row r="2739" spans="1:3" ht="15" x14ac:dyDescent="0.25">
      <c r="A2739" s="2">
        <v>43010107</v>
      </c>
      <c r="B2739" s="3" t="s">
        <v>743</v>
      </c>
      <c r="C2739" s="9"/>
    </row>
    <row r="2740" spans="1:3" ht="15" x14ac:dyDescent="0.25">
      <c r="A2740" s="2">
        <v>4302</v>
      </c>
      <c r="B2740" s="3" t="s">
        <v>744</v>
      </c>
      <c r="C2740" s="9"/>
    </row>
    <row r="2741" spans="1:3" ht="15" x14ac:dyDescent="0.25">
      <c r="A2741" s="2">
        <v>430202</v>
      </c>
      <c r="B2741" s="3" t="s">
        <v>745</v>
      </c>
      <c r="C2741" s="9"/>
    </row>
    <row r="2742" spans="1:3" ht="15" x14ac:dyDescent="0.25">
      <c r="A2742" s="2">
        <v>43020201</v>
      </c>
      <c r="B2742" s="3" t="s">
        <v>207</v>
      </c>
      <c r="C2742" s="9"/>
    </row>
    <row r="2743" spans="1:3" ht="15" x14ac:dyDescent="0.25">
      <c r="A2743" s="2">
        <v>43020202</v>
      </c>
      <c r="B2743" s="3" t="s">
        <v>208</v>
      </c>
      <c r="C2743" s="9"/>
    </row>
    <row r="2744" spans="1:3" ht="15" x14ac:dyDescent="0.25">
      <c r="A2744" s="2">
        <v>4302020201</v>
      </c>
      <c r="B2744" s="3" t="s">
        <v>746</v>
      </c>
      <c r="C2744" s="9"/>
    </row>
    <row r="2745" spans="1:3" ht="15" x14ac:dyDescent="0.25">
      <c r="A2745" s="2">
        <v>4302020202</v>
      </c>
      <c r="B2745" s="3" t="s">
        <v>747</v>
      </c>
      <c r="C2745" s="9"/>
    </row>
    <row r="2746" spans="1:3" ht="30" x14ac:dyDescent="0.25">
      <c r="A2746" s="2">
        <v>43020204</v>
      </c>
      <c r="B2746" s="4" t="s">
        <v>748</v>
      </c>
      <c r="C2746" s="11"/>
    </row>
    <row r="2747" spans="1:3" ht="15" x14ac:dyDescent="0.25">
      <c r="A2747" s="2">
        <v>430203</v>
      </c>
      <c r="B2747" s="3" t="s">
        <v>749</v>
      </c>
      <c r="C2747" s="9"/>
    </row>
    <row r="2748" spans="1:3" s="15" customFormat="1" ht="15" x14ac:dyDescent="0.25">
      <c r="A2748" s="18" t="s">
        <v>1718</v>
      </c>
      <c r="B2748" s="19" t="s">
        <v>1719</v>
      </c>
      <c r="C2748" s="20"/>
    </row>
    <row r="2749" spans="1:3" s="15" customFormat="1" ht="15" x14ac:dyDescent="0.25">
      <c r="A2749" s="18" t="s">
        <v>1720</v>
      </c>
      <c r="B2749" s="19" t="s">
        <v>1721</v>
      </c>
      <c r="C2749" s="20"/>
    </row>
    <row r="2750" spans="1:3" ht="15" x14ac:dyDescent="0.25">
      <c r="A2750" s="2">
        <v>43020302</v>
      </c>
      <c r="B2750" s="3" t="s">
        <v>208</v>
      </c>
      <c r="C2750" s="9"/>
    </row>
    <row r="2751" spans="1:3" ht="15" x14ac:dyDescent="0.25">
      <c r="A2751" s="2">
        <v>4302030201</v>
      </c>
      <c r="B2751" s="3" t="s">
        <v>746</v>
      </c>
      <c r="C2751" s="9"/>
    </row>
    <row r="2752" spans="1:3" ht="15" x14ac:dyDescent="0.25">
      <c r="A2752" s="2">
        <v>4302030202</v>
      </c>
      <c r="B2752" s="3" t="s">
        <v>747</v>
      </c>
      <c r="C2752" s="9"/>
    </row>
    <row r="2753" spans="1:3" ht="15" x14ac:dyDescent="0.25">
      <c r="A2753" s="2">
        <v>43020304</v>
      </c>
      <c r="B2753" s="3" t="s">
        <v>750</v>
      </c>
      <c r="C2753" s="9"/>
    </row>
    <row r="2754" spans="1:3" ht="15" x14ac:dyDescent="0.25">
      <c r="A2754" s="2">
        <v>430204</v>
      </c>
      <c r="B2754" s="3" t="s">
        <v>751</v>
      </c>
      <c r="C2754" s="9"/>
    </row>
    <row r="2755" spans="1:3" ht="15" x14ac:dyDescent="0.25">
      <c r="A2755" s="2">
        <v>43020401</v>
      </c>
      <c r="B2755" s="3" t="s">
        <v>207</v>
      </c>
      <c r="C2755" s="9"/>
    </row>
    <row r="2756" spans="1:3" ht="15" x14ac:dyDescent="0.25">
      <c r="A2756" s="2">
        <v>43020402</v>
      </c>
      <c r="B2756" s="3" t="s">
        <v>208</v>
      </c>
      <c r="C2756" s="9"/>
    </row>
    <row r="2757" spans="1:3" ht="15" x14ac:dyDescent="0.25">
      <c r="A2757" s="2">
        <v>4302040201</v>
      </c>
      <c r="B2757" s="3" t="s">
        <v>746</v>
      </c>
      <c r="C2757" s="9"/>
    </row>
    <row r="2758" spans="1:3" ht="15" x14ac:dyDescent="0.25">
      <c r="A2758" s="2">
        <v>4302040202</v>
      </c>
      <c r="B2758" s="3" t="s">
        <v>747</v>
      </c>
      <c r="C2758" s="9"/>
    </row>
    <row r="2759" spans="1:3" ht="15" x14ac:dyDescent="0.25">
      <c r="A2759" s="2">
        <v>43020404</v>
      </c>
      <c r="B2759" s="3" t="s">
        <v>750</v>
      </c>
      <c r="C2759" s="9"/>
    </row>
    <row r="2760" spans="1:3" ht="13.8" x14ac:dyDescent="0.25">
      <c r="A2760" s="5">
        <v>430207</v>
      </c>
      <c r="B2760" s="6" t="s">
        <v>752</v>
      </c>
      <c r="C2760" s="12"/>
    </row>
    <row r="2761" spans="1:3" ht="13.8" x14ac:dyDescent="0.25">
      <c r="A2761" s="5">
        <v>43020701</v>
      </c>
      <c r="B2761" s="6" t="s">
        <v>215</v>
      </c>
      <c r="C2761" s="12"/>
    </row>
    <row r="2762" spans="1:3" ht="13.8" x14ac:dyDescent="0.25">
      <c r="A2762" s="5">
        <v>43020702</v>
      </c>
      <c r="B2762" s="6" t="s">
        <v>216</v>
      </c>
      <c r="C2762" s="12"/>
    </row>
    <row r="2763" spans="1:3" ht="13.8" x14ac:dyDescent="0.25">
      <c r="A2763" s="5">
        <v>4302070201</v>
      </c>
      <c r="B2763" s="6" t="s">
        <v>753</v>
      </c>
      <c r="C2763" s="12"/>
    </row>
    <row r="2764" spans="1:3" ht="13.8" x14ac:dyDescent="0.25">
      <c r="A2764" s="5">
        <v>4302070202</v>
      </c>
      <c r="B2764" s="6" t="s">
        <v>754</v>
      </c>
      <c r="C2764" s="12"/>
    </row>
    <row r="2765" spans="1:3" ht="13.8" x14ac:dyDescent="0.25">
      <c r="A2765" s="5">
        <v>43020704</v>
      </c>
      <c r="B2765" s="6" t="s">
        <v>755</v>
      </c>
      <c r="C2765" s="12"/>
    </row>
    <row r="2766" spans="1:3" ht="15" x14ac:dyDescent="0.25">
      <c r="A2766" s="2">
        <v>430209</v>
      </c>
      <c r="B2766" s="3" t="s">
        <v>756</v>
      </c>
      <c r="C2766" s="9"/>
    </row>
    <row r="2767" spans="1:3" ht="15" x14ac:dyDescent="0.25">
      <c r="A2767" s="2">
        <v>43020901</v>
      </c>
      <c r="B2767" s="3" t="s">
        <v>207</v>
      </c>
      <c r="C2767" s="9"/>
    </row>
    <row r="2768" spans="1:3" ht="15" x14ac:dyDescent="0.25">
      <c r="A2768" s="2">
        <v>43020902</v>
      </c>
      <c r="B2768" s="3" t="s">
        <v>208</v>
      </c>
      <c r="C2768" s="9"/>
    </row>
    <row r="2769" spans="1:3" ht="15" x14ac:dyDescent="0.25">
      <c r="A2769" s="2">
        <v>4302090201</v>
      </c>
      <c r="B2769" s="3" t="s">
        <v>746</v>
      </c>
      <c r="C2769" s="9"/>
    </row>
    <row r="2770" spans="1:3" ht="15" x14ac:dyDescent="0.25">
      <c r="A2770" s="2">
        <v>4302090202</v>
      </c>
      <c r="B2770" s="3" t="s">
        <v>747</v>
      </c>
      <c r="C2770" s="9"/>
    </row>
    <row r="2771" spans="1:3" ht="15" x14ac:dyDescent="0.25">
      <c r="A2771" s="2">
        <v>43020904</v>
      </c>
      <c r="B2771" s="3" t="s">
        <v>750</v>
      </c>
      <c r="C2771" s="9"/>
    </row>
    <row r="2772" spans="1:3" ht="15" x14ac:dyDescent="0.25">
      <c r="A2772" s="2">
        <v>430210</v>
      </c>
      <c r="B2772" s="3" t="s">
        <v>757</v>
      </c>
      <c r="C2772" s="9"/>
    </row>
    <row r="2773" spans="1:3" ht="15" x14ac:dyDescent="0.25">
      <c r="A2773" s="2">
        <v>43021001</v>
      </c>
      <c r="B2773" s="3" t="s">
        <v>207</v>
      </c>
      <c r="C2773" s="9"/>
    </row>
    <row r="2774" spans="1:3" ht="15" x14ac:dyDescent="0.25">
      <c r="A2774" s="2">
        <v>43021002</v>
      </c>
      <c r="B2774" s="3" t="s">
        <v>208</v>
      </c>
      <c r="C2774" s="9"/>
    </row>
    <row r="2775" spans="1:3" ht="15" x14ac:dyDescent="0.25">
      <c r="A2775" s="2">
        <v>4302100201</v>
      </c>
      <c r="B2775" s="3" t="s">
        <v>746</v>
      </c>
      <c r="C2775" s="9"/>
    </row>
    <row r="2776" spans="1:3" ht="15" x14ac:dyDescent="0.25">
      <c r="A2776" s="2">
        <v>4302100202</v>
      </c>
      <c r="B2776" s="3" t="s">
        <v>747</v>
      </c>
      <c r="C2776" s="9"/>
    </row>
    <row r="2777" spans="1:3" ht="30" x14ac:dyDescent="0.25">
      <c r="A2777" s="2">
        <v>43021004</v>
      </c>
      <c r="B2777" s="4" t="s">
        <v>748</v>
      </c>
      <c r="C2777" s="11"/>
    </row>
    <row r="2778" spans="1:3" ht="15" x14ac:dyDescent="0.25">
      <c r="A2778" s="2">
        <v>430211</v>
      </c>
      <c r="B2778" s="3" t="s">
        <v>758</v>
      </c>
      <c r="C2778" s="9"/>
    </row>
    <row r="2779" spans="1:3" ht="15" x14ac:dyDescent="0.25">
      <c r="A2779" s="2">
        <v>43021101</v>
      </c>
      <c r="B2779" s="3" t="s">
        <v>207</v>
      </c>
      <c r="C2779" s="9"/>
    </row>
    <row r="2780" spans="1:3" ht="15" x14ac:dyDescent="0.25">
      <c r="A2780" s="2">
        <v>43021102</v>
      </c>
      <c r="B2780" s="3" t="s">
        <v>208</v>
      </c>
      <c r="C2780" s="9"/>
    </row>
    <row r="2781" spans="1:3" ht="15" x14ac:dyDescent="0.25">
      <c r="A2781" s="2">
        <v>4302110201</v>
      </c>
      <c r="B2781" s="3" t="s">
        <v>746</v>
      </c>
      <c r="C2781" s="9"/>
    </row>
    <row r="2782" spans="1:3" ht="15" x14ac:dyDescent="0.25">
      <c r="A2782" s="2">
        <v>4302110202</v>
      </c>
      <c r="B2782" s="3" t="s">
        <v>747</v>
      </c>
      <c r="C2782" s="9"/>
    </row>
    <row r="2783" spans="1:3" ht="30" x14ac:dyDescent="0.25">
      <c r="A2783" s="2">
        <v>43021104</v>
      </c>
      <c r="B2783" s="4" t="s">
        <v>748</v>
      </c>
      <c r="C2783" s="11"/>
    </row>
    <row r="2784" spans="1:3" ht="15" x14ac:dyDescent="0.25">
      <c r="A2784" s="2">
        <v>430212</v>
      </c>
      <c r="B2784" s="3" t="s">
        <v>759</v>
      </c>
      <c r="C2784" s="9"/>
    </row>
    <row r="2785" spans="1:3" ht="15" x14ac:dyDescent="0.25">
      <c r="A2785" s="2">
        <v>43021201</v>
      </c>
      <c r="B2785" s="3" t="s">
        <v>207</v>
      </c>
      <c r="C2785" s="9"/>
    </row>
    <row r="2786" spans="1:3" ht="15" x14ac:dyDescent="0.25">
      <c r="A2786" s="2">
        <v>43021202</v>
      </c>
      <c r="B2786" s="3" t="s">
        <v>208</v>
      </c>
      <c r="C2786" s="9"/>
    </row>
    <row r="2787" spans="1:3" ht="15" x14ac:dyDescent="0.25">
      <c r="A2787" s="2">
        <v>4302120201</v>
      </c>
      <c r="B2787" s="3" t="s">
        <v>746</v>
      </c>
      <c r="C2787" s="9"/>
    </row>
    <row r="2788" spans="1:3" ht="15" x14ac:dyDescent="0.25">
      <c r="A2788" s="2">
        <v>4302120202</v>
      </c>
      <c r="B2788" s="3" t="s">
        <v>747</v>
      </c>
      <c r="C2788" s="9"/>
    </row>
    <row r="2789" spans="1:3" ht="30" x14ac:dyDescent="0.25">
      <c r="A2789" s="2">
        <v>43021204</v>
      </c>
      <c r="B2789" s="4" t="s">
        <v>748</v>
      </c>
      <c r="C2789" s="11"/>
    </row>
    <row r="2790" spans="1:3" ht="15" x14ac:dyDescent="0.25">
      <c r="A2790" s="2">
        <v>430213</v>
      </c>
      <c r="B2790" s="3" t="s">
        <v>760</v>
      </c>
      <c r="C2790" s="9"/>
    </row>
    <row r="2791" spans="1:3" ht="15" x14ac:dyDescent="0.25">
      <c r="A2791" s="2">
        <v>43021301</v>
      </c>
      <c r="B2791" s="3" t="s">
        <v>207</v>
      </c>
      <c r="C2791" s="9"/>
    </row>
    <row r="2792" spans="1:3" ht="15" x14ac:dyDescent="0.25">
      <c r="A2792" s="2">
        <v>43021302</v>
      </c>
      <c r="B2792" s="3" t="s">
        <v>208</v>
      </c>
      <c r="C2792" s="9"/>
    </row>
    <row r="2793" spans="1:3" ht="15" x14ac:dyDescent="0.25">
      <c r="A2793" s="2">
        <v>4302130201</v>
      </c>
      <c r="B2793" s="3" t="s">
        <v>746</v>
      </c>
      <c r="C2793" s="9"/>
    </row>
    <row r="2794" spans="1:3" ht="15" x14ac:dyDescent="0.25">
      <c r="A2794" s="2">
        <v>4302130202</v>
      </c>
      <c r="B2794" s="3" t="s">
        <v>747</v>
      </c>
      <c r="C2794" s="9"/>
    </row>
    <row r="2795" spans="1:3" ht="30" x14ac:dyDescent="0.25">
      <c r="A2795" s="2">
        <v>43021304</v>
      </c>
      <c r="B2795" s="4" t="s">
        <v>748</v>
      </c>
      <c r="C2795" s="11"/>
    </row>
    <row r="2796" spans="1:3" ht="15" x14ac:dyDescent="0.25">
      <c r="A2796" s="2">
        <v>4303</v>
      </c>
      <c r="B2796" s="3" t="s">
        <v>761</v>
      </c>
      <c r="C2796" s="9"/>
    </row>
    <row r="2797" spans="1:3" ht="15" x14ac:dyDescent="0.25">
      <c r="A2797" s="2">
        <v>430301</v>
      </c>
      <c r="B2797" s="3" t="s">
        <v>762</v>
      </c>
      <c r="C2797" s="9"/>
    </row>
    <row r="2798" spans="1:3" ht="13.8" x14ac:dyDescent="0.25">
      <c r="A2798" s="5">
        <v>43030101</v>
      </c>
      <c r="B2798" s="6" t="s">
        <v>763</v>
      </c>
      <c r="C2798" s="12"/>
    </row>
    <row r="2799" spans="1:3" ht="15" x14ac:dyDescent="0.25">
      <c r="A2799" s="2">
        <v>43030102</v>
      </c>
      <c r="B2799" s="3" t="s">
        <v>764</v>
      </c>
      <c r="C2799" s="9"/>
    </row>
    <row r="2800" spans="1:3" ht="30" x14ac:dyDescent="0.25">
      <c r="A2800" s="2">
        <v>4303010201</v>
      </c>
      <c r="B2800" s="4" t="s">
        <v>765</v>
      </c>
      <c r="C2800" s="11"/>
    </row>
    <row r="2801" spans="1:3" ht="30" x14ac:dyDescent="0.25">
      <c r="A2801" s="2">
        <v>4303010202</v>
      </c>
      <c r="B2801" s="4" t="s">
        <v>766</v>
      </c>
      <c r="C2801" s="11"/>
    </row>
    <row r="2802" spans="1:3" ht="30" x14ac:dyDescent="0.25">
      <c r="A2802" s="2">
        <v>4303010203</v>
      </c>
      <c r="B2802" s="4" t="s">
        <v>767</v>
      </c>
      <c r="C2802" s="11"/>
    </row>
    <row r="2803" spans="1:3" s="15" customFormat="1" ht="15" x14ac:dyDescent="0.25">
      <c r="A2803" s="18" t="s">
        <v>1722</v>
      </c>
      <c r="B2803" s="19" t="s">
        <v>1723</v>
      </c>
      <c r="C2803" s="20"/>
    </row>
    <row r="2804" spans="1:3" ht="30" x14ac:dyDescent="0.25">
      <c r="A2804" s="2">
        <v>4304</v>
      </c>
      <c r="B2804" s="4" t="s">
        <v>768</v>
      </c>
      <c r="C2804" s="11"/>
    </row>
    <row r="2805" spans="1:3" ht="15" x14ac:dyDescent="0.25">
      <c r="A2805" s="2">
        <v>430401</v>
      </c>
      <c r="B2805" s="3" t="s">
        <v>769</v>
      </c>
      <c r="C2805" s="9"/>
    </row>
    <row r="2806" spans="1:3" ht="15" x14ac:dyDescent="0.25">
      <c r="A2806" s="2">
        <v>43040101</v>
      </c>
      <c r="B2806" s="3" t="s">
        <v>285</v>
      </c>
      <c r="C2806" s="9"/>
    </row>
    <row r="2807" spans="1:3" ht="15" x14ac:dyDescent="0.25">
      <c r="A2807" s="2">
        <v>43040102</v>
      </c>
      <c r="B2807" s="3" t="s">
        <v>286</v>
      </c>
      <c r="C2807" s="9"/>
    </row>
    <row r="2808" spans="1:3" ht="15" x14ac:dyDescent="0.25">
      <c r="A2808" s="2">
        <v>43040103</v>
      </c>
      <c r="B2808" s="3" t="s">
        <v>288</v>
      </c>
      <c r="C2808" s="9"/>
    </row>
    <row r="2809" spans="1:3" ht="15" x14ac:dyDescent="0.25">
      <c r="A2809" s="2">
        <v>430402</v>
      </c>
      <c r="B2809" s="3" t="s">
        <v>770</v>
      </c>
      <c r="C2809" s="9"/>
    </row>
    <row r="2810" spans="1:3" ht="15" x14ac:dyDescent="0.25">
      <c r="A2810" s="2">
        <v>430403</v>
      </c>
      <c r="B2810" s="3" t="s">
        <v>771</v>
      </c>
      <c r="C2810" s="9"/>
    </row>
    <row r="2811" spans="1:3" ht="15" x14ac:dyDescent="0.25">
      <c r="A2811" s="2">
        <v>4305</v>
      </c>
      <c r="B2811" s="3" t="s">
        <v>772</v>
      </c>
      <c r="C2811" s="9"/>
    </row>
    <row r="2812" spans="1:3" ht="15" x14ac:dyDescent="0.25">
      <c r="A2812" s="2">
        <v>430501</v>
      </c>
      <c r="B2812" s="3" t="s">
        <v>545</v>
      </c>
      <c r="C2812" s="9"/>
    </row>
    <row r="2813" spans="1:3" ht="15" x14ac:dyDescent="0.25">
      <c r="A2813" s="2">
        <v>43050102</v>
      </c>
      <c r="B2813" s="3" t="s">
        <v>94</v>
      </c>
      <c r="C2813" s="9"/>
    </row>
    <row r="2814" spans="1:3" ht="15" x14ac:dyDescent="0.25">
      <c r="A2814" s="2">
        <v>43050103</v>
      </c>
      <c r="B2814" s="3" t="s">
        <v>120</v>
      </c>
      <c r="C2814" s="9"/>
    </row>
    <row r="2815" spans="1:3" ht="15" x14ac:dyDescent="0.25">
      <c r="A2815" s="2">
        <v>43050104</v>
      </c>
      <c r="B2815" s="3" t="s">
        <v>130</v>
      </c>
      <c r="C2815" s="9"/>
    </row>
    <row r="2816" spans="1:3" ht="13.8" x14ac:dyDescent="0.25">
      <c r="A2816" s="5">
        <v>43050107</v>
      </c>
      <c r="B2816" s="6" t="s">
        <v>138</v>
      </c>
      <c r="C2816" s="12"/>
    </row>
    <row r="2817" spans="1:3" ht="15" x14ac:dyDescent="0.25">
      <c r="A2817" s="2">
        <v>43050109</v>
      </c>
      <c r="B2817" s="3" t="s">
        <v>159</v>
      </c>
      <c r="C2817" s="9"/>
    </row>
    <row r="2818" spans="1:3" ht="15" x14ac:dyDescent="0.25">
      <c r="A2818" s="2">
        <v>43050110</v>
      </c>
      <c r="B2818" s="3" t="s">
        <v>162</v>
      </c>
      <c r="C2818" s="9"/>
    </row>
    <row r="2819" spans="1:3" ht="15" x14ac:dyDescent="0.25">
      <c r="A2819" s="2">
        <v>43050111</v>
      </c>
      <c r="B2819" s="3" t="s">
        <v>172</v>
      </c>
      <c r="C2819" s="9"/>
    </row>
    <row r="2820" spans="1:3" ht="15" x14ac:dyDescent="0.25">
      <c r="A2820" s="2">
        <v>43050112</v>
      </c>
      <c r="B2820" s="3" t="s">
        <v>174</v>
      </c>
      <c r="C2820" s="9"/>
    </row>
    <row r="2821" spans="1:3" ht="15" x14ac:dyDescent="0.25">
      <c r="A2821" s="2">
        <v>43050113</v>
      </c>
      <c r="B2821" s="3" t="s">
        <v>175</v>
      </c>
      <c r="C2821" s="9"/>
    </row>
    <row r="2822" spans="1:3" ht="15" x14ac:dyDescent="0.25">
      <c r="A2822" s="2">
        <v>430502</v>
      </c>
      <c r="B2822" s="3" t="s">
        <v>546</v>
      </c>
      <c r="C2822" s="9"/>
    </row>
    <row r="2823" spans="1:3" ht="15" x14ac:dyDescent="0.25">
      <c r="A2823" s="2">
        <v>43050201</v>
      </c>
      <c r="B2823" s="3" t="s">
        <v>746</v>
      </c>
      <c r="C2823" s="9"/>
    </row>
    <row r="2824" spans="1:3" ht="15" x14ac:dyDescent="0.25">
      <c r="A2824" s="2">
        <v>4305020102</v>
      </c>
      <c r="B2824" s="3" t="s">
        <v>94</v>
      </c>
      <c r="C2824" s="9"/>
    </row>
    <row r="2825" spans="1:3" ht="15" x14ac:dyDescent="0.25">
      <c r="A2825" s="2">
        <v>4305020103</v>
      </c>
      <c r="B2825" s="3" t="s">
        <v>120</v>
      </c>
      <c r="C2825" s="9"/>
    </row>
    <row r="2826" spans="1:3" ht="15" x14ac:dyDescent="0.25">
      <c r="A2826" s="2">
        <v>4305020104</v>
      </c>
      <c r="B2826" s="3" t="s">
        <v>130</v>
      </c>
      <c r="C2826" s="9"/>
    </row>
    <row r="2827" spans="1:3" ht="13.8" x14ac:dyDescent="0.25">
      <c r="A2827" s="5">
        <v>4305020107</v>
      </c>
      <c r="B2827" s="6" t="s">
        <v>138</v>
      </c>
      <c r="C2827" s="12"/>
    </row>
    <row r="2828" spans="1:3" ht="15" x14ac:dyDescent="0.25">
      <c r="A2828" s="2">
        <v>4305020109</v>
      </c>
      <c r="B2828" s="3" t="s">
        <v>159</v>
      </c>
      <c r="C2828" s="9"/>
    </row>
    <row r="2829" spans="1:3" ht="15" x14ac:dyDescent="0.25">
      <c r="A2829" s="2">
        <v>4305020110</v>
      </c>
      <c r="B2829" s="3" t="s">
        <v>162</v>
      </c>
      <c r="C2829" s="9"/>
    </row>
    <row r="2830" spans="1:3" ht="15" x14ac:dyDescent="0.25">
      <c r="A2830" s="2">
        <v>4305020111</v>
      </c>
      <c r="B2830" s="3" t="s">
        <v>172</v>
      </c>
      <c r="C2830" s="9"/>
    </row>
    <row r="2831" spans="1:3" ht="15" x14ac:dyDescent="0.25">
      <c r="A2831" s="2">
        <v>4305020112</v>
      </c>
      <c r="B2831" s="3" t="s">
        <v>174</v>
      </c>
      <c r="C2831" s="9"/>
    </row>
    <row r="2832" spans="1:3" ht="15" x14ac:dyDescent="0.25">
      <c r="A2832" s="2">
        <v>4305020113</v>
      </c>
      <c r="B2832" s="3" t="s">
        <v>175</v>
      </c>
      <c r="C2832" s="9"/>
    </row>
    <row r="2833" spans="1:3" ht="15" x14ac:dyDescent="0.25">
      <c r="A2833" s="2">
        <v>43050202</v>
      </c>
      <c r="B2833" s="3" t="s">
        <v>747</v>
      </c>
      <c r="C2833" s="9"/>
    </row>
    <row r="2834" spans="1:3" ht="15" x14ac:dyDescent="0.25">
      <c r="A2834" s="2">
        <v>4305020202</v>
      </c>
      <c r="B2834" s="3" t="s">
        <v>94</v>
      </c>
      <c r="C2834" s="9"/>
    </row>
    <row r="2835" spans="1:3" ht="15" x14ac:dyDescent="0.25">
      <c r="A2835" s="2">
        <v>4305020203</v>
      </c>
      <c r="B2835" s="3" t="s">
        <v>120</v>
      </c>
      <c r="C2835" s="9"/>
    </row>
    <row r="2836" spans="1:3" ht="15" x14ac:dyDescent="0.25">
      <c r="A2836" s="2">
        <v>4305020204</v>
      </c>
      <c r="B2836" s="3" t="s">
        <v>130</v>
      </c>
      <c r="C2836" s="9"/>
    </row>
    <row r="2837" spans="1:3" ht="13.8" x14ac:dyDescent="0.25">
      <c r="A2837" s="5">
        <v>4305020207</v>
      </c>
      <c r="B2837" s="6" t="s">
        <v>138</v>
      </c>
      <c r="C2837" s="12"/>
    </row>
    <row r="2838" spans="1:3" ht="15" x14ac:dyDescent="0.25">
      <c r="A2838" s="2">
        <v>4305020209</v>
      </c>
      <c r="B2838" s="3" t="s">
        <v>159</v>
      </c>
      <c r="C2838" s="9"/>
    </row>
    <row r="2839" spans="1:3" ht="15" x14ac:dyDescent="0.25">
      <c r="A2839" s="2">
        <v>4305020210</v>
      </c>
      <c r="B2839" s="3" t="s">
        <v>162</v>
      </c>
      <c r="C2839" s="9"/>
    </row>
    <row r="2840" spans="1:3" ht="15" x14ac:dyDescent="0.25">
      <c r="A2840" s="2">
        <v>4305020211</v>
      </c>
      <c r="B2840" s="3" t="s">
        <v>172</v>
      </c>
      <c r="C2840" s="9"/>
    </row>
    <row r="2841" spans="1:3" ht="15" x14ac:dyDescent="0.25">
      <c r="A2841" s="2">
        <v>4305020212</v>
      </c>
      <c r="B2841" s="3" t="s">
        <v>174</v>
      </c>
      <c r="C2841" s="9"/>
    </row>
    <row r="2842" spans="1:3" ht="15" x14ac:dyDescent="0.25">
      <c r="A2842" s="2">
        <v>4305020213</v>
      </c>
      <c r="B2842" s="3" t="s">
        <v>175</v>
      </c>
      <c r="C2842" s="9"/>
    </row>
    <row r="2843" spans="1:3" ht="15" x14ac:dyDescent="0.25">
      <c r="A2843" s="2">
        <v>430503</v>
      </c>
      <c r="B2843" s="3" t="s">
        <v>556</v>
      </c>
      <c r="C2843" s="9"/>
    </row>
    <row r="2844" spans="1:3" ht="15" x14ac:dyDescent="0.25">
      <c r="A2844" s="2">
        <v>430504</v>
      </c>
      <c r="B2844" s="3" t="s">
        <v>773</v>
      </c>
      <c r="C2844" s="9"/>
    </row>
    <row r="2845" spans="1:3" ht="15" x14ac:dyDescent="0.25">
      <c r="A2845" s="2">
        <v>430509</v>
      </c>
      <c r="B2845" s="3" t="s">
        <v>774</v>
      </c>
      <c r="C2845" s="9"/>
    </row>
    <row r="2846" spans="1:3" ht="15" x14ac:dyDescent="0.25">
      <c r="A2846" s="2">
        <v>44</v>
      </c>
      <c r="B2846" s="3" t="s">
        <v>775</v>
      </c>
      <c r="C2846" s="20">
        <f t="shared" ref="C2846" si="79">SUM(C2848:C2886)</f>
        <v>42227.97</v>
      </c>
    </row>
    <row r="2847" spans="1:3" ht="15" x14ac:dyDescent="0.25">
      <c r="A2847" s="2">
        <v>4401</v>
      </c>
      <c r="B2847" s="3" t="s">
        <v>776</v>
      </c>
      <c r="C2847" s="9"/>
    </row>
    <row r="2848" spans="1:3" ht="15" x14ac:dyDescent="0.25">
      <c r="A2848" s="2">
        <v>440102</v>
      </c>
      <c r="B2848" s="3" t="s">
        <v>777</v>
      </c>
      <c r="C2848" s="9"/>
    </row>
    <row r="2849" spans="1:3" s="15" customFormat="1" ht="15" x14ac:dyDescent="0.25">
      <c r="A2849" s="18" t="s">
        <v>1724</v>
      </c>
      <c r="B2849" s="19" t="s">
        <v>1725</v>
      </c>
      <c r="C2849" s="20">
        <v>513.37</v>
      </c>
    </row>
    <row r="2850" spans="1:3" s="15" customFormat="1" ht="15" x14ac:dyDescent="0.25">
      <c r="A2850" s="18" t="s">
        <v>1726</v>
      </c>
      <c r="B2850" s="19" t="s">
        <v>1727</v>
      </c>
      <c r="C2850" s="20">
        <v>15446.12</v>
      </c>
    </row>
    <row r="2851" spans="1:3" s="15" customFormat="1" ht="15" x14ac:dyDescent="0.25">
      <c r="A2851" s="18" t="s">
        <v>1728</v>
      </c>
      <c r="B2851" s="19" t="s">
        <v>1729</v>
      </c>
      <c r="C2851" s="20">
        <v>969.46</v>
      </c>
    </row>
    <row r="2852" spans="1:3" s="15" customFormat="1" ht="15" x14ac:dyDescent="0.25">
      <c r="A2852" s="18" t="s">
        <v>1730</v>
      </c>
      <c r="B2852" s="19" t="s">
        <v>1731</v>
      </c>
      <c r="C2852" s="20">
        <v>1120.51</v>
      </c>
    </row>
    <row r="2853" spans="1:3" s="15" customFormat="1" ht="15" x14ac:dyDescent="0.25">
      <c r="A2853" s="18" t="s">
        <v>1732</v>
      </c>
      <c r="B2853" s="19" t="s">
        <v>1733</v>
      </c>
      <c r="C2853" s="20">
        <v>1020.45</v>
      </c>
    </row>
    <row r="2854" spans="1:3" s="15" customFormat="1" ht="15" x14ac:dyDescent="0.25">
      <c r="A2854" s="18" t="s">
        <v>1734</v>
      </c>
      <c r="B2854" s="19" t="s">
        <v>1735</v>
      </c>
      <c r="C2854" s="20">
        <v>1761.57</v>
      </c>
    </row>
    <row r="2855" spans="1:3" s="15" customFormat="1" ht="15" x14ac:dyDescent="0.25">
      <c r="A2855" s="18" t="s">
        <v>1736</v>
      </c>
      <c r="B2855" s="19" t="s">
        <v>1737</v>
      </c>
      <c r="C2855" s="20">
        <v>1731.4</v>
      </c>
    </row>
    <row r="2856" spans="1:3" s="15" customFormat="1" ht="15" x14ac:dyDescent="0.25">
      <c r="A2856" s="18" t="s">
        <v>1738</v>
      </c>
      <c r="B2856" s="19" t="s">
        <v>1739</v>
      </c>
      <c r="C2856" s="20"/>
    </row>
    <row r="2857" spans="1:3" s="15" customFormat="1" ht="15" x14ac:dyDescent="0.25">
      <c r="A2857" s="18" t="s">
        <v>1740</v>
      </c>
      <c r="B2857" s="19" t="s">
        <v>1741</v>
      </c>
      <c r="C2857" s="20">
        <v>474.92</v>
      </c>
    </row>
    <row r="2858" spans="1:3" ht="15" x14ac:dyDescent="0.25">
      <c r="A2858" s="2">
        <v>440103</v>
      </c>
      <c r="B2858" s="3" t="s">
        <v>778</v>
      </c>
      <c r="C2858" s="9"/>
    </row>
    <row r="2859" spans="1:3" s="15" customFormat="1" ht="15" x14ac:dyDescent="0.25">
      <c r="A2859" s="18" t="s">
        <v>1742</v>
      </c>
      <c r="B2859" s="19" t="s">
        <v>1743</v>
      </c>
      <c r="C2859" s="20">
        <v>2143.62</v>
      </c>
    </row>
    <row r="2860" spans="1:3" s="15" customFormat="1" ht="15" x14ac:dyDescent="0.25">
      <c r="A2860" s="18" t="s">
        <v>1744</v>
      </c>
      <c r="B2860" s="19" t="s">
        <v>1745</v>
      </c>
      <c r="C2860" s="20">
        <v>6102.91</v>
      </c>
    </row>
    <row r="2861" spans="1:3" s="15" customFormat="1" ht="15" x14ac:dyDescent="0.25">
      <c r="A2861" s="18" t="s">
        <v>1746</v>
      </c>
      <c r="B2861" s="19" t="s">
        <v>1747</v>
      </c>
      <c r="C2861" s="20">
        <v>823.14</v>
      </c>
    </row>
    <row r="2862" spans="1:3" s="15" customFormat="1" ht="15" x14ac:dyDescent="0.25">
      <c r="A2862" s="18" t="s">
        <v>1748</v>
      </c>
      <c r="B2862" s="19" t="s">
        <v>1749</v>
      </c>
      <c r="C2862" s="20">
        <v>53.63</v>
      </c>
    </row>
    <row r="2863" spans="1:3" s="15" customFormat="1" ht="15" x14ac:dyDescent="0.25">
      <c r="A2863" s="18" t="s">
        <v>1750</v>
      </c>
      <c r="B2863" s="19" t="s">
        <v>1747</v>
      </c>
      <c r="C2863" s="20"/>
    </row>
    <row r="2864" spans="1:3" s="15" customFormat="1" ht="15" x14ac:dyDescent="0.25">
      <c r="A2864" s="18" t="s">
        <v>1751</v>
      </c>
      <c r="B2864" s="19" t="s">
        <v>1752</v>
      </c>
      <c r="C2864" s="20">
        <v>1288.2</v>
      </c>
    </row>
    <row r="2865" spans="1:3" s="15" customFormat="1" ht="15" x14ac:dyDescent="0.25">
      <c r="A2865" s="18" t="s">
        <v>1753</v>
      </c>
      <c r="B2865" s="19" t="s">
        <v>1754</v>
      </c>
      <c r="C2865" s="20">
        <v>5926.59</v>
      </c>
    </row>
    <row r="2866" spans="1:3" s="15" customFormat="1" ht="15" x14ac:dyDescent="0.25">
      <c r="A2866" s="18" t="s">
        <v>1755</v>
      </c>
      <c r="B2866" s="19" t="s">
        <v>1756</v>
      </c>
      <c r="C2866" s="20">
        <v>1722.85</v>
      </c>
    </row>
    <row r="2867" spans="1:3" s="15" customFormat="1" ht="15" x14ac:dyDescent="0.25">
      <c r="A2867" s="18" t="s">
        <v>1757</v>
      </c>
      <c r="B2867" s="19" t="s">
        <v>1758</v>
      </c>
      <c r="C2867" s="20">
        <v>96.21</v>
      </c>
    </row>
    <row r="2868" spans="1:3" s="15" customFormat="1" ht="15" x14ac:dyDescent="0.25">
      <c r="A2868" s="18" t="s">
        <v>1759</v>
      </c>
      <c r="B2868" s="19" t="s">
        <v>1760</v>
      </c>
      <c r="C2868" s="20">
        <v>356.69</v>
      </c>
    </row>
    <row r="2869" spans="1:3" ht="15" x14ac:dyDescent="0.25">
      <c r="A2869" s="2">
        <v>440104</v>
      </c>
      <c r="B2869" s="3" t="s">
        <v>779</v>
      </c>
      <c r="C2869" s="9"/>
    </row>
    <row r="2870" spans="1:3" s="15" customFormat="1" ht="15" x14ac:dyDescent="0.25">
      <c r="A2870" s="18" t="s">
        <v>1763</v>
      </c>
      <c r="B2870" s="19" t="s">
        <v>1764</v>
      </c>
      <c r="C2870" s="20"/>
    </row>
    <row r="2871" spans="1:3" ht="15" x14ac:dyDescent="0.25">
      <c r="A2871" s="2">
        <v>440105</v>
      </c>
      <c r="B2871" s="3" t="s">
        <v>780</v>
      </c>
      <c r="C2871" s="9"/>
    </row>
    <row r="2872" spans="1:3" ht="15" x14ac:dyDescent="0.25">
      <c r="A2872" s="2">
        <v>440107</v>
      </c>
      <c r="B2872" s="3" t="s">
        <v>781</v>
      </c>
      <c r="C2872" s="9"/>
    </row>
    <row r="2873" spans="1:3" ht="15" x14ac:dyDescent="0.25">
      <c r="A2873" s="2">
        <v>4403</v>
      </c>
      <c r="B2873" s="3" t="s">
        <v>782</v>
      </c>
      <c r="C2873" s="9"/>
    </row>
    <row r="2874" spans="1:3" s="15" customFormat="1" ht="15" x14ac:dyDescent="0.25">
      <c r="A2874" s="18" t="s">
        <v>1761</v>
      </c>
      <c r="B2874" s="19" t="s">
        <v>1762</v>
      </c>
      <c r="C2874" s="20">
        <v>676.33</v>
      </c>
    </row>
    <row r="2875" spans="1:3" ht="15" x14ac:dyDescent="0.25">
      <c r="A2875" s="2">
        <v>440304</v>
      </c>
      <c r="B2875" s="3" t="s">
        <v>783</v>
      </c>
      <c r="C2875" s="9"/>
    </row>
    <row r="2876" spans="1:3" ht="15" x14ac:dyDescent="0.25">
      <c r="A2876" s="2">
        <v>440307</v>
      </c>
      <c r="B2876" s="3" t="s">
        <v>784</v>
      </c>
      <c r="C2876" s="9"/>
    </row>
    <row r="2877" spans="1:3" ht="15" x14ac:dyDescent="0.25">
      <c r="A2877" s="2">
        <v>4404</v>
      </c>
      <c r="B2877" s="3" t="s">
        <v>785</v>
      </c>
      <c r="C2877" s="9"/>
    </row>
    <row r="2878" spans="1:3" s="15" customFormat="1" ht="15" x14ac:dyDescent="0.25">
      <c r="A2878" s="18" t="s">
        <v>1765</v>
      </c>
      <c r="B2878" s="19" t="s">
        <v>1766</v>
      </c>
      <c r="C2878" s="20"/>
    </row>
    <row r="2879" spans="1:3" ht="15" x14ac:dyDescent="0.25">
      <c r="A2879" s="2">
        <v>440402</v>
      </c>
      <c r="B2879" s="3" t="s">
        <v>786</v>
      </c>
      <c r="C2879" s="9"/>
    </row>
    <row r="2880" spans="1:3" ht="15" x14ac:dyDescent="0.25">
      <c r="A2880" s="2">
        <v>440403</v>
      </c>
      <c r="B2880" s="3" t="s">
        <v>787</v>
      </c>
      <c r="C2880" s="9"/>
    </row>
    <row r="2881" spans="1:3" ht="15" x14ac:dyDescent="0.25">
      <c r="A2881" s="2">
        <v>440404</v>
      </c>
      <c r="B2881" s="3" t="s">
        <v>788</v>
      </c>
      <c r="C2881" s="9"/>
    </row>
    <row r="2882" spans="1:3" ht="15" x14ac:dyDescent="0.25">
      <c r="A2882" s="2">
        <v>440405</v>
      </c>
      <c r="B2882" s="3" t="s">
        <v>789</v>
      </c>
      <c r="C2882" s="9"/>
    </row>
    <row r="2883" spans="1:3" ht="15" x14ac:dyDescent="0.25">
      <c r="A2883" s="2">
        <v>440407</v>
      </c>
      <c r="B2883" s="3" t="s">
        <v>790</v>
      </c>
      <c r="C2883" s="9"/>
    </row>
    <row r="2884" spans="1:3" ht="15" x14ac:dyDescent="0.25">
      <c r="A2884" s="2">
        <v>4405</v>
      </c>
      <c r="B2884" s="3" t="s">
        <v>791</v>
      </c>
      <c r="C2884" s="9"/>
    </row>
    <row r="2885" spans="1:3" ht="15" x14ac:dyDescent="0.25">
      <c r="A2885" s="2">
        <v>440503</v>
      </c>
      <c r="B2885" s="3" t="s">
        <v>792</v>
      </c>
      <c r="C2885" s="9"/>
    </row>
    <row r="2886" spans="1:3" ht="15" x14ac:dyDescent="0.25">
      <c r="A2886" s="2">
        <v>440504</v>
      </c>
      <c r="B2886" s="3" t="s">
        <v>793</v>
      </c>
      <c r="C2886" s="9"/>
    </row>
    <row r="2887" spans="1:3" ht="15" x14ac:dyDescent="0.25">
      <c r="A2887" s="2">
        <v>440507</v>
      </c>
      <c r="B2887" s="3" t="s">
        <v>794</v>
      </c>
      <c r="C2887" s="9"/>
    </row>
    <row r="2888" spans="1:3" ht="15" x14ac:dyDescent="0.25">
      <c r="A2888" s="2">
        <v>45</v>
      </c>
      <c r="B2888" s="3" t="s">
        <v>795</v>
      </c>
      <c r="C2888" s="20">
        <f t="shared" ref="C2888" si="80">+C2889+C2927+C2960+C3082+C3101</f>
        <v>1105449.0300000003</v>
      </c>
    </row>
    <row r="2889" spans="1:3" ht="15" x14ac:dyDescent="0.25">
      <c r="A2889" s="2">
        <v>4501</v>
      </c>
      <c r="B2889" s="3" t="s">
        <v>796</v>
      </c>
      <c r="C2889" s="20">
        <f t="shared" ref="C2889" si="81">SUM(C2891:C2926)</f>
        <v>507148.89</v>
      </c>
    </row>
    <row r="2890" spans="1:3" ht="15" x14ac:dyDescent="0.25">
      <c r="A2890" s="2">
        <v>450101</v>
      </c>
      <c r="B2890" s="3" t="s">
        <v>797</v>
      </c>
      <c r="C2890" s="9"/>
    </row>
    <row r="2891" spans="1:3" s="15" customFormat="1" ht="15" x14ac:dyDescent="0.25">
      <c r="A2891" s="18" t="s">
        <v>1767</v>
      </c>
      <c r="B2891" s="19" t="s">
        <v>1768</v>
      </c>
      <c r="C2891" s="20">
        <v>261649.91</v>
      </c>
    </row>
    <row r="2892" spans="1:3" s="15" customFormat="1" ht="15" x14ac:dyDescent="0.25">
      <c r="A2892" s="18">
        <v>45010102</v>
      </c>
      <c r="B2892" s="19" t="s">
        <v>798</v>
      </c>
      <c r="C2892" s="20"/>
    </row>
    <row r="2893" spans="1:3" s="15" customFormat="1" ht="15" x14ac:dyDescent="0.25">
      <c r="A2893" s="18" t="s">
        <v>1769</v>
      </c>
      <c r="B2893" s="19" t="s">
        <v>1770</v>
      </c>
      <c r="C2893" s="20">
        <v>30126.67</v>
      </c>
    </row>
    <row r="2894" spans="1:3" s="15" customFormat="1" ht="15" x14ac:dyDescent="0.25">
      <c r="A2894" s="18" t="s">
        <v>1771</v>
      </c>
      <c r="B2894" s="19" t="s">
        <v>1772</v>
      </c>
      <c r="C2894" s="20">
        <v>2400</v>
      </c>
    </row>
    <row r="2895" spans="1:3" s="15" customFormat="1" ht="15" x14ac:dyDescent="0.25">
      <c r="A2895" s="18" t="s">
        <v>1773</v>
      </c>
      <c r="B2895" s="19" t="s">
        <v>1774</v>
      </c>
      <c r="C2895" s="20">
        <v>35.79</v>
      </c>
    </row>
    <row r="2896" spans="1:3" s="15" customFormat="1" ht="15" x14ac:dyDescent="0.25">
      <c r="A2896" s="18" t="s">
        <v>1775</v>
      </c>
      <c r="B2896" s="19" t="s">
        <v>1776</v>
      </c>
      <c r="C2896" s="20">
        <v>1200</v>
      </c>
    </row>
    <row r="2897" spans="1:3" s="15" customFormat="1" ht="15" x14ac:dyDescent="0.25">
      <c r="A2897" s="18">
        <v>45010103</v>
      </c>
      <c r="B2897" s="19" t="s">
        <v>799</v>
      </c>
      <c r="C2897" s="20"/>
    </row>
    <row r="2898" spans="1:3" s="15" customFormat="1" ht="15" x14ac:dyDescent="0.25">
      <c r="A2898" s="18" t="s">
        <v>1777</v>
      </c>
      <c r="B2898" s="19" t="s">
        <v>1778</v>
      </c>
      <c r="C2898" s="20">
        <v>53658.62</v>
      </c>
    </row>
    <row r="2899" spans="1:3" s="15" customFormat="1" ht="15" x14ac:dyDescent="0.25">
      <c r="A2899" s="18">
        <v>45010104</v>
      </c>
      <c r="B2899" s="19" t="s">
        <v>800</v>
      </c>
      <c r="C2899" s="20"/>
    </row>
    <row r="2900" spans="1:3" s="15" customFormat="1" ht="15" x14ac:dyDescent="0.25">
      <c r="A2900" s="18" t="s">
        <v>1779</v>
      </c>
      <c r="B2900" s="19" t="s">
        <v>1780</v>
      </c>
      <c r="C2900" s="20">
        <v>6667</v>
      </c>
    </row>
    <row r="2901" spans="1:3" s="15" customFormat="1" ht="15" x14ac:dyDescent="0.25">
      <c r="A2901" s="18" t="s">
        <v>1781</v>
      </c>
      <c r="B2901" s="19" t="s">
        <v>1782</v>
      </c>
      <c r="C2901" s="20">
        <v>3467.96</v>
      </c>
    </row>
    <row r="2902" spans="1:3" s="15" customFormat="1" ht="15" x14ac:dyDescent="0.25">
      <c r="A2902" s="18">
        <v>45010106</v>
      </c>
      <c r="B2902" s="19" t="s">
        <v>801</v>
      </c>
      <c r="C2902" s="20"/>
    </row>
    <row r="2903" spans="1:3" ht="15" x14ac:dyDescent="0.25">
      <c r="A2903" s="2">
        <v>450102</v>
      </c>
      <c r="B2903" s="3" t="s">
        <v>802</v>
      </c>
      <c r="C2903" s="9"/>
    </row>
    <row r="2904" spans="1:3" s="15" customFormat="1" ht="15" x14ac:dyDescent="0.25">
      <c r="A2904" s="18" t="s">
        <v>1783</v>
      </c>
      <c r="B2904" s="19" t="s">
        <v>1784</v>
      </c>
      <c r="C2904" s="20">
        <v>65711.55</v>
      </c>
    </row>
    <row r="2905" spans="1:3" ht="15" x14ac:dyDescent="0.25">
      <c r="A2905" s="2">
        <v>450103</v>
      </c>
      <c r="B2905" s="3" t="s">
        <v>803</v>
      </c>
      <c r="C2905" s="9"/>
    </row>
    <row r="2906" spans="1:3" s="15" customFormat="1" ht="15" x14ac:dyDescent="0.25">
      <c r="A2906" s="18" t="s">
        <v>1785</v>
      </c>
      <c r="B2906" s="19" t="s">
        <v>1786</v>
      </c>
      <c r="C2906" s="20"/>
    </row>
    <row r="2907" spans="1:3" ht="15" x14ac:dyDescent="0.25">
      <c r="A2907" s="2">
        <v>450104</v>
      </c>
      <c r="B2907" s="3" t="s">
        <v>804</v>
      </c>
      <c r="C2907" s="9"/>
    </row>
    <row r="2908" spans="1:3" s="15" customFormat="1" ht="15" x14ac:dyDescent="0.25">
      <c r="A2908" s="18" t="s">
        <v>1787</v>
      </c>
      <c r="B2908" s="19" t="s">
        <v>1626</v>
      </c>
      <c r="C2908" s="20">
        <v>27475.25</v>
      </c>
    </row>
    <row r="2909" spans="1:3" s="15" customFormat="1" ht="15" x14ac:dyDescent="0.25">
      <c r="A2909" s="18" t="s">
        <v>1788</v>
      </c>
      <c r="B2909" s="19" t="s">
        <v>1789</v>
      </c>
      <c r="C2909" s="20"/>
    </row>
    <row r="2910" spans="1:3" ht="15" x14ac:dyDescent="0.25">
      <c r="A2910" s="2">
        <v>450105</v>
      </c>
      <c r="B2910" s="3" t="s">
        <v>517</v>
      </c>
      <c r="C2910" s="9"/>
    </row>
    <row r="2911" spans="1:3" s="15" customFormat="1" ht="15" x14ac:dyDescent="0.25">
      <c r="A2911" s="18" t="s">
        <v>1790</v>
      </c>
      <c r="B2911" s="19" t="s">
        <v>1791</v>
      </c>
      <c r="C2911" s="20">
        <v>44853.760000000002</v>
      </c>
    </row>
    <row r="2912" spans="1:3" s="15" customFormat="1" ht="15" x14ac:dyDescent="0.25">
      <c r="A2912" s="18">
        <v>450106</v>
      </c>
      <c r="B2912" s="19" t="s">
        <v>531</v>
      </c>
      <c r="C2912" s="20"/>
    </row>
    <row r="2913" spans="1:3" s="15" customFormat="1" ht="15" x14ac:dyDescent="0.25">
      <c r="A2913" s="18">
        <v>450107</v>
      </c>
      <c r="B2913" s="19" t="s">
        <v>805</v>
      </c>
      <c r="C2913" s="20"/>
    </row>
    <row r="2914" spans="1:3" s="15" customFormat="1" ht="15" x14ac:dyDescent="0.25">
      <c r="A2914" s="18">
        <v>450109</v>
      </c>
      <c r="B2914" s="19" t="s">
        <v>521</v>
      </c>
      <c r="C2914" s="20"/>
    </row>
    <row r="2915" spans="1:3" s="15" customFormat="1" ht="15" x14ac:dyDescent="0.25">
      <c r="A2915" s="18" t="s">
        <v>1792</v>
      </c>
      <c r="B2915" s="19" t="s">
        <v>1793</v>
      </c>
      <c r="C2915" s="20">
        <v>243.94</v>
      </c>
    </row>
    <row r="2916" spans="1:3" s="15" customFormat="1" ht="15" x14ac:dyDescent="0.25">
      <c r="A2916" s="18" t="s">
        <v>1794</v>
      </c>
      <c r="B2916" s="19" t="s">
        <v>1795</v>
      </c>
      <c r="C2916" s="20"/>
    </row>
    <row r="2917" spans="1:3" s="15" customFormat="1" ht="15" x14ac:dyDescent="0.25">
      <c r="A2917" s="18" t="s">
        <v>1796</v>
      </c>
      <c r="B2917" s="19" t="s">
        <v>1797</v>
      </c>
      <c r="C2917" s="20"/>
    </row>
    <row r="2918" spans="1:3" s="15" customFormat="1" ht="15" x14ac:dyDescent="0.25">
      <c r="A2918" s="18">
        <v>45010905</v>
      </c>
      <c r="B2918" s="19" t="s">
        <v>806</v>
      </c>
      <c r="C2918" s="20"/>
    </row>
    <row r="2919" spans="1:3" s="15" customFormat="1" ht="15" x14ac:dyDescent="0.25">
      <c r="A2919" s="18" t="s">
        <v>1798</v>
      </c>
      <c r="B2919" s="19" t="s">
        <v>1799</v>
      </c>
      <c r="C2919" s="20">
        <v>4498.4799999999996</v>
      </c>
    </row>
    <row r="2920" spans="1:3" s="15" customFormat="1" ht="15" x14ac:dyDescent="0.25">
      <c r="A2920" s="18" t="s">
        <v>1800</v>
      </c>
      <c r="B2920" s="19" t="s">
        <v>1801</v>
      </c>
      <c r="C2920" s="20">
        <v>5159.96</v>
      </c>
    </row>
    <row r="2921" spans="1:3" ht="15" x14ac:dyDescent="0.25">
      <c r="A2921" s="2">
        <v>45010907</v>
      </c>
      <c r="B2921" s="3" t="s">
        <v>807</v>
      </c>
      <c r="C2921" s="9"/>
    </row>
    <row r="2922" spans="1:3" ht="15" x14ac:dyDescent="0.25">
      <c r="A2922" s="2">
        <v>45010909</v>
      </c>
      <c r="B2922" s="3" t="s">
        <v>808</v>
      </c>
      <c r="C2922" s="9"/>
    </row>
    <row r="2923" spans="1:3" s="15" customFormat="1" ht="15" x14ac:dyDescent="0.25">
      <c r="A2923" s="18" t="s">
        <v>1802</v>
      </c>
      <c r="B2923" s="19" t="s">
        <v>1803</v>
      </c>
      <c r="C2923" s="20"/>
    </row>
    <row r="2924" spans="1:3" s="15" customFormat="1" ht="15" x14ac:dyDescent="0.25">
      <c r="A2924" s="18" t="s">
        <v>1804</v>
      </c>
      <c r="B2924" s="19" t="s">
        <v>1805</v>
      </c>
      <c r="C2924" s="20"/>
    </row>
    <row r="2925" spans="1:3" s="15" customFormat="1" ht="15" x14ac:dyDescent="0.25">
      <c r="A2925" s="18" t="s">
        <v>1806</v>
      </c>
      <c r="B2925" s="19" t="s">
        <v>1807</v>
      </c>
      <c r="C2925" s="20"/>
    </row>
    <row r="2926" spans="1:3" s="15" customFormat="1" ht="15" x14ac:dyDescent="0.25">
      <c r="A2926" s="18" t="s">
        <v>1808</v>
      </c>
      <c r="B2926" s="19" t="s">
        <v>1809</v>
      </c>
      <c r="C2926" s="20"/>
    </row>
    <row r="2927" spans="1:3" ht="15" x14ac:dyDescent="0.25">
      <c r="A2927" s="2">
        <v>4502</v>
      </c>
      <c r="B2927" s="3" t="s">
        <v>809</v>
      </c>
      <c r="C2927" s="20">
        <f t="shared" ref="C2927" si="82">SUM(C2928:C2959)</f>
        <v>0</v>
      </c>
    </row>
    <row r="2928" spans="1:3" ht="15" x14ac:dyDescent="0.25">
      <c r="A2928" s="2">
        <v>450201</v>
      </c>
      <c r="B2928" s="3" t="s">
        <v>810</v>
      </c>
      <c r="C2928" s="9"/>
    </row>
    <row r="2929" spans="1:3" ht="15" x14ac:dyDescent="0.25">
      <c r="A2929" s="2">
        <v>45020101</v>
      </c>
      <c r="B2929" s="3" t="s">
        <v>811</v>
      </c>
      <c r="C2929" s="9"/>
    </row>
    <row r="2930" spans="1:3" ht="15" x14ac:dyDescent="0.25">
      <c r="A2930" s="2">
        <v>45020102</v>
      </c>
      <c r="B2930" s="3" t="s">
        <v>812</v>
      </c>
      <c r="C2930" s="9"/>
    </row>
    <row r="2931" spans="1:3" ht="15" x14ac:dyDescent="0.25">
      <c r="A2931" s="2">
        <v>45020103</v>
      </c>
      <c r="B2931" s="3" t="s">
        <v>813</v>
      </c>
      <c r="C2931" s="9"/>
    </row>
    <row r="2932" spans="1:3" ht="15" x14ac:dyDescent="0.25">
      <c r="A2932" s="2">
        <v>45020104</v>
      </c>
      <c r="B2932" s="3" t="s">
        <v>814</v>
      </c>
      <c r="C2932" s="9"/>
    </row>
    <row r="2933" spans="1:3" ht="15" x14ac:dyDescent="0.25">
      <c r="A2933" s="2">
        <v>450202</v>
      </c>
      <c r="B2933" s="3" t="s">
        <v>797</v>
      </c>
      <c r="C2933" s="9"/>
    </row>
    <row r="2934" spans="1:3" ht="15" x14ac:dyDescent="0.25">
      <c r="A2934" s="2">
        <v>450203</v>
      </c>
      <c r="B2934" s="3" t="s">
        <v>815</v>
      </c>
      <c r="C2934" s="9"/>
    </row>
    <row r="2935" spans="1:3" s="15" customFormat="1" ht="15" x14ac:dyDescent="0.25">
      <c r="A2935" s="18" t="s">
        <v>1810</v>
      </c>
      <c r="B2935" s="19" t="s">
        <v>1811</v>
      </c>
      <c r="C2935" s="20"/>
    </row>
    <row r="2936" spans="1:3" s="15" customFormat="1" ht="15" x14ac:dyDescent="0.25">
      <c r="A2936" s="18" t="s">
        <v>1812</v>
      </c>
      <c r="B2936" s="19" t="s">
        <v>1813</v>
      </c>
      <c r="C2936" s="20"/>
    </row>
    <row r="2937" spans="1:3" ht="15" x14ac:dyDescent="0.25">
      <c r="A2937" s="2">
        <v>450206</v>
      </c>
      <c r="B2937" s="3" t="s">
        <v>806</v>
      </c>
      <c r="C2937" s="9"/>
    </row>
    <row r="2938" spans="1:3" s="15" customFormat="1" ht="15" x14ac:dyDescent="0.25">
      <c r="A2938" s="18" t="s">
        <v>1814</v>
      </c>
      <c r="B2938" s="19" t="s">
        <v>1815</v>
      </c>
      <c r="C2938" s="20"/>
    </row>
    <row r="2939" spans="1:3" s="15" customFormat="1" ht="15" x14ac:dyDescent="0.25">
      <c r="A2939" s="18" t="s">
        <v>1816</v>
      </c>
      <c r="B2939" s="19" t="s">
        <v>1817</v>
      </c>
      <c r="C2939" s="20"/>
    </row>
    <row r="2940" spans="1:3" s="15" customFormat="1" ht="15" x14ac:dyDescent="0.25">
      <c r="A2940" s="18" t="s">
        <v>1818</v>
      </c>
      <c r="B2940" s="19" t="s">
        <v>1819</v>
      </c>
      <c r="C2940" s="20"/>
    </row>
    <row r="2941" spans="1:3" s="15" customFormat="1" ht="15" x14ac:dyDescent="0.25">
      <c r="A2941" s="18" t="s">
        <v>1820</v>
      </c>
      <c r="B2941" s="19" t="s">
        <v>1821</v>
      </c>
      <c r="C2941" s="20"/>
    </row>
    <row r="2942" spans="1:3" ht="15" x14ac:dyDescent="0.25">
      <c r="A2942" s="2">
        <v>45020609</v>
      </c>
      <c r="B2942" s="3" t="s">
        <v>817</v>
      </c>
      <c r="C2942" s="9"/>
    </row>
    <row r="2943" spans="1:3" ht="15" x14ac:dyDescent="0.25">
      <c r="A2943" s="2">
        <v>450207</v>
      </c>
      <c r="B2943" s="3" t="s">
        <v>818</v>
      </c>
      <c r="C2943" s="9"/>
    </row>
    <row r="2944" spans="1:3" s="15" customFormat="1" ht="15" x14ac:dyDescent="0.25">
      <c r="A2944" s="18" t="s">
        <v>1822</v>
      </c>
      <c r="B2944" s="19" t="s">
        <v>1823</v>
      </c>
      <c r="C2944" s="20"/>
    </row>
    <row r="2945" spans="1:3" s="15" customFormat="1" ht="15" x14ac:dyDescent="0.25">
      <c r="A2945" s="18" t="s">
        <v>1824</v>
      </c>
      <c r="B2945" s="19" t="s">
        <v>1825</v>
      </c>
      <c r="C2945" s="20"/>
    </row>
    <row r="2946" spans="1:3" s="15" customFormat="1" ht="15" x14ac:dyDescent="0.25">
      <c r="A2946" s="18" t="s">
        <v>1826</v>
      </c>
      <c r="B2946" s="19" t="s">
        <v>1827</v>
      </c>
      <c r="C2946" s="20"/>
    </row>
    <row r="2947" spans="1:3" s="15" customFormat="1" ht="15" x14ac:dyDescent="0.25">
      <c r="A2947" s="18" t="s">
        <v>1828</v>
      </c>
      <c r="B2947" s="19" t="s">
        <v>1829</v>
      </c>
      <c r="C2947" s="20"/>
    </row>
    <row r="2948" spans="1:3" s="15" customFormat="1" ht="15" x14ac:dyDescent="0.25">
      <c r="A2948" s="18">
        <v>45020709</v>
      </c>
      <c r="B2948" s="19" t="s">
        <v>819</v>
      </c>
      <c r="C2948" s="20"/>
    </row>
    <row r="2949" spans="1:3" s="15" customFormat="1" ht="15" x14ac:dyDescent="0.25">
      <c r="A2949" s="18">
        <v>450208</v>
      </c>
      <c r="B2949" s="19" t="s">
        <v>820</v>
      </c>
      <c r="C2949" s="20"/>
    </row>
    <row r="2950" spans="1:3" s="15" customFormat="1" ht="15" x14ac:dyDescent="0.25">
      <c r="A2950" s="18" t="s">
        <v>1830</v>
      </c>
      <c r="B2950" s="19" t="s">
        <v>1831</v>
      </c>
      <c r="C2950" s="20"/>
    </row>
    <row r="2951" spans="1:3" s="15" customFormat="1" ht="15" x14ac:dyDescent="0.25">
      <c r="A2951" s="18">
        <v>450209</v>
      </c>
      <c r="B2951" s="19" t="s">
        <v>821</v>
      </c>
      <c r="C2951" s="20"/>
    </row>
    <row r="2952" spans="1:3" s="15" customFormat="1" ht="15" x14ac:dyDescent="0.25">
      <c r="A2952" s="18" t="s">
        <v>1832</v>
      </c>
      <c r="B2952" s="19" t="s">
        <v>1833</v>
      </c>
      <c r="C2952" s="20"/>
    </row>
    <row r="2953" spans="1:3" s="15" customFormat="1" ht="15" x14ac:dyDescent="0.25">
      <c r="A2953" s="18" t="s">
        <v>1834</v>
      </c>
      <c r="B2953" s="19" t="s">
        <v>1835</v>
      </c>
      <c r="C2953" s="20"/>
    </row>
    <row r="2954" spans="1:3" s="15" customFormat="1" ht="15" x14ac:dyDescent="0.25">
      <c r="A2954" s="18" t="s">
        <v>1836</v>
      </c>
      <c r="B2954" s="19" t="s">
        <v>1837</v>
      </c>
      <c r="C2954" s="20"/>
    </row>
    <row r="2955" spans="1:3" s="15" customFormat="1" ht="15" x14ac:dyDescent="0.25">
      <c r="A2955" s="18" t="s">
        <v>1838</v>
      </c>
      <c r="B2955" s="19" t="s">
        <v>1839</v>
      </c>
      <c r="C2955" s="20"/>
    </row>
    <row r="2956" spans="1:3" s="15" customFormat="1" ht="15" x14ac:dyDescent="0.25">
      <c r="A2956" s="18" t="s">
        <v>1840</v>
      </c>
      <c r="B2956" s="19" t="s">
        <v>1841</v>
      </c>
      <c r="C2956" s="20"/>
    </row>
    <row r="2957" spans="1:3" s="15" customFormat="1" ht="15" x14ac:dyDescent="0.25">
      <c r="A2957" s="18" t="s">
        <v>1842</v>
      </c>
      <c r="B2957" s="19" t="s">
        <v>1843</v>
      </c>
      <c r="C2957" s="20"/>
    </row>
    <row r="2958" spans="1:3" s="15" customFormat="1" ht="15" x14ac:dyDescent="0.25">
      <c r="A2958" s="18" t="s">
        <v>1844</v>
      </c>
      <c r="B2958" s="19" t="s">
        <v>1845</v>
      </c>
      <c r="C2958" s="20"/>
    </row>
    <row r="2959" spans="1:3" s="15" customFormat="1" ht="15" x14ac:dyDescent="0.25">
      <c r="A2959" s="18" t="s">
        <v>1846</v>
      </c>
      <c r="B2959" s="19" t="s">
        <v>1847</v>
      </c>
      <c r="C2959" s="20"/>
    </row>
    <row r="2960" spans="1:3" s="15" customFormat="1" ht="15" x14ac:dyDescent="0.25">
      <c r="A2960" s="18">
        <v>4503</v>
      </c>
      <c r="B2960" s="19" t="s">
        <v>822</v>
      </c>
      <c r="C2960" s="20">
        <f t="shared" ref="C2960" si="83">SUM(C2961:C3081)</f>
        <v>503411.5400000001</v>
      </c>
    </row>
    <row r="2961" spans="1:3" s="15" customFormat="1" ht="15" x14ac:dyDescent="0.25">
      <c r="A2961" s="18">
        <v>450301</v>
      </c>
      <c r="B2961" s="19" t="s">
        <v>823</v>
      </c>
      <c r="C2961" s="20"/>
    </row>
    <row r="2962" spans="1:3" s="15" customFormat="1" ht="15" x14ac:dyDescent="0.25">
      <c r="A2962" s="18" t="s">
        <v>1848</v>
      </c>
      <c r="B2962" s="19" t="s">
        <v>1849</v>
      </c>
      <c r="C2962" s="20"/>
    </row>
    <row r="2963" spans="1:3" s="15" customFormat="1" ht="15" x14ac:dyDescent="0.25">
      <c r="A2963" s="18" t="s">
        <v>1850</v>
      </c>
      <c r="B2963" s="19" t="s">
        <v>1851</v>
      </c>
      <c r="C2963" s="20">
        <v>35328.39</v>
      </c>
    </row>
    <row r="2964" spans="1:3" s="15" customFormat="1" ht="15" x14ac:dyDescent="0.25">
      <c r="A2964" s="18" t="s">
        <v>1852</v>
      </c>
      <c r="B2964" s="19" t="s">
        <v>1853</v>
      </c>
      <c r="C2964" s="20">
        <v>114</v>
      </c>
    </row>
    <row r="2965" spans="1:3" s="15" customFormat="1" ht="15" x14ac:dyDescent="0.25">
      <c r="A2965" s="18" t="s">
        <v>1854</v>
      </c>
      <c r="B2965" s="19" t="s">
        <v>1855</v>
      </c>
      <c r="C2965" s="20">
        <v>16.48</v>
      </c>
    </row>
    <row r="2966" spans="1:3" s="15" customFormat="1" ht="15" x14ac:dyDescent="0.25">
      <c r="A2966" s="18" t="s">
        <v>1856</v>
      </c>
      <c r="B2966" s="19" t="s">
        <v>1857</v>
      </c>
      <c r="C2966" s="20">
        <v>3328.44</v>
      </c>
    </row>
    <row r="2967" spans="1:3" s="15" customFormat="1" ht="15" x14ac:dyDescent="0.25">
      <c r="A2967" s="18" t="s">
        <v>1876</v>
      </c>
      <c r="B2967" s="19" t="s">
        <v>1877</v>
      </c>
      <c r="C2967" s="20">
        <v>1620.6</v>
      </c>
    </row>
    <row r="2968" spans="1:3" s="15" customFormat="1" ht="15" x14ac:dyDescent="0.25">
      <c r="A2968" s="18" t="s">
        <v>1858</v>
      </c>
      <c r="B2968" s="19" t="s">
        <v>1859</v>
      </c>
      <c r="C2968" s="20"/>
    </row>
    <row r="2969" spans="1:3" s="15" customFormat="1" ht="15" x14ac:dyDescent="0.25">
      <c r="A2969" s="18" t="s">
        <v>1860</v>
      </c>
      <c r="B2969" s="19" t="s">
        <v>1861</v>
      </c>
      <c r="C2969" s="20">
        <v>38622.959999999999</v>
      </c>
    </row>
    <row r="2970" spans="1:3" s="15" customFormat="1" ht="15" x14ac:dyDescent="0.25">
      <c r="A2970" s="18" t="s">
        <v>1862</v>
      </c>
      <c r="B2970" s="19" t="s">
        <v>1863</v>
      </c>
      <c r="C2970" s="20">
        <v>863.55</v>
      </c>
    </row>
    <row r="2971" spans="1:3" s="15" customFormat="1" ht="15" x14ac:dyDescent="0.25">
      <c r="A2971" s="18" t="s">
        <v>1864</v>
      </c>
      <c r="B2971" s="19" t="s">
        <v>1865</v>
      </c>
      <c r="C2971" s="20">
        <v>910.51</v>
      </c>
    </row>
    <row r="2972" spans="1:3" s="15" customFormat="1" ht="15" x14ac:dyDescent="0.25">
      <c r="A2972" s="18" t="s">
        <v>1866</v>
      </c>
      <c r="B2972" s="19" t="s">
        <v>1867</v>
      </c>
      <c r="C2972" s="20">
        <v>631.36</v>
      </c>
    </row>
    <row r="2973" spans="1:3" s="15" customFormat="1" ht="15" x14ac:dyDescent="0.25">
      <c r="A2973" s="18" t="s">
        <v>1868</v>
      </c>
      <c r="B2973" s="19" t="s">
        <v>1869</v>
      </c>
      <c r="C2973" s="20">
        <v>22893.8</v>
      </c>
    </row>
    <row r="2974" spans="1:3" s="15" customFormat="1" ht="15" x14ac:dyDescent="0.25">
      <c r="A2974" s="18" t="s">
        <v>1870</v>
      </c>
      <c r="B2974" s="19" t="s">
        <v>1871</v>
      </c>
      <c r="C2974" s="20"/>
    </row>
    <row r="2975" spans="1:3" s="15" customFormat="1" ht="15" x14ac:dyDescent="0.25">
      <c r="A2975" s="18" t="s">
        <v>1872</v>
      </c>
      <c r="B2975" s="19" t="s">
        <v>1873</v>
      </c>
      <c r="C2975" s="20">
        <v>13194.82</v>
      </c>
    </row>
    <row r="2976" spans="1:3" s="15" customFormat="1" ht="15" x14ac:dyDescent="0.25">
      <c r="A2976" s="18" t="s">
        <v>1874</v>
      </c>
      <c r="B2976" s="19" t="s">
        <v>1875</v>
      </c>
      <c r="C2976" s="20"/>
    </row>
    <row r="2977" spans="1:3" s="15" customFormat="1" ht="15" x14ac:dyDescent="0.25">
      <c r="A2977" s="18">
        <v>45030105</v>
      </c>
      <c r="B2977" s="19" t="s">
        <v>826</v>
      </c>
      <c r="C2977" s="20"/>
    </row>
    <row r="2978" spans="1:3" s="15" customFormat="1" ht="15" x14ac:dyDescent="0.25">
      <c r="A2978" s="18">
        <v>45030106</v>
      </c>
      <c r="B2978" s="19" t="s">
        <v>827</v>
      </c>
      <c r="C2978" s="20"/>
    </row>
    <row r="2979" spans="1:3" s="15" customFormat="1" ht="15" x14ac:dyDescent="0.25">
      <c r="A2979" s="18" t="s">
        <v>1878</v>
      </c>
      <c r="B2979" s="19" t="s">
        <v>1879</v>
      </c>
      <c r="C2979" s="20">
        <v>21951.77</v>
      </c>
    </row>
    <row r="2980" spans="1:3" s="15" customFormat="1" ht="15" x14ac:dyDescent="0.25">
      <c r="A2980" s="18" t="s">
        <v>1880</v>
      </c>
      <c r="B2980" s="19" t="s">
        <v>1881</v>
      </c>
      <c r="C2980" s="20">
        <v>14680.33</v>
      </c>
    </row>
    <row r="2981" spans="1:3" s="15" customFormat="1" ht="15" x14ac:dyDescent="0.25">
      <c r="A2981" s="18" t="s">
        <v>1882</v>
      </c>
      <c r="B2981" s="19" t="s">
        <v>1883</v>
      </c>
      <c r="C2981" s="20"/>
    </row>
    <row r="2982" spans="1:3" s="15" customFormat="1" ht="15" x14ac:dyDescent="0.25">
      <c r="A2982" s="18" t="s">
        <v>1884</v>
      </c>
      <c r="B2982" s="19" t="s">
        <v>1885</v>
      </c>
      <c r="C2982" s="20">
        <v>5449.08</v>
      </c>
    </row>
    <row r="2983" spans="1:3" s="15" customFormat="1" ht="15" x14ac:dyDescent="0.25">
      <c r="A2983" s="18" t="s">
        <v>1886</v>
      </c>
      <c r="B2983" s="19" t="s">
        <v>1887</v>
      </c>
      <c r="C2983" s="20">
        <v>6568</v>
      </c>
    </row>
    <row r="2984" spans="1:3" s="15" customFormat="1" ht="15" x14ac:dyDescent="0.25">
      <c r="A2984" s="18" t="s">
        <v>1888</v>
      </c>
      <c r="B2984" s="19" t="s">
        <v>1889</v>
      </c>
      <c r="C2984" s="20">
        <v>2509</v>
      </c>
    </row>
    <row r="2985" spans="1:3" s="15" customFormat="1" ht="15" x14ac:dyDescent="0.25">
      <c r="A2985" s="18" t="s">
        <v>1890</v>
      </c>
      <c r="B2985" s="19" t="s">
        <v>1891</v>
      </c>
      <c r="C2985" s="20">
        <v>1495.91</v>
      </c>
    </row>
    <row r="2986" spans="1:3" s="15" customFormat="1" ht="15" x14ac:dyDescent="0.25">
      <c r="A2986" s="18">
        <v>45030108</v>
      </c>
      <c r="B2986" s="19" t="s">
        <v>829</v>
      </c>
      <c r="C2986" s="20"/>
    </row>
    <row r="2987" spans="1:3" s="15" customFormat="1" ht="15" x14ac:dyDescent="0.25">
      <c r="A2987" s="18" t="s">
        <v>1892</v>
      </c>
      <c r="B2987" s="19" t="s">
        <v>1893</v>
      </c>
      <c r="C2987" s="20"/>
    </row>
    <row r="2988" spans="1:3" s="15" customFormat="1" ht="15" x14ac:dyDescent="0.25">
      <c r="A2988" s="18" t="s">
        <v>1894</v>
      </c>
      <c r="B2988" s="19" t="s">
        <v>1895</v>
      </c>
      <c r="C2988" s="20">
        <v>14000</v>
      </c>
    </row>
    <row r="2989" spans="1:3" s="15" customFormat="1" ht="15" x14ac:dyDescent="0.25">
      <c r="A2989" s="18" t="s">
        <v>1896</v>
      </c>
      <c r="B2989" s="19" t="s">
        <v>1897</v>
      </c>
      <c r="C2989" s="20">
        <v>12570</v>
      </c>
    </row>
    <row r="2990" spans="1:3" s="15" customFormat="1" ht="15" x14ac:dyDescent="0.25">
      <c r="A2990" s="18">
        <v>45030109</v>
      </c>
      <c r="B2990" s="19" t="s">
        <v>830</v>
      </c>
      <c r="C2990" s="20"/>
    </row>
    <row r="2991" spans="1:3" s="15" customFormat="1" ht="15" x14ac:dyDescent="0.25">
      <c r="A2991" s="18" t="s">
        <v>1898</v>
      </c>
      <c r="B2991" s="19" t="s">
        <v>1899</v>
      </c>
      <c r="C2991" s="20"/>
    </row>
    <row r="2992" spans="1:3" s="15" customFormat="1" ht="15" x14ac:dyDescent="0.25">
      <c r="A2992" s="18">
        <v>45030110</v>
      </c>
      <c r="B2992" s="19" t="s">
        <v>831</v>
      </c>
      <c r="C2992" s="20"/>
    </row>
    <row r="2993" spans="1:3" s="15" customFormat="1" ht="15" x14ac:dyDescent="0.25">
      <c r="A2993" s="18" t="s">
        <v>1900</v>
      </c>
      <c r="B2993" s="19" t="s">
        <v>1901</v>
      </c>
      <c r="C2993" s="20">
        <v>10001.84</v>
      </c>
    </row>
    <row r="2994" spans="1:3" s="15" customFormat="1" ht="15" x14ac:dyDescent="0.25">
      <c r="A2994" s="18" t="s">
        <v>1902</v>
      </c>
      <c r="B2994" s="19" t="s">
        <v>1903</v>
      </c>
      <c r="C2994" s="20">
        <v>2816.87</v>
      </c>
    </row>
    <row r="2995" spans="1:3" s="15" customFormat="1" ht="15" x14ac:dyDescent="0.25">
      <c r="A2995" s="18" t="s">
        <v>1904</v>
      </c>
      <c r="B2995" s="19" t="s">
        <v>1905</v>
      </c>
      <c r="C2995" s="20">
        <v>350.53</v>
      </c>
    </row>
    <row r="2996" spans="1:3" s="15" customFormat="1" ht="15" x14ac:dyDescent="0.25">
      <c r="A2996" s="18">
        <v>45030111</v>
      </c>
      <c r="B2996" s="19" t="s">
        <v>832</v>
      </c>
      <c r="C2996" s="20"/>
    </row>
    <row r="2997" spans="1:3" s="15" customFormat="1" ht="15" x14ac:dyDescent="0.25">
      <c r="A2997" s="18" t="s">
        <v>1906</v>
      </c>
      <c r="B2997" s="19" t="s">
        <v>1907</v>
      </c>
      <c r="C2997" s="20">
        <v>41090.61</v>
      </c>
    </row>
    <row r="2998" spans="1:3" s="15" customFormat="1" ht="15" x14ac:dyDescent="0.25">
      <c r="A2998" s="18" t="s">
        <v>1908</v>
      </c>
      <c r="B2998" s="19" t="s">
        <v>1909</v>
      </c>
      <c r="C2998" s="20">
        <v>2089.46</v>
      </c>
    </row>
    <row r="2999" spans="1:3" s="15" customFormat="1" ht="15" x14ac:dyDescent="0.25">
      <c r="A2999" s="18" t="s">
        <v>1910</v>
      </c>
      <c r="B2999" s="19" t="s">
        <v>1911</v>
      </c>
      <c r="C2999" s="20">
        <v>25917.49</v>
      </c>
    </row>
    <row r="3000" spans="1:3" s="15" customFormat="1" ht="15" x14ac:dyDescent="0.25">
      <c r="A3000" s="18" t="s">
        <v>1912</v>
      </c>
      <c r="B3000" s="19" t="s">
        <v>1913</v>
      </c>
      <c r="C3000" s="20">
        <v>16374.13</v>
      </c>
    </row>
    <row r="3001" spans="1:3" s="15" customFormat="1" ht="15" x14ac:dyDescent="0.25">
      <c r="A3001" s="18" t="s">
        <v>1914</v>
      </c>
      <c r="B3001" s="19" t="s">
        <v>1915</v>
      </c>
      <c r="C3001" s="20"/>
    </row>
    <row r="3002" spans="1:3" s="15" customFormat="1" ht="15" x14ac:dyDescent="0.25">
      <c r="A3002" s="18" t="s">
        <v>1916</v>
      </c>
      <c r="B3002" s="19" t="s">
        <v>1917</v>
      </c>
      <c r="C3002" s="20">
        <v>1350.93</v>
      </c>
    </row>
    <row r="3003" spans="1:3" s="15" customFormat="1" ht="15" x14ac:dyDescent="0.25">
      <c r="A3003" s="18" t="s">
        <v>1918</v>
      </c>
      <c r="B3003" s="19" t="s">
        <v>1919</v>
      </c>
      <c r="C3003" s="20">
        <v>35794.76</v>
      </c>
    </row>
    <row r="3004" spans="1:3" s="15" customFormat="1" ht="15" x14ac:dyDescent="0.25">
      <c r="A3004" s="18" t="s">
        <v>1920</v>
      </c>
      <c r="B3004" s="19" t="s">
        <v>1921</v>
      </c>
      <c r="C3004" s="20">
        <v>28625.74</v>
      </c>
    </row>
    <row r="3005" spans="1:3" s="15" customFormat="1" ht="15" x14ac:dyDescent="0.25">
      <c r="A3005" s="18" t="s">
        <v>1922</v>
      </c>
      <c r="B3005" s="19" t="s">
        <v>1484</v>
      </c>
      <c r="C3005" s="20">
        <v>18187.490000000002</v>
      </c>
    </row>
    <row r="3006" spans="1:3" s="15" customFormat="1" ht="15" x14ac:dyDescent="0.25">
      <c r="A3006" s="18" t="s">
        <v>1923</v>
      </c>
      <c r="B3006" s="19" t="s">
        <v>1924</v>
      </c>
      <c r="C3006" s="20"/>
    </row>
    <row r="3007" spans="1:3" s="15" customFormat="1" ht="15" x14ac:dyDescent="0.25">
      <c r="A3007" s="18" t="s">
        <v>1925</v>
      </c>
      <c r="B3007" s="19" t="s">
        <v>1926</v>
      </c>
      <c r="C3007" s="20">
        <v>148.22</v>
      </c>
    </row>
    <row r="3008" spans="1:3" s="15" customFormat="1" ht="15" x14ac:dyDescent="0.25">
      <c r="A3008" s="18" t="s">
        <v>1927</v>
      </c>
      <c r="B3008" s="19" t="s">
        <v>1928</v>
      </c>
      <c r="C3008" s="20"/>
    </row>
    <row r="3009" spans="1:3" s="15" customFormat="1" ht="15" x14ac:dyDescent="0.25">
      <c r="A3009" s="18" t="s">
        <v>1929</v>
      </c>
      <c r="B3009" s="19" t="s">
        <v>1813</v>
      </c>
      <c r="C3009" s="20"/>
    </row>
    <row r="3010" spans="1:3" s="15" customFormat="1" ht="15" x14ac:dyDescent="0.25">
      <c r="A3010" s="18" t="s">
        <v>1930</v>
      </c>
      <c r="B3010" s="19" t="s">
        <v>1931</v>
      </c>
      <c r="C3010" s="20">
        <v>134.77000000000001</v>
      </c>
    </row>
    <row r="3011" spans="1:3" s="15" customFormat="1" ht="15" x14ac:dyDescent="0.25">
      <c r="A3011" s="18" t="s">
        <v>1932</v>
      </c>
      <c r="B3011" s="19" t="s">
        <v>1933</v>
      </c>
      <c r="C3011" s="20">
        <v>3900</v>
      </c>
    </row>
    <row r="3012" spans="1:3" s="15" customFormat="1" ht="15" x14ac:dyDescent="0.25">
      <c r="A3012" s="18" t="s">
        <v>1934</v>
      </c>
      <c r="B3012" s="19" t="s">
        <v>1935</v>
      </c>
      <c r="C3012" s="20">
        <v>6120.58</v>
      </c>
    </row>
    <row r="3013" spans="1:3" s="15" customFormat="1" ht="15" x14ac:dyDescent="0.25">
      <c r="A3013" s="18">
        <v>45030114</v>
      </c>
      <c r="B3013" s="19" t="s">
        <v>834</v>
      </c>
      <c r="C3013" s="20"/>
    </row>
    <row r="3014" spans="1:3" s="15" customFormat="1" ht="15" x14ac:dyDescent="0.25">
      <c r="A3014" s="18" t="s">
        <v>1936</v>
      </c>
      <c r="B3014" s="19" t="s">
        <v>1937</v>
      </c>
      <c r="C3014" s="20">
        <v>3529.01</v>
      </c>
    </row>
    <row r="3015" spans="1:3" s="15" customFormat="1" ht="15" x14ac:dyDescent="0.25">
      <c r="A3015" s="18" t="s">
        <v>1938</v>
      </c>
      <c r="B3015" s="19" t="s">
        <v>1939</v>
      </c>
      <c r="C3015" s="20"/>
    </row>
    <row r="3016" spans="1:3" s="15" customFormat="1" ht="15" x14ac:dyDescent="0.25">
      <c r="A3016" s="18" t="s">
        <v>1940</v>
      </c>
      <c r="B3016" s="19" t="s">
        <v>1941</v>
      </c>
      <c r="C3016" s="20"/>
    </row>
    <row r="3017" spans="1:3" s="15" customFormat="1" ht="15" x14ac:dyDescent="0.25">
      <c r="A3017" s="18" t="s">
        <v>1942</v>
      </c>
      <c r="B3017" s="19" t="s">
        <v>1943</v>
      </c>
      <c r="C3017" s="20">
        <v>807.7</v>
      </c>
    </row>
    <row r="3018" spans="1:3" s="15" customFormat="1" ht="15" x14ac:dyDescent="0.25">
      <c r="A3018" s="18" t="s">
        <v>1944</v>
      </c>
      <c r="B3018" s="19" t="s">
        <v>1945</v>
      </c>
      <c r="C3018" s="20">
        <v>886.61</v>
      </c>
    </row>
    <row r="3019" spans="1:3" s="15" customFormat="1" ht="15" x14ac:dyDescent="0.25">
      <c r="A3019" s="18" t="s">
        <v>1946</v>
      </c>
      <c r="B3019" s="19" t="s">
        <v>1947</v>
      </c>
      <c r="C3019" s="20"/>
    </row>
    <row r="3020" spans="1:3" s="15" customFormat="1" ht="15" x14ac:dyDescent="0.25">
      <c r="A3020" s="18" t="s">
        <v>1948</v>
      </c>
      <c r="B3020" s="19" t="s">
        <v>1949</v>
      </c>
      <c r="C3020" s="20">
        <v>4945</v>
      </c>
    </row>
    <row r="3021" spans="1:3" s="15" customFormat="1" ht="15" x14ac:dyDescent="0.25">
      <c r="A3021" s="18" t="s">
        <v>1950</v>
      </c>
      <c r="B3021" s="19" t="s">
        <v>1951</v>
      </c>
      <c r="C3021" s="20">
        <v>47519.51</v>
      </c>
    </row>
    <row r="3022" spans="1:3" s="15" customFormat="1" ht="15" x14ac:dyDescent="0.25">
      <c r="A3022" s="18">
        <v>45030119</v>
      </c>
      <c r="B3022" s="19" t="s">
        <v>837</v>
      </c>
      <c r="C3022" s="20"/>
    </row>
    <row r="3023" spans="1:3" s="15" customFormat="1" ht="15" x14ac:dyDescent="0.25">
      <c r="A3023" s="18">
        <v>45030120</v>
      </c>
      <c r="B3023" s="19" t="s">
        <v>838</v>
      </c>
      <c r="C3023" s="20"/>
    </row>
    <row r="3024" spans="1:3" s="15" customFormat="1" ht="15" x14ac:dyDescent="0.25">
      <c r="A3024" s="18" t="s">
        <v>1952</v>
      </c>
      <c r="B3024" s="19" t="s">
        <v>1953</v>
      </c>
      <c r="C3024" s="20"/>
    </row>
    <row r="3025" spans="1:3" s="15" customFormat="1" ht="15" x14ac:dyDescent="0.25">
      <c r="A3025" s="18" t="s">
        <v>1954</v>
      </c>
      <c r="B3025" s="19" t="s">
        <v>1955</v>
      </c>
      <c r="C3025" s="20">
        <v>8645.33</v>
      </c>
    </row>
    <row r="3026" spans="1:3" s="15" customFormat="1" ht="15" x14ac:dyDescent="0.25">
      <c r="A3026" s="18" t="s">
        <v>1956</v>
      </c>
      <c r="B3026" s="19" t="s">
        <v>1957</v>
      </c>
      <c r="C3026" s="20">
        <v>8032.13</v>
      </c>
    </row>
    <row r="3027" spans="1:3" s="15" customFormat="1" ht="15" x14ac:dyDescent="0.25">
      <c r="A3027" s="18">
        <v>45030121</v>
      </c>
      <c r="B3027" s="19" t="s">
        <v>839</v>
      </c>
      <c r="C3027" s="20"/>
    </row>
    <row r="3028" spans="1:3" s="15" customFormat="1" ht="15" x14ac:dyDescent="0.25">
      <c r="A3028" s="18" t="s">
        <v>1958</v>
      </c>
      <c r="B3028" s="19" t="s">
        <v>1959</v>
      </c>
      <c r="C3028" s="20"/>
    </row>
    <row r="3029" spans="1:3" s="15" customFormat="1" ht="15" x14ac:dyDescent="0.25">
      <c r="A3029" s="18">
        <v>45030122</v>
      </c>
      <c r="B3029" s="19" t="s">
        <v>840</v>
      </c>
      <c r="C3029" s="20"/>
    </row>
    <row r="3030" spans="1:3" s="15" customFormat="1" ht="15" x14ac:dyDescent="0.25">
      <c r="A3030" s="18" t="s">
        <v>1960</v>
      </c>
      <c r="B3030" s="19" t="s">
        <v>1961</v>
      </c>
      <c r="C3030" s="20">
        <v>1750</v>
      </c>
    </row>
    <row r="3031" spans="1:3" s="15" customFormat="1" ht="15" x14ac:dyDescent="0.25">
      <c r="A3031" s="18">
        <v>45030123</v>
      </c>
      <c r="B3031" s="19" t="s">
        <v>841</v>
      </c>
      <c r="C3031" s="20"/>
    </row>
    <row r="3032" spans="1:3" s="15" customFormat="1" ht="15" x14ac:dyDescent="0.25">
      <c r="A3032" s="18" t="s">
        <v>1962</v>
      </c>
      <c r="B3032" s="19" t="s">
        <v>1963</v>
      </c>
      <c r="C3032" s="20">
        <v>4950</v>
      </c>
    </row>
    <row r="3033" spans="1:3" s="15" customFormat="1" ht="15" x14ac:dyDescent="0.25">
      <c r="A3033" s="18">
        <v>45030124</v>
      </c>
      <c r="B3033" s="19" t="s">
        <v>842</v>
      </c>
      <c r="C3033" s="20"/>
    </row>
    <row r="3034" spans="1:3" s="15" customFormat="1" ht="15" x14ac:dyDescent="0.25">
      <c r="A3034" s="18">
        <v>45030129</v>
      </c>
      <c r="B3034" s="19" t="s">
        <v>843</v>
      </c>
      <c r="C3034" s="20"/>
    </row>
    <row r="3035" spans="1:3" s="15" customFormat="1" ht="15" x14ac:dyDescent="0.25">
      <c r="A3035" s="18" t="s">
        <v>1964</v>
      </c>
      <c r="B3035" s="19" t="s">
        <v>1965</v>
      </c>
      <c r="C3035" s="20">
        <v>7453.4</v>
      </c>
    </row>
    <row r="3036" spans="1:3" s="15" customFormat="1" ht="15" x14ac:dyDescent="0.25">
      <c r="A3036" s="18" t="s">
        <v>1966</v>
      </c>
      <c r="B3036" s="19" t="s">
        <v>1967</v>
      </c>
      <c r="C3036" s="20"/>
    </row>
    <row r="3037" spans="1:3" s="15" customFormat="1" ht="15" x14ac:dyDescent="0.25">
      <c r="A3037" s="18" t="s">
        <v>1968</v>
      </c>
      <c r="B3037" s="19" t="s">
        <v>1969</v>
      </c>
      <c r="C3037" s="20"/>
    </row>
    <row r="3038" spans="1:3" s="15" customFormat="1" ht="15" x14ac:dyDescent="0.25">
      <c r="A3038" s="18" t="s">
        <v>1970</v>
      </c>
      <c r="B3038" s="19" t="s">
        <v>1971</v>
      </c>
      <c r="C3038" s="20">
        <v>8698.5300000000007</v>
      </c>
    </row>
    <row r="3039" spans="1:3" s="15" customFormat="1" ht="15" x14ac:dyDescent="0.25">
      <c r="A3039" s="18" t="s">
        <v>1972</v>
      </c>
      <c r="B3039" s="19" t="s">
        <v>1973</v>
      </c>
      <c r="C3039" s="20"/>
    </row>
    <row r="3040" spans="1:3" s="15" customFormat="1" ht="15" x14ac:dyDescent="0.25">
      <c r="A3040" s="18" t="s">
        <v>1974</v>
      </c>
      <c r="B3040" s="21" t="s">
        <v>2005</v>
      </c>
      <c r="C3040" s="20">
        <v>5.76</v>
      </c>
    </row>
    <row r="3041" spans="1:3" s="15" customFormat="1" ht="15" x14ac:dyDescent="0.25">
      <c r="A3041" s="18" t="s">
        <v>1975</v>
      </c>
      <c r="B3041" s="19" t="s">
        <v>1976</v>
      </c>
      <c r="C3041" s="20"/>
    </row>
    <row r="3042" spans="1:3" s="15" customFormat="1" ht="15" x14ac:dyDescent="0.25">
      <c r="A3042" s="18" t="s">
        <v>1977</v>
      </c>
      <c r="B3042" s="19" t="s">
        <v>1978</v>
      </c>
      <c r="C3042" s="20">
        <v>1840</v>
      </c>
    </row>
    <row r="3043" spans="1:3" s="15" customFormat="1" ht="15" x14ac:dyDescent="0.25">
      <c r="A3043" s="18" t="s">
        <v>1979</v>
      </c>
      <c r="B3043" s="19" t="s">
        <v>1980</v>
      </c>
      <c r="C3043" s="20">
        <v>453.39</v>
      </c>
    </row>
    <row r="3044" spans="1:3" s="15" customFormat="1" ht="15" x14ac:dyDescent="0.25">
      <c r="A3044" s="18" t="s">
        <v>1981</v>
      </c>
      <c r="B3044" s="19" t="s">
        <v>1982</v>
      </c>
      <c r="C3044" s="20">
        <v>8108.75</v>
      </c>
    </row>
    <row r="3045" spans="1:3" s="15" customFormat="1" ht="15" x14ac:dyDescent="0.25">
      <c r="A3045" s="18" t="s">
        <v>1983</v>
      </c>
      <c r="B3045" s="19" t="s">
        <v>1984</v>
      </c>
      <c r="C3045" s="20"/>
    </row>
    <row r="3046" spans="1:3" s="15" customFormat="1" ht="15" x14ac:dyDescent="0.25">
      <c r="A3046" s="18" t="s">
        <v>1985</v>
      </c>
      <c r="B3046" s="19" t="s">
        <v>1986</v>
      </c>
      <c r="C3046" s="20">
        <v>5364</v>
      </c>
    </row>
    <row r="3047" spans="1:3" s="15" customFormat="1" ht="15" x14ac:dyDescent="0.25">
      <c r="A3047" s="18" t="s">
        <v>1987</v>
      </c>
      <c r="B3047" s="19" t="s">
        <v>1988</v>
      </c>
      <c r="C3047" s="20"/>
    </row>
    <row r="3048" spans="1:3" s="15" customFormat="1" ht="15" x14ac:dyDescent="0.25">
      <c r="A3048" s="18" t="s">
        <v>1989</v>
      </c>
      <c r="B3048" s="19" t="s">
        <v>1990</v>
      </c>
      <c r="C3048" s="20"/>
    </row>
    <row r="3049" spans="1:3" s="15" customFormat="1" ht="15" x14ac:dyDescent="0.25">
      <c r="A3049" s="18" t="s">
        <v>1991</v>
      </c>
      <c r="B3049" s="19" t="s">
        <v>1992</v>
      </c>
      <c r="C3049" s="20">
        <v>450</v>
      </c>
    </row>
    <row r="3050" spans="1:3" s="15" customFormat="1" ht="15" x14ac:dyDescent="0.25">
      <c r="A3050" s="18" t="s">
        <v>1993</v>
      </c>
      <c r="B3050" s="19" t="s">
        <v>1994</v>
      </c>
      <c r="C3050" s="20">
        <v>320</v>
      </c>
    </row>
    <row r="3051" spans="1:3" s="15" customFormat="1" ht="15" x14ac:dyDescent="0.25">
      <c r="A3051" s="18" t="s">
        <v>1995</v>
      </c>
      <c r="B3051" s="19" t="s">
        <v>1996</v>
      </c>
      <c r="C3051" s="20"/>
    </row>
    <row r="3052" spans="1:3" s="15" customFormat="1" ht="15" x14ac:dyDescent="0.25">
      <c r="A3052" s="18" t="s">
        <v>1997</v>
      </c>
      <c r="B3052" s="19" t="s">
        <v>1998</v>
      </c>
      <c r="C3052" s="20"/>
    </row>
    <row r="3053" spans="1:3" s="15" customFormat="1" ht="15" x14ac:dyDescent="0.25">
      <c r="A3053" s="18" t="s">
        <v>1999</v>
      </c>
      <c r="B3053" s="19" t="s">
        <v>2000</v>
      </c>
      <c r="C3053" s="20"/>
    </row>
    <row r="3054" spans="1:3" s="15" customFormat="1" ht="15" x14ac:dyDescent="0.25">
      <c r="A3054" s="18" t="s">
        <v>2001</v>
      </c>
      <c r="B3054" s="19" t="s">
        <v>2002</v>
      </c>
      <c r="C3054" s="20"/>
    </row>
    <row r="3055" spans="1:3" s="15" customFormat="1" ht="15" x14ac:dyDescent="0.25">
      <c r="A3055" s="18" t="s">
        <v>2003</v>
      </c>
      <c r="B3055" s="19" t="s">
        <v>2004</v>
      </c>
      <c r="C3055" s="20"/>
    </row>
    <row r="3056" spans="1:3" ht="15" x14ac:dyDescent="0.25">
      <c r="A3056" s="2">
        <v>450302</v>
      </c>
      <c r="B3056" s="3" t="s">
        <v>844</v>
      </c>
      <c r="C3056" s="9"/>
    </row>
    <row r="3057" spans="1:3" ht="15" x14ac:dyDescent="0.25">
      <c r="A3057" s="2">
        <v>45030201</v>
      </c>
      <c r="B3057" s="3" t="s">
        <v>824</v>
      </c>
      <c r="C3057" s="9"/>
    </row>
    <row r="3058" spans="1:3" s="15" customFormat="1" ht="15" x14ac:dyDescent="0.25">
      <c r="A3058" s="18" t="s">
        <v>2006</v>
      </c>
      <c r="B3058" s="19" t="s">
        <v>1859</v>
      </c>
      <c r="C3058" s="20"/>
    </row>
    <row r="3059" spans="1:3" ht="15" x14ac:dyDescent="0.25">
      <c r="A3059" s="2">
        <v>45030203</v>
      </c>
      <c r="B3059" s="3" t="s">
        <v>825</v>
      </c>
      <c r="C3059" s="9"/>
    </row>
    <row r="3060" spans="1:3" s="15" customFormat="1" ht="15" x14ac:dyDescent="0.25">
      <c r="A3060" s="18" t="s">
        <v>2007</v>
      </c>
      <c r="B3060" s="19" t="s">
        <v>1871</v>
      </c>
      <c r="C3060" s="20"/>
    </row>
    <row r="3061" spans="1:3" ht="15" x14ac:dyDescent="0.25">
      <c r="A3061" s="2">
        <v>45030205</v>
      </c>
      <c r="B3061" s="3" t="s">
        <v>826</v>
      </c>
      <c r="C3061" s="9"/>
    </row>
    <row r="3062" spans="1:3" ht="15" x14ac:dyDescent="0.25">
      <c r="A3062" s="2">
        <v>45030206</v>
      </c>
      <c r="B3062" s="3" t="s">
        <v>827</v>
      </c>
      <c r="C3062" s="9"/>
    </row>
    <row r="3063" spans="1:3" ht="15" x14ac:dyDescent="0.25">
      <c r="A3063" s="2">
        <v>45030207</v>
      </c>
      <c r="B3063" s="3" t="s">
        <v>828</v>
      </c>
      <c r="C3063" s="9"/>
    </row>
    <row r="3064" spans="1:3" s="15" customFormat="1" ht="15" x14ac:dyDescent="0.25">
      <c r="A3064" s="18" t="s">
        <v>2008</v>
      </c>
      <c r="B3064" s="19" t="s">
        <v>2009</v>
      </c>
      <c r="C3064" s="20"/>
    </row>
    <row r="3065" spans="1:3" ht="15" x14ac:dyDescent="0.25">
      <c r="A3065" s="2">
        <v>45030209</v>
      </c>
      <c r="B3065" s="3" t="s">
        <v>830</v>
      </c>
      <c r="C3065" s="9"/>
    </row>
    <row r="3066" spans="1:3" ht="15" x14ac:dyDescent="0.25">
      <c r="A3066" s="2">
        <v>45030210</v>
      </c>
      <c r="B3066" s="3" t="s">
        <v>831</v>
      </c>
      <c r="C3066" s="9"/>
    </row>
    <row r="3067" spans="1:3" s="15" customFormat="1" ht="15" x14ac:dyDescent="0.25">
      <c r="A3067" s="18" t="s">
        <v>2010</v>
      </c>
      <c r="B3067" s="19" t="s">
        <v>2011</v>
      </c>
      <c r="C3067" s="20"/>
    </row>
    <row r="3068" spans="1:3" ht="15" x14ac:dyDescent="0.25">
      <c r="A3068" s="2">
        <v>45030212</v>
      </c>
      <c r="B3068" s="3" t="s">
        <v>816</v>
      </c>
      <c r="C3068" s="9"/>
    </row>
    <row r="3069" spans="1:3" ht="15" x14ac:dyDescent="0.25">
      <c r="A3069" s="2">
        <v>45030213</v>
      </c>
      <c r="B3069" s="3" t="s">
        <v>833</v>
      </c>
      <c r="C3069" s="9"/>
    </row>
    <row r="3070" spans="1:3" s="15" customFormat="1" ht="15" x14ac:dyDescent="0.25">
      <c r="A3070" s="18" t="s">
        <v>2012</v>
      </c>
      <c r="B3070" s="19" t="s">
        <v>2013</v>
      </c>
      <c r="C3070" s="20"/>
    </row>
    <row r="3071" spans="1:3" ht="15" x14ac:dyDescent="0.25">
      <c r="A3071" s="2">
        <v>45030215</v>
      </c>
      <c r="B3071" s="3" t="s">
        <v>835</v>
      </c>
      <c r="C3071" s="9"/>
    </row>
    <row r="3072" spans="1:3" ht="15" x14ac:dyDescent="0.25">
      <c r="A3072" s="2">
        <v>45030216</v>
      </c>
      <c r="B3072" s="3" t="s">
        <v>610</v>
      </c>
      <c r="C3072" s="9"/>
    </row>
    <row r="3073" spans="1:3" ht="15" x14ac:dyDescent="0.25">
      <c r="A3073" s="2">
        <v>45030217</v>
      </c>
      <c r="B3073" s="3" t="s">
        <v>836</v>
      </c>
      <c r="C3073" s="9"/>
    </row>
    <row r="3074" spans="1:3" s="15" customFormat="1" ht="15" x14ac:dyDescent="0.25">
      <c r="A3074" s="18" t="s">
        <v>2014</v>
      </c>
      <c r="B3074" s="19" t="s">
        <v>1951</v>
      </c>
      <c r="C3074" s="20"/>
    </row>
    <row r="3075" spans="1:3" ht="15" x14ac:dyDescent="0.25">
      <c r="A3075" s="2">
        <v>45030219</v>
      </c>
      <c r="B3075" s="3" t="s">
        <v>837</v>
      </c>
      <c r="C3075" s="9"/>
    </row>
    <row r="3076" spans="1:3" s="15" customFormat="1" ht="15" x14ac:dyDescent="0.25">
      <c r="A3076" s="18" t="s">
        <v>2015</v>
      </c>
      <c r="B3076" s="19" t="s">
        <v>1953</v>
      </c>
      <c r="C3076" s="20"/>
    </row>
    <row r="3077" spans="1:3" ht="15" x14ac:dyDescent="0.25">
      <c r="A3077" s="2">
        <v>45030221</v>
      </c>
      <c r="B3077" s="3" t="s">
        <v>839</v>
      </c>
      <c r="C3077" s="9"/>
    </row>
    <row r="3078" spans="1:3" ht="15" x14ac:dyDescent="0.25">
      <c r="A3078" s="2">
        <v>45030222</v>
      </c>
      <c r="B3078" s="3" t="s">
        <v>840</v>
      </c>
      <c r="C3078" s="9"/>
    </row>
    <row r="3079" spans="1:3" ht="15" x14ac:dyDescent="0.25">
      <c r="A3079" s="2">
        <v>45030223</v>
      </c>
      <c r="B3079" s="3" t="s">
        <v>841</v>
      </c>
      <c r="C3079" s="9"/>
    </row>
    <row r="3080" spans="1:3" ht="15" x14ac:dyDescent="0.25">
      <c r="A3080" s="2">
        <v>45030224</v>
      </c>
      <c r="B3080" s="3" t="s">
        <v>842</v>
      </c>
      <c r="C3080" s="9"/>
    </row>
    <row r="3081" spans="1:3" ht="15" x14ac:dyDescent="0.25">
      <c r="A3081" s="2">
        <v>45030229</v>
      </c>
      <c r="B3081" s="3" t="s">
        <v>843</v>
      </c>
      <c r="C3081" s="9"/>
    </row>
    <row r="3082" spans="1:3" ht="15" x14ac:dyDescent="0.25">
      <c r="A3082" s="2">
        <v>4504</v>
      </c>
      <c r="B3082" s="3" t="s">
        <v>845</v>
      </c>
      <c r="C3082" s="20">
        <f t="shared" ref="C3082" si="84">SUM(C3083:C3100)</f>
        <v>94888.6</v>
      </c>
    </row>
    <row r="3083" spans="1:3" s="15" customFormat="1" ht="15" x14ac:dyDescent="0.25">
      <c r="A3083" s="18">
        <v>450401</v>
      </c>
      <c r="B3083" s="19" t="s">
        <v>530</v>
      </c>
      <c r="C3083" s="20"/>
    </row>
    <row r="3084" spans="1:3" s="15" customFormat="1" ht="15" x14ac:dyDescent="0.25">
      <c r="A3084" s="18" t="s">
        <v>2016</v>
      </c>
      <c r="B3084" s="19" t="s">
        <v>1624</v>
      </c>
      <c r="C3084" s="20">
        <v>59838.720000000001</v>
      </c>
    </row>
    <row r="3085" spans="1:3" s="15" customFormat="1" ht="15" x14ac:dyDescent="0.25">
      <c r="A3085" s="18">
        <v>450402</v>
      </c>
      <c r="B3085" s="19" t="s">
        <v>846</v>
      </c>
      <c r="C3085" s="20"/>
    </row>
    <row r="3086" spans="1:3" s="15" customFormat="1" ht="15" x14ac:dyDescent="0.25">
      <c r="A3086" s="18">
        <v>450403</v>
      </c>
      <c r="B3086" s="19" t="s">
        <v>847</v>
      </c>
      <c r="C3086" s="20"/>
    </row>
    <row r="3087" spans="1:3" s="15" customFormat="1" ht="15" x14ac:dyDescent="0.25">
      <c r="A3087" s="18" t="s">
        <v>2017</v>
      </c>
      <c r="B3087" s="19" t="s">
        <v>2018</v>
      </c>
      <c r="C3087" s="20">
        <v>6889.16</v>
      </c>
    </row>
    <row r="3088" spans="1:3" s="15" customFormat="1" ht="15" x14ac:dyDescent="0.25">
      <c r="A3088" s="18" t="s">
        <v>2019</v>
      </c>
      <c r="B3088" s="19" t="s">
        <v>2020</v>
      </c>
      <c r="C3088" s="20">
        <v>9685.0499999999993</v>
      </c>
    </row>
    <row r="3089" spans="1:3" s="15" customFormat="1" ht="15" x14ac:dyDescent="0.25">
      <c r="A3089" s="18" t="s">
        <v>2021</v>
      </c>
      <c r="B3089" s="19" t="s">
        <v>2022</v>
      </c>
      <c r="C3089" s="20"/>
    </row>
    <row r="3090" spans="1:3" s="15" customFormat="1" ht="15" x14ac:dyDescent="0.25">
      <c r="A3090" s="18" t="s">
        <v>2023</v>
      </c>
      <c r="B3090" s="19" t="s">
        <v>2024</v>
      </c>
      <c r="C3090" s="20"/>
    </row>
    <row r="3091" spans="1:3" s="15" customFormat="1" ht="15" x14ac:dyDescent="0.25">
      <c r="A3091" s="18">
        <v>450404</v>
      </c>
      <c r="B3091" s="19" t="s">
        <v>848</v>
      </c>
      <c r="C3091" s="20"/>
    </row>
    <row r="3092" spans="1:3" s="15" customFormat="1" ht="15" x14ac:dyDescent="0.25">
      <c r="A3092" s="18" t="s">
        <v>2025</v>
      </c>
      <c r="B3092" s="19" t="s">
        <v>2026</v>
      </c>
      <c r="C3092" s="20">
        <v>16903</v>
      </c>
    </row>
    <row r="3093" spans="1:3" s="15" customFormat="1" ht="15" x14ac:dyDescent="0.25">
      <c r="A3093" s="18">
        <v>450405</v>
      </c>
      <c r="B3093" s="19" t="s">
        <v>849</v>
      </c>
      <c r="C3093" s="20"/>
    </row>
    <row r="3094" spans="1:3" s="15" customFormat="1" ht="15" x14ac:dyDescent="0.25">
      <c r="A3094" s="18" t="s">
        <v>2027</v>
      </c>
      <c r="B3094" s="19" t="s">
        <v>2028</v>
      </c>
      <c r="C3094" s="20"/>
    </row>
    <row r="3095" spans="1:3" s="15" customFormat="1" ht="15" x14ac:dyDescent="0.25">
      <c r="A3095" s="18">
        <v>450409</v>
      </c>
      <c r="B3095" s="19" t="s">
        <v>850</v>
      </c>
      <c r="C3095" s="20"/>
    </row>
    <row r="3096" spans="1:3" s="15" customFormat="1" ht="15" x14ac:dyDescent="0.25">
      <c r="A3096" s="18" t="s">
        <v>2029</v>
      </c>
      <c r="B3096" s="19" t="s">
        <v>2030</v>
      </c>
      <c r="C3096" s="20">
        <v>1572.67</v>
      </c>
    </row>
    <row r="3097" spans="1:3" s="15" customFormat="1" ht="15" x14ac:dyDescent="0.25">
      <c r="A3097" s="18" t="s">
        <v>2031</v>
      </c>
      <c r="B3097" s="19" t="s">
        <v>2032</v>
      </c>
      <c r="C3097" s="20"/>
    </row>
    <row r="3098" spans="1:3" s="15" customFormat="1" ht="15" x14ac:dyDescent="0.25">
      <c r="A3098" s="18" t="s">
        <v>2033</v>
      </c>
      <c r="B3098" s="19" t="s">
        <v>2034</v>
      </c>
      <c r="C3098" s="20"/>
    </row>
    <row r="3099" spans="1:3" s="15" customFormat="1" ht="15" x14ac:dyDescent="0.25">
      <c r="A3099" s="18" t="s">
        <v>2035</v>
      </c>
      <c r="B3099" s="19" t="s">
        <v>2036</v>
      </c>
      <c r="C3099" s="20"/>
    </row>
    <row r="3100" spans="1:3" s="15" customFormat="1" ht="15" x14ac:dyDescent="0.25">
      <c r="A3100" s="18" t="s">
        <v>2037</v>
      </c>
      <c r="B3100" s="19" t="s">
        <v>2038</v>
      </c>
      <c r="C3100" s="20"/>
    </row>
    <row r="3101" spans="1:3" s="15" customFormat="1" ht="15" x14ac:dyDescent="0.25">
      <c r="A3101" s="18">
        <v>4505</v>
      </c>
      <c r="B3101" s="19" t="s">
        <v>851</v>
      </c>
      <c r="C3101" s="20">
        <f t="shared" ref="C3101" si="85">SUM(C3102:C3115)</f>
        <v>0</v>
      </c>
    </row>
    <row r="3102" spans="1:3" ht="15" x14ac:dyDescent="0.25">
      <c r="A3102" s="2">
        <v>450501</v>
      </c>
      <c r="B3102" s="3" t="s">
        <v>852</v>
      </c>
      <c r="C3102" s="9"/>
    </row>
    <row r="3103" spans="1:3" s="15" customFormat="1" ht="15" x14ac:dyDescent="0.25">
      <c r="A3103" s="18" t="s">
        <v>2039</v>
      </c>
      <c r="B3103" s="19" t="s">
        <v>2040</v>
      </c>
      <c r="C3103" s="20"/>
    </row>
    <row r="3104" spans="1:3" s="15" customFormat="1" ht="15" x14ac:dyDescent="0.25">
      <c r="A3104" s="18" t="s">
        <v>2041</v>
      </c>
      <c r="B3104" s="19" t="s">
        <v>2042</v>
      </c>
      <c r="C3104" s="20"/>
    </row>
    <row r="3105" spans="1:3" s="15" customFormat="1" ht="15" x14ac:dyDescent="0.25">
      <c r="A3105" s="18" t="s">
        <v>2043</v>
      </c>
      <c r="B3105" s="19" t="s">
        <v>2044</v>
      </c>
      <c r="C3105" s="20"/>
    </row>
    <row r="3106" spans="1:3" s="15" customFormat="1" ht="15" x14ac:dyDescent="0.25">
      <c r="A3106" s="18">
        <v>45050104</v>
      </c>
      <c r="B3106" s="19" t="s">
        <v>853</v>
      </c>
      <c r="C3106" s="20"/>
    </row>
    <row r="3107" spans="1:3" s="15" customFormat="1" ht="15" x14ac:dyDescent="0.25">
      <c r="A3107" s="18">
        <v>45050105</v>
      </c>
      <c r="B3107" s="19" t="s">
        <v>854</v>
      </c>
      <c r="C3107" s="20"/>
    </row>
    <row r="3108" spans="1:3" s="15" customFormat="1" ht="15" x14ac:dyDescent="0.25">
      <c r="A3108" s="18" t="s">
        <v>2045</v>
      </c>
      <c r="B3108" s="19" t="s">
        <v>2046</v>
      </c>
      <c r="C3108" s="20"/>
    </row>
    <row r="3109" spans="1:3" ht="15" x14ac:dyDescent="0.25">
      <c r="A3109" s="2">
        <v>450502</v>
      </c>
      <c r="B3109" s="3" t="s">
        <v>855</v>
      </c>
      <c r="C3109" s="9"/>
    </row>
    <row r="3110" spans="1:3" s="15" customFormat="1" ht="15" x14ac:dyDescent="0.25">
      <c r="A3110" s="18" t="s">
        <v>2047</v>
      </c>
      <c r="B3110" s="19" t="s">
        <v>2048</v>
      </c>
      <c r="C3110" s="20"/>
    </row>
    <row r="3111" spans="1:3" s="15" customFormat="1" ht="15" x14ac:dyDescent="0.25">
      <c r="A3111" s="18" t="s">
        <v>2049</v>
      </c>
      <c r="B3111" s="19" t="s">
        <v>2050</v>
      </c>
      <c r="C3111" s="20"/>
    </row>
    <row r="3112" spans="1:3" s="15" customFormat="1" ht="15" x14ac:dyDescent="0.25">
      <c r="A3112" s="18" t="s">
        <v>2051</v>
      </c>
      <c r="B3112" s="19" t="s">
        <v>2052</v>
      </c>
      <c r="C3112" s="20"/>
    </row>
    <row r="3113" spans="1:3" s="15" customFormat="1" ht="15" x14ac:dyDescent="0.25">
      <c r="A3113" s="18" t="s">
        <v>2053</v>
      </c>
      <c r="B3113" s="19" t="s">
        <v>2054</v>
      </c>
      <c r="C3113" s="20"/>
    </row>
    <row r="3114" spans="1:3" s="15" customFormat="1" ht="15" x14ac:dyDescent="0.25">
      <c r="A3114" s="18" t="s">
        <v>2055</v>
      </c>
      <c r="B3114" s="19" t="s">
        <v>2056</v>
      </c>
      <c r="C3114" s="20"/>
    </row>
    <row r="3115" spans="1:3" s="15" customFormat="1" ht="15" x14ac:dyDescent="0.25">
      <c r="A3115" s="18" t="s">
        <v>2057</v>
      </c>
      <c r="B3115" s="19" t="s">
        <v>2058</v>
      </c>
      <c r="C3115" s="20"/>
    </row>
    <row r="3116" spans="1:3" ht="15" x14ac:dyDescent="0.25">
      <c r="A3116" s="2">
        <v>46</v>
      </c>
      <c r="B3116" s="3" t="s">
        <v>856</v>
      </c>
      <c r="C3116" s="20">
        <f t="shared" ref="C3116" si="86">SUM(C3117:C3133)</f>
        <v>78704.86</v>
      </c>
    </row>
    <row r="3117" spans="1:3" ht="15" x14ac:dyDescent="0.25">
      <c r="A3117" s="2">
        <v>4601</v>
      </c>
      <c r="B3117" s="3" t="s">
        <v>857</v>
      </c>
      <c r="C3117" s="9"/>
    </row>
    <row r="3118" spans="1:3" ht="15" x14ac:dyDescent="0.25">
      <c r="A3118" s="2">
        <v>4602</v>
      </c>
      <c r="B3118" s="3" t="s">
        <v>858</v>
      </c>
      <c r="C3118" s="9"/>
    </row>
    <row r="3119" spans="1:3" ht="15" x14ac:dyDescent="0.25">
      <c r="A3119" s="2">
        <v>460201</v>
      </c>
      <c r="B3119" s="3" t="s">
        <v>859</v>
      </c>
      <c r="C3119" s="9"/>
    </row>
    <row r="3120" spans="1:3" ht="15" x14ac:dyDescent="0.25">
      <c r="A3120" s="2">
        <v>460202</v>
      </c>
      <c r="B3120" s="3" t="s">
        <v>860</v>
      </c>
      <c r="C3120" s="9"/>
    </row>
    <row r="3121" spans="1:3" ht="30" x14ac:dyDescent="0.25">
      <c r="A3121" s="2">
        <v>4604</v>
      </c>
      <c r="B3121" s="4" t="s">
        <v>861</v>
      </c>
      <c r="C3121" s="11"/>
    </row>
    <row r="3122" spans="1:3" ht="15" x14ac:dyDescent="0.25">
      <c r="A3122" s="2">
        <v>4605</v>
      </c>
      <c r="B3122" s="3" t="s">
        <v>862</v>
      </c>
      <c r="C3122" s="9"/>
    </row>
    <row r="3123" spans="1:3" ht="15" x14ac:dyDescent="0.25">
      <c r="A3123" s="2">
        <v>4606</v>
      </c>
      <c r="B3123" s="3" t="s">
        <v>863</v>
      </c>
      <c r="C3123" s="9"/>
    </row>
    <row r="3124" spans="1:3" s="15" customFormat="1" ht="15" x14ac:dyDescent="0.25">
      <c r="A3124" s="18" t="s">
        <v>2059</v>
      </c>
      <c r="B3124" s="19" t="s">
        <v>2060</v>
      </c>
      <c r="C3124" s="20"/>
    </row>
    <row r="3125" spans="1:3" ht="15" x14ac:dyDescent="0.25">
      <c r="A3125" s="2">
        <v>4607</v>
      </c>
      <c r="B3125" s="3" t="s">
        <v>864</v>
      </c>
      <c r="C3125" s="9"/>
    </row>
    <row r="3126" spans="1:3" s="15" customFormat="1" ht="15" x14ac:dyDescent="0.25">
      <c r="A3126" s="18" t="s">
        <v>2061</v>
      </c>
      <c r="B3126" s="19" t="s">
        <v>2002</v>
      </c>
      <c r="C3126" s="20">
        <v>2001.02</v>
      </c>
    </row>
    <row r="3127" spans="1:3" ht="15" x14ac:dyDescent="0.25">
      <c r="A3127" s="2">
        <v>4609</v>
      </c>
      <c r="B3127" s="3" t="s">
        <v>856</v>
      </c>
      <c r="C3127" s="9"/>
    </row>
    <row r="3128" spans="1:3" s="15" customFormat="1" ht="15" x14ac:dyDescent="0.25">
      <c r="A3128" s="18" t="s">
        <v>2062</v>
      </c>
      <c r="B3128" s="19" t="s">
        <v>2063</v>
      </c>
      <c r="C3128" s="20"/>
    </row>
    <row r="3129" spans="1:3" s="15" customFormat="1" ht="15" x14ac:dyDescent="0.25">
      <c r="A3129" s="18" t="s">
        <v>2064</v>
      </c>
      <c r="B3129" s="19" t="s">
        <v>2065</v>
      </c>
      <c r="C3129" s="20"/>
    </row>
    <row r="3130" spans="1:3" s="15" customFormat="1" ht="15" x14ac:dyDescent="0.25">
      <c r="A3130" s="18" t="s">
        <v>2066</v>
      </c>
      <c r="B3130" s="19" t="s">
        <v>2067</v>
      </c>
      <c r="C3130" s="20">
        <v>71703.839999999997</v>
      </c>
    </row>
    <row r="3131" spans="1:3" s="15" customFormat="1" ht="15" x14ac:dyDescent="0.25">
      <c r="A3131" s="18" t="s">
        <v>2068</v>
      </c>
      <c r="B3131" s="19" t="s">
        <v>2069</v>
      </c>
      <c r="C3131" s="20"/>
    </row>
    <row r="3132" spans="1:3" s="15" customFormat="1" ht="15" x14ac:dyDescent="0.25">
      <c r="A3132" s="18" t="s">
        <v>2070</v>
      </c>
      <c r="B3132" s="19" t="s">
        <v>2071</v>
      </c>
      <c r="C3132" s="20"/>
    </row>
    <row r="3133" spans="1:3" s="15" customFormat="1" ht="15" x14ac:dyDescent="0.25">
      <c r="A3133" s="18" t="s">
        <v>2072</v>
      </c>
      <c r="B3133" s="19" t="s">
        <v>2073</v>
      </c>
      <c r="C3133" s="20">
        <v>5000</v>
      </c>
    </row>
    <row r="3134" spans="1:3" ht="15" x14ac:dyDescent="0.25">
      <c r="A3134" s="2">
        <v>49</v>
      </c>
      <c r="B3134" s="3" t="s">
        <v>865</v>
      </c>
      <c r="C3134" s="9"/>
    </row>
    <row r="3135" spans="1:3" ht="15" x14ac:dyDescent="0.25">
      <c r="A3135" s="2">
        <v>4901</v>
      </c>
      <c r="B3135" s="3" t="s">
        <v>866</v>
      </c>
      <c r="C3135" s="9"/>
    </row>
    <row r="3136" spans="1:3" ht="15" x14ac:dyDescent="0.25">
      <c r="A3136" s="2">
        <v>4902</v>
      </c>
      <c r="B3136" s="3" t="s">
        <v>867</v>
      </c>
      <c r="C3136" s="9"/>
    </row>
    <row r="3137" spans="1:3" ht="15" x14ac:dyDescent="0.25">
      <c r="A3137" s="2">
        <v>5</v>
      </c>
      <c r="B3137" s="3" t="s">
        <v>868</v>
      </c>
      <c r="C3137" s="20">
        <f t="shared" ref="C3137" si="87">+C3138+C3807+C3841+C3859+C3874</f>
        <v>-1923301.13</v>
      </c>
    </row>
    <row r="3138" spans="1:3" ht="15" x14ac:dyDescent="0.25">
      <c r="A3138" s="2">
        <v>51</v>
      </c>
      <c r="B3138" s="3" t="s">
        <v>869</v>
      </c>
      <c r="C3138" s="20">
        <f t="shared" ref="C3138" si="88">+C3144+C3413+C3517+C3527+C3586</f>
        <v>-1770015.43</v>
      </c>
    </row>
    <row r="3139" spans="1:3" ht="15" x14ac:dyDescent="0.25">
      <c r="A3139" s="2">
        <v>5101</v>
      </c>
      <c r="B3139" s="3" t="s">
        <v>870</v>
      </c>
      <c r="C3139" s="9"/>
    </row>
    <row r="3140" spans="1:3" ht="30" x14ac:dyDescent="0.25">
      <c r="A3140" s="2">
        <v>510103</v>
      </c>
      <c r="B3140" s="4" t="s">
        <v>871</v>
      </c>
      <c r="C3140" s="11"/>
    </row>
    <row r="3141" spans="1:3" ht="15" x14ac:dyDescent="0.25">
      <c r="A3141" s="2">
        <v>51010301</v>
      </c>
      <c r="B3141" s="3" t="s">
        <v>9</v>
      </c>
      <c r="C3141" s="9"/>
    </row>
    <row r="3142" spans="1:3" ht="15" x14ac:dyDescent="0.25">
      <c r="A3142" s="2">
        <v>51010302</v>
      </c>
      <c r="B3142" s="3" t="s">
        <v>10</v>
      </c>
      <c r="C3142" s="9"/>
    </row>
    <row r="3143" spans="1:3" ht="15" x14ac:dyDescent="0.25">
      <c r="A3143" s="2">
        <v>51010303</v>
      </c>
      <c r="B3143" s="3" t="s">
        <v>11</v>
      </c>
      <c r="C3143" s="9"/>
    </row>
    <row r="3144" spans="1:3" ht="15" x14ac:dyDescent="0.25">
      <c r="A3144" s="2">
        <v>51010304</v>
      </c>
      <c r="B3144" s="3" t="s">
        <v>12</v>
      </c>
      <c r="C3144" s="9"/>
    </row>
    <row r="3145" spans="1:3" s="15" customFormat="1" ht="15" x14ac:dyDescent="0.25">
      <c r="A3145" s="18" t="s">
        <v>2074</v>
      </c>
      <c r="B3145" s="19" t="s">
        <v>2075</v>
      </c>
      <c r="C3145" s="20"/>
    </row>
    <row r="3146" spans="1:3" ht="15" x14ac:dyDescent="0.25">
      <c r="A3146" s="2">
        <v>51010307</v>
      </c>
      <c r="B3146" s="3" t="s">
        <v>35</v>
      </c>
      <c r="C3146" s="9"/>
    </row>
    <row r="3147" spans="1:3" ht="15" x14ac:dyDescent="0.25">
      <c r="A3147" s="2">
        <v>51010309</v>
      </c>
      <c r="B3147" s="3" t="s">
        <v>15</v>
      </c>
      <c r="C3147" s="9"/>
    </row>
    <row r="3148" spans="1:3" ht="30" x14ac:dyDescent="0.25">
      <c r="A3148" s="2">
        <v>510104</v>
      </c>
      <c r="B3148" s="4" t="s">
        <v>872</v>
      </c>
      <c r="C3148" s="11"/>
    </row>
    <row r="3149" spans="1:3" ht="15" x14ac:dyDescent="0.25">
      <c r="A3149" s="2">
        <v>51010401</v>
      </c>
      <c r="B3149" s="3" t="s">
        <v>17</v>
      </c>
      <c r="C3149" s="9"/>
    </row>
    <row r="3150" spans="1:3" ht="15" x14ac:dyDescent="0.25">
      <c r="A3150" s="2">
        <v>51010402</v>
      </c>
      <c r="B3150" s="3" t="s">
        <v>873</v>
      </c>
      <c r="C3150" s="9"/>
    </row>
    <row r="3151" spans="1:3" ht="30" x14ac:dyDescent="0.25">
      <c r="A3151" s="2">
        <v>51010403</v>
      </c>
      <c r="B3151" s="4" t="s">
        <v>19</v>
      </c>
      <c r="C3151" s="11"/>
    </row>
    <row r="3152" spans="1:3" ht="15" x14ac:dyDescent="0.25">
      <c r="A3152" s="2">
        <v>51010409</v>
      </c>
      <c r="B3152" s="3" t="s">
        <v>20</v>
      </c>
      <c r="C3152" s="9"/>
    </row>
    <row r="3153" spans="1:3" ht="15" x14ac:dyDescent="0.25">
      <c r="A3153" s="2">
        <v>510107</v>
      </c>
      <c r="B3153" s="3" t="s">
        <v>874</v>
      </c>
      <c r="C3153" s="9"/>
    </row>
    <row r="3154" spans="1:3" ht="15" x14ac:dyDescent="0.25">
      <c r="A3154" s="2">
        <v>51010701</v>
      </c>
      <c r="B3154" s="3" t="s">
        <v>27</v>
      </c>
      <c r="C3154" s="9"/>
    </row>
    <row r="3155" spans="1:3" ht="15" x14ac:dyDescent="0.25">
      <c r="A3155" s="2">
        <v>51010702</v>
      </c>
      <c r="B3155" s="3" t="s">
        <v>28</v>
      </c>
      <c r="C3155" s="9"/>
    </row>
    <row r="3156" spans="1:3" ht="15" x14ac:dyDescent="0.25">
      <c r="A3156" s="2">
        <v>51010709</v>
      </c>
      <c r="B3156" s="3" t="s">
        <v>29</v>
      </c>
      <c r="C3156" s="9"/>
    </row>
    <row r="3157" spans="1:3" ht="15" x14ac:dyDescent="0.25">
      <c r="A3157" s="2">
        <v>5102</v>
      </c>
      <c r="B3157" s="3" t="s">
        <v>875</v>
      </c>
      <c r="C3157" s="9"/>
    </row>
    <row r="3158" spans="1:3" ht="15" x14ac:dyDescent="0.25">
      <c r="A3158" s="2">
        <v>510207</v>
      </c>
      <c r="B3158" s="3" t="s">
        <v>14</v>
      </c>
      <c r="C3158" s="9"/>
    </row>
    <row r="3159" spans="1:3" ht="15" x14ac:dyDescent="0.25">
      <c r="A3159" s="2">
        <v>5103</v>
      </c>
      <c r="B3159" s="3" t="s">
        <v>876</v>
      </c>
      <c r="C3159" s="9"/>
    </row>
    <row r="3160" spans="1:3" ht="30" x14ac:dyDescent="0.25">
      <c r="A3160" s="2">
        <v>510301</v>
      </c>
      <c r="B3160" s="4" t="s">
        <v>877</v>
      </c>
      <c r="C3160" s="11"/>
    </row>
    <row r="3161" spans="1:3" ht="15" x14ac:dyDescent="0.25">
      <c r="A3161" s="2">
        <v>51030105</v>
      </c>
      <c r="B3161" s="3" t="s">
        <v>39</v>
      </c>
      <c r="C3161" s="9"/>
    </row>
    <row r="3162" spans="1:3" ht="15" x14ac:dyDescent="0.25">
      <c r="A3162" s="2">
        <v>5103010501</v>
      </c>
      <c r="B3162" s="3" t="s">
        <v>40</v>
      </c>
      <c r="C3162" s="9"/>
    </row>
    <row r="3163" spans="1:3" ht="15" x14ac:dyDescent="0.25">
      <c r="A3163" s="2">
        <v>5103010519</v>
      </c>
      <c r="B3163" s="3" t="s">
        <v>41</v>
      </c>
      <c r="C3163" s="9"/>
    </row>
    <row r="3164" spans="1:3" ht="15" x14ac:dyDescent="0.25">
      <c r="A3164" s="2">
        <v>51030106</v>
      </c>
      <c r="B3164" s="3" t="s">
        <v>42</v>
      </c>
      <c r="C3164" s="9"/>
    </row>
    <row r="3165" spans="1:3" ht="15" x14ac:dyDescent="0.25">
      <c r="A3165" s="2">
        <v>5103010601</v>
      </c>
      <c r="B3165" s="3" t="s">
        <v>40</v>
      </c>
      <c r="C3165" s="9"/>
    </row>
    <row r="3166" spans="1:3" ht="15" x14ac:dyDescent="0.25">
      <c r="A3166" s="2">
        <v>5103010619</v>
      </c>
      <c r="B3166" s="3" t="s">
        <v>41</v>
      </c>
      <c r="C3166" s="9"/>
    </row>
    <row r="3167" spans="1:3" ht="15" x14ac:dyDescent="0.25">
      <c r="A3167" s="2">
        <v>51030107</v>
      </c>
      <c r="B3167" s="3" t="s">
        <v>43</v>
      </c>
      <c r="C3167" s="9"/>
    </row>
    <row r="3168" spans="1:3" ht="15" x14ac:dyDescent="0.25">
      <c r="A3168" s="2">
        <v>5103010701</v>
      </c>
      <c r="B3168" s="3" t="s">
        <v>40</v>
      </c>
      <c r="C3168" s="9"/>
    </row>
    <row r="3169" spans="1:3" ht="15" x14ac:dyDescent="0.25">
      <c r="A3169" s="2">
        <v>5103010702</v>
      </c>
      <c r="B3169" s="3" t="s">
        <v>44</v>
      </c>
      <c r="C3169" s="9"/>
    </row>
    <row r="3170" spans="1:3" ht="15" x14ac:dyDescent="0.25">
      <c r="A3170" s="2">
        <v>5103010705</v>
      </c>
      <c r="B3170" s="3" t="s">
        <v>45</v>
      </c>
      <c r="C3170" s="9"/>
    </row>
    <row r="3171" spans="1:3" ht="15" x14ac:dyDescent="0.25">
      <c r="A3171" s="2">
        <v>5103010706</v>
      </c>
      <c r="B3171" s="3" t="s">
        <v>46</v>
      </c>
      <c r="C3171" s="9"/>
    </row>
    <row r="3172" spans="1:3" ht="15" x14ac:dyDescent="0.25">
      <c r="A3172" s="2">
        <v>5103010712</v>
      </c>
      <c r="B3172" s="3" t="s">
        <v>47</v>
      </c>
      <c r="C3172" s="9"/>
    </row>
    <row r="3173" spans="1:3" ht="15" x14ac:dyDescent="0.25">
      <c r="A3173" s="2">
        <v>5103010719</v>
      </c>
      <c r="B3173" s="3" t="s">
        <v>53</v>
      </c>
      <c r="C3173" s="9"/>
    </row>
    <row r="3174" spans="1:3" ht="30" x14ac:dyDescent="0.25">
      <c r="A3174" s="2">
        <v>51030110</v>
      </c>
      <c r="B3174" s="4" t="s">
        <v>48</v>
      </c>
      <c r="C3174" s="11"/>
    </row>
    <row r="3175" spans="1:3" ht="15" x14ac:dyDescent="0.25">
      <c r="A3175" s="2">
        <v>5103011005</v>
      </c>
      <c r="B3175" s="3" t="s">
        <v>39</v>
      </c>
      <c r="C3175" s="9"/>
    </row>
    <row r="3176" spans="1:3" ht="15" x14ac:dyDescent="0.25">
      <c r="A3176" s="2">
        <v>5103011006</v>
      </c>
      <c r="B3176" s="3" t="s">
        <v>42</v>
      </c>
      <c r="C3176" s="9"/>
    </row>
    <row r="3177" spans="1:3" ht="15" x14ac:dyDescent="0.25">
      <c r="A3177" s="2">
        <v>5103011007</v>
      </c>
      <c r="B3177" s="3" t="s">
        <v>43</v>
      </c>
      <c r="C3177" s="9"/>
    </row>
    <row r="3178" spans="1:3" ht="30" x14ac:dyDescent="0.25">
      <c r="A3178" s="2">
        <v>51030111</v>
      </c>
      <c r="B3178" s="4" t="s">
        <v>50</v>
      </c>
      <c r="C3178" s="11"/>
    </row>
    <row r="3179" spans="1:3" ht="15" x14ac:dyDescent="0.25">
      <c r="A3179" s="2">
        <v>5103011105</v>
      </c>
      <c r="B3179" s="3" t="s">
        <v>39</v>
      </c>
      <c r="C3179" s="9"/>
    </row>
    <row r="3180" spans="1:3" ht="15" x14ac:dyDescent="0.25">
      <c r="A3180" s="2">
        <v>5103011106</v>
      </c>
      <c r="B3180" s="3" t="s">
        <v>42</v>
      </c>
      <c r="C3180" s="9"/>
    </row>
    <row r="3181" spans="1:3" ht="15" x14ac:dyDescent="0.25">
      <c r="A3181" s="2">
        <v>5103011107</v>
      </c>
      <c r="B3181" s="3" t="s">
        <v>43</v>
      </c>
      <c r="C3181" s="9"/>
    </row>
    <row r="3182" spans="1:3" ht="30" x14ac:dyDescent="0.25">
      <c r="A3182" s="2">
        <v>51030112</v>
      </c>
      <c r="B3182" s="4" t="s">
        <v>51</v>
      </c>
      <c r="C3182" s="11"/>
    </row>
    <row r="3183" spans="1:3" ht="15" x14ac:dyDescent="0.25">
      <c r="A3183" s="2">
        <v>5103011205</v>
      </c>
      <c r="B3183" s="3" t="s">
        <v>39</v>
      </c>
      <c r="C3183" s="9"/>
    </row>
    <row r="3184" spans="1:3" ht="15" x14ac:dyDescent="0.25">
      <c r="A3184" s="2">
        <v>5103011206</v>
      </c>
      <c r="B3184" s="3" t="s">
        <v>42</v>
      </c>
      <c r="C3184" s="9"/>
    </row>
    <row r="3185" spans="1:3" ht="15" x14ac:dyDescent="0.25">
      <c r="A3185" s="2">
        <v>5103011207</v>
      </c>
      <c r="B3185" s="3" t="s">
        <v>43</v>
      </c>
      <c r="C3185" s="9"/>
    </row>
    <row r="3186" spans="1:3" ht="15" x14ac:dyDescent="0.25">
      <c r="A3186" s="2">
        <v>51030113</v>
      </c>
      <c r="B3186" s="3" t="s">
        <v>878</v>
      </c>
      <c r="C3186" s="9"/>
    </row>
    <row r="3187" spans="1:3" ht="15" x14ac:dyDescent="0.25">
      <c r="A3187" s="2">
        <v>5103011301</v>
      </c>
      <c r="B3187" s="3" t="s">
        <v>52</v>
      </c>
      <c r="C3187" s="9"/>
    </row>
    <row r="3188" spans="1:3" ht="15" x14ac:dyDescent="0.25">
      <c r="A3188" s="2">
        <v>51030119</v>
      </c>
      <c r="B3188" s="3" t="s">
        <v>53</v>
      </c>
      <c r="C3188" s="9"/>
    </row>
    <row r="3189" spans="1:3" ht="30" x14ac:dyDescent="0.25">
      <c r="A3189" s="2">
        <v>510302</v>
      </c>
      <c r="B3189" s="4" t="s">
        <v>879</v>
      </c>
      <c r="C3189" s="11"/>
    </row>
    <row r="3190" spans="1:3" ht="15" x14ac:dyDescent="0.25">
      <c r="A3190" s="2">
        <v>51030201</v>
      </c>
      <c r="B3190" s="3" t="s">
        <v>55</v>
      </c>
      <c r="C3190" s="9"/>
    </row>
    <row r="3191" spans="1:3" ht="15" x14ac:dyDescent="0.25">
      <c r="A3191" s="2">
        <v>5103020101</v>
      </c>
      <c r="B3191" s="3" t="s">
        <v>56</v>
      </c>
      <c r="C3191" s="9"/>
    </row>
    <row r="3192" spans="1:3" ht="15" x14ac:dyDescent="0.25">
      <c r="A3192" s="2">
        <v>5103020109</v>
      </c>
      <c r="B3192" s="3" t="s">
        <v>60</v>
      </c>
      <c r="C3192" s="9"/>
    </row>
    <row r="3193" spans="1:3" ht="15" x14ac:dyDescent="0.25">
      <c r="A3193" s="2">
        <v>51030202</v>
      </c>
      <c r="B3193" s="3" t="s">
        <v>880</v>
      </c>
      <c r="C3193" s="9"/>
    </row>
    <row r="3194" spans="1:3" ht="15" x14ac:dyDescent="0.25">
      <c r="A3194" s="2">
        <v>51030203</v>
      </c>
      <c r="B3194" s="3" t="s">
        <v>62</v>
      </c>
      <c r="C3194" s="9"/>
    </row>
    <row r="3195" spans="1:3" ht="15" x14ac:dyDescent="0.25">
      <c r="A3195" s="2">
        <v>51030205</v>
      </c>
      <c r="B3195" s="3" t="s">
        <v>39</v>
      </c>
      <c r="C3195" s="9"/>
    </row>
    <row r="3196" spans="1:3" ht="15" x14ac:dyDescent="0.25">
      <c r="A3196" s="2">
        <v>5103020503</v>
      </c>
      <c r="B3196" s="3" t="s">
        <v>81</v>
      </c>
      <c r="C3196" s="9"/>
    </row>
    <row r="3197" spans="1:3" ht="15" x14ac:dyDescent="0.25">
      <c r="A3197" s="2">
        <v>5103020505</v>
      </c>
      <c r="B3197" s="3" t="s">
        <v>66</v>
      </c>
      <c r="C3197" s="9"/>
    </row>
    <row r="3198" spans="1:3" ht="15" x14ac:dyDescent="0.25">
      <c r="A3198" s="2">
        <v>5103020506</v>
      </c>
      <c r="B3198" s="3" t="s">
        <v>67</v>
      </c>
      <c r="C3198" s="9"/>
    </row>
    <row r="3199" spans="1:3" ht="15" x14ac:dyDescent="0.25">
      <c r="A3199" s="2">
        <v>5103020507</v>
      </c>
      <c r="B3199" s="3" t="s">
        <v>68</v>
      </c>
      <c r="C3199" s="9"/>
    </row>
    <row r="3200" spans="1:3" ht="15" x14ac:dyDescent="0.25">
      <c r="A3200" s="2">
        <v>5103020508</v>
      </c>
      <c r="B3200" s="3" t="s">
        <v>69</v>
      </c>
      <c r="C3200" s="9"/>
    </row>
    <row r="3201" spans="1:3" ht="15" x14ac:dyDescent="0.25">
      <c r="A3201" s="2">
        <v>5103020509</v>
      </c>
      <c r="B3201" s="3" t="s">
        <v>70</v>
      </c>
      <c r="C3201" s="9"/>
    </row>
    <row r="3202" spans="1:3" ht="30" x14ac:dyDescent="0.25">
      <c r="A3202" s="2">
        <v>5103020510</v>
      </c>
      <c r="B3202" s="4" t="s">
        <v>71</v>
      </c>
      <c r="C3202" s="11"/>
    </row>
    <row r="3203" spans="1:3" ht="15" x14ac:dyDescent="0.25">
      <c r="A3203" s="2">
        <v>5103020511</v>
      </c>
      <c r="B3203" s="3" t="s">
        <v>72</v>
      </c>
      <c r="C3203" s="9"/>
    </row>
    <row r="3204" spans="1:3" ht="15" x14ac:dyDescent="0.25">
      <c r="A3204" s="2">
        <v>5103020519</v>
      </c>
      <c r="B3204" s="3" t="s">
        <v>41</v>
      </c>
      <c r="C3204" s="9"/>
    </row>
    <row r="3205" spans="1:3" ht="15" x14ac:dyDescent="0.25">
      <c r="A3205" s="2">
        <v>51030206</v>
      </c>
      <c r="B3205" s="3" t="s">
        <v>42</v>
      </c>
      <c r="C3205" s="9"/>
    </row>
    <row r="3206" spans="1:3" ht="15" x14ac:dyDescent="0.25">
      <c r="A3206" s="2">
        <v>5103020608</v>
      </c>
      <c r="B3206" s="3" t="s">
        <v>69</v>
      </c>
      <c r="C3206" s="9"/>
    </row>
    <row r="3207" spans="1:3" ht="15" x14ac:dyDescent="0.25">
      <c r="A3207" s="2">
        <v>5103020609</v>
      </c>
      <c r="B3207" s="3" t="s">
        <v>70</v>
      </c>
      <c r="C3207" s="9"/>
    </row>
    <row r="3208" spans="1:3" ht="30" x14ac:dyDescent="0.25">
      <c r="A3208" s="2">
        <v>5103020610</v>
      </c>
      <c r="B3208" s="4" t="s">
        <v>71</v>
      </c>
      <c r="C3208" s="11"/>
    </row>
    <row r="3209" spans="1:3" ht="15" x14ac:dyDescent="0.25">
      <c r="A3209" s="2">
        <v>5103020611</v>
      </c>
      <c r="B3209" s="3" t="s">
        <v>72</v>
      </c>
      <c r="C3209" s="9"/>
    </row>
    <row r="3210" spans="1:3" ht="15" x14ac:dyDescent="0.25">
      <c r="A3210" s="2">
        <v>5103020619</v>
      </c>
      <c r="B3210" s="3" t="s">
        <v>41</v>
      </c>
      <c r="C3210" s="9"/>
    </row>
    <row r="3211" spans="1:3" ht="15" x14ac:dyDescent="0.25">
      <c r="A3211" s="2">
        <v>51030207</v>
      </c>
      <c r="B3211" s="3" t="s">
        <v>43</v>
      </c>
      <c r="C3211" s="9"/>
    </row>
    <row r="3212" spans="1:3" ht="15" x14ac:dyDescent="0.25">
      <c r="A3212" s="2">
        <v>5103020708</v>
      </c>
      <c r="B3212" s="3" t="s">
        <v>69</v>
      </c>
      <c r="C3212" s="9"/>
    </row>
    <row r="3213" spans="1:3" ht="15" x14ac:dyDescent="0.25">
      <c r="A3213" s="2">
        <v>5103020709</v>
      </c>
      <c r="B3213" s="3" t="s">
        <v>70</v>
      </c>
      <c r="C3213" s="9"/>
    </row>
    <row r="3214" spans="1:3" ht="30" x14ac:dyDescent="0.25">
      <c r="A3214" s="2">
        <v>5103020710</v>
      </c>
      <c r="B3214" s="4" t="s">
        <v>71</v>
      </c>
      <c r="C3214" s="11"/>
    </row>
    <row r="3215" spans="1:3" ht="15" x14ac:dyDescent="0.25">
      <c r="A3215" s="2">
        <v>5103020711</v>
      </c>
      <c r="B3215" s="3" t="s">
        <v>72</v>
      </c>
      <c r="C3215" s="9"/>
    </row>
    <row r="3216" spans="1:3" ht="15" x14ac:dyDescent="0.25">
      <c r="A3216" s="2">
        <v>5103020712</v>
      </c>
      <c r="B3216" s="3" t="s">
        <v>47</v>
      </c>
      <c r="C3216" s="9"/>
    </row>
    <row r="3217" spans="1:3" ht="15" x14ac:dyDescent="0.25">
      <c r="A3217" s="2">
        <v>5103020714</v>
      </c>
      <c r="B3217" s="3" t="s">
        <v>73</v>
      </c>
      <c r="C3217" s="9"/>
    </row>
    <row r="3218" spans="1:3" ht="15" x14ac:dyDescent="0.25">
      <c r="A3218" s="2">
        <v>5103020715</v>
      </c>
      <c r="B3218" s="3" t="s">
        <v>74</v>
      </c>
      <c r="C3218" s="9"/>
    </row>
    <row r="3219" spans="1:3" ht="15" x14ac:dyDescent="0.25">
      <c r="A3219" s="2">
        <v>5103020719</v>
      </c>
      <c r="B3219" s="3" t="s">
        <v>41</v>
      </c>
      <c r="C3219" s="9"/>
    </row>
    <row r="3220" spans="1:3" ht="30" x14ac:dyDescent="0.25">
      <c r="A3220" s="2">
        <v>51030210</v>
      </c>
      <c r="B3220" s="4" t="s">
        <v>48</v>
      </c>
      <c r="C3220" s="11"/>
    </row>
    <row r="3221" spans="1:3" ht="15" x14ac:dyDescent="0.25">
      <c r="A3221" s="2">
        <v>5103021001</v>
      </c>
      <c r="B3221" s="3" t="s">
        <v>55</v>
      </c>
      <c r="C3221" s="9"/>
    </row>
    <row r="3222" spans="1:3" ht="15" x14ac:dyDescent="0.25">
      <c r="A3222" s="2">
        <v>5103021002</v>
      </c>
      <c r="B3222" s="3" t="s">
        <v>61</v>
      </c>
      <c r="C3222" s="9"/>
    </row>
    <row r="3223" spans="1:3" ht="15" x14ac:dyDescent="0.25">
      <c r="A3223" s="2">
        <v>5103021003</v>
      </c>
      <c r="B3223" s="3" t="s">
        <v>62</v>
      </c>
      <c r="C3223" s="9"/>
    </row>
    <row r="3224" spans="1:3" ht="15" x14ac:dyDescent="0.25">
      <c r="A3224" s="2">
        <v>5103021005</v>
      </c>
      <c r="B3224" s="3" t="s">
        <v>39</v>
      </c>
      <c r="C3224" s="9"/>
    </row>
    <row r="3225" spans="1:3" ht="15" x14ac:dyDescent="0.25">
      <c r="A3225" s="2">
        <v>5103021006</v>
      </c>
      <c r="B3225" s="3" t="s">
        <v>42</v>
      </c>
      <c r="C3225" s="9"/>
    </row>
    <row r="3226" spans="1:3" ht="15" x14ac:dyDescent="0.25">
      <c r="A3226" s="2">
        <v>5103021007</v>
      </c>
      <c r="B3226" s="3" t="s">
        <v>43</v>
      </c>
      <c r="C3226" s="9"/>
    </row>
    <row r="3227" spans="1:3" ht="30" x14ac:dyDescent="0.25">
      <c r="A3227" s="2">
        <v>51030211</v>
      </c>
      <c r="B3227" s="4" t="s">
        <v>50</v>
      </c>
      <c r="C3227" s="11"/>
    </row>
    <row r="3228" spans="1:3" ht="15" x14ac:dyDescent="0.25">
      <c r="A3228" s="2">
        <v>5103021101</v>
      </c>
      <c r="B3228" s="3" t="s">
        <v>55</v>
      </c>
      <c r="C3228" s="9"/>
    </row>
    <row r="3229" spans="1:3" ht="15" x14ac:dyDescent="0.25">
      <c r="A3229" s="2">
        <v>5103021102</v>
      </c>
      <c r="B3229" s="3" t="s">
        <v>61</v>
      </c>
      <c r="C3229" s="9"/>
    </row>
    <row r="3230" spans="1:3" ht="15" x14ac:dyDescent="0.25">
      <c r="A3230" s="2">
        <v>5103021103</v>
      </c>
      <c r="B3230" s="3" t="s">
        <v>62</v>
      </c>
      <c r="C3230" s="9"/>
    </row>
    <row r="3231" spans="1:3" ht="15" x14ac:dyDescent="0.25">
      <c r="A3231" s="2">
        <v>5103021105</v>
      </c>
      <c r="B3231" s="3" t="s">
        <v>39</v>
      </c>
      <c r="C3231" s="9"/>
    </row>
    <row r="3232" spans="1:3" ht="15" x14ac:dyDescent="0.25">
      <c r="A3232" s="2">
        <v>5103021106</v>
      </c>
      <c r="B3232" s="3" t="s">
        <v>42</v>
      </c>
      <c r="C3232" s="9"/>
    </row>
    <row r="3233" spans="1:3" ht="15" x14ac:dyDescent="0.25">
      <c r="A3233" s="2">
        <v>5103021107</v>
      </c>
      <c r="B3233" s="3" t="s">
        <v>43</v>
      </c>
      <c r="C3233" s="9"/>
    </row>
    <row r="3234" spans="1:3" ht="30" x14ac:dyDescent="0.25">
      <c r="A3234" s="2">
        <v>51030212</v>
      </c>
      <c r="B3234" s="4" t="s">
        <v>51</v>
      </c>
      <c r="C3234" s="11"/>
    </row>
    <row r="3235" spans="1:3" ht="15" x14ac:dyDescent="0.25">
      <c r="A3235" s="2">
        <v>5103021201</v>
      </c>
      <c r="B3235" s="3" t="s">
        <v>55</v>
      </c>
      <c r="C3235" s="9"/>
    </row>
    <row r="3236" spans="1:3" ht="15" x14ac:dyDescent="0.25">
      <c r="A3236" s="2">
        <v>5103021202</v>
      </c>
      <c r="B3236" s="3" t="s">
        <v>61</v>
      </c>
      <c r="C3236" s="9"/>
    </row>
    <row r="3237" spans="1:3" ht="15" x14ac:dyDescent="0.25">
      <c r="A3237" s="2">
        <v>5103021203</v>
      </c>
      <c r="B3237" s="3" t="s">
        <v>62</v>
      </c>
      <c r="C3237" s="9"/>
    </row>
    <row r="3238" spans="1:3" ht="15" x14ac:dyDescent="0.25">
      <c r="A3238" s="2">
        <v>5103021205</v>
      </c>
      <c r="B3238" s="3" t="s">
        <v>39</v>
      </c>
      <c r="C3238" s="9"/>
    </row>
    <row r="3239" spans="1:3" ht="15" x14ac:dyDescent="0.25">
      <c r="A3239" s="2">
        <v>5103021206</v>
      </c>
      <c r="B3239" s="3" t="s">
        <v>42</v>
      </c>
      <c r="C3239" s="9"/>
    </row>
    <row r="3240" spans="1:3" ht="15" x14ac:dyDescent="0.25">
      <c r="A3240" s="2">
        <v>5103021207</v>
      </c>
      <c r="B3240" s="3" t="s">
        <v>43</v>
      </c>
      <c r="C3240" s="9"/>
    </row>
    <row r="3241" spans="1:3" ht="15" x14ac:dyDescent="0.25">
      <c r="A3241" s="2">
        <v>51030219</v>
      </c>
      <c r="B3241" s="3" t="s">
        <v>59</v>
      </c>
      <c r="C3241" s="9"/>
    </row>
    <row r="3242" spans="1:3" ht="30" x14ac:dyDescent="0.25">
      <c r="A3242" s="2">
        <v>510303</v>
      </c>
      <c r="B3242" s="4" t="s">
        <v>87</v>
      </c>
      <c r="C3242" s="11"/>
    </row>
    <row r="3243" spans="1:3" ht="15" x14ac:dyDescent="0.25">
      <c r="A3243" s="2">
        <v>51030305</v>
      </c>
      <c r="B3243" s="3" t="s">
        <v>39</v>
      </c>
      <c r="C3243" s="9"/>
    </row>
    <row r="3244" spans="1:3" ht="15" x14ac:dyDescent="0.25">
      <c r="A3244" s="2">
        <v>5103030501</v>
      </c>
      <c r="B3244" s="3" t="s">
        <v>40</v>
      </c>
      <c r="C3244" s="9"/>
    </row>
    <row r="3245" spans="1:3" ht="15" x14ac:dyDescent="0.25">
      <c r="A3245" s="2">
        <v>5103030519</v>
      </c>
      <c r="B3245" s="3" t="s">
        <v>41</v>
      </c>
      <c r="C3245" s="9"/>
    </row>
    <row r="3246" spans="1:3" ht="15" x14ac:dyDescent="0.25">
      <c r="A3246" s="2">
        <v>51030306</v>
      </c>
      <c r="B3246" s="3" t="s">
        <v>42</v>
      </c>
      <c r="C3246" s="9"/>
    </row>
    <row r="3247" spans="1:3" ht="15" x14ac:dyDescent="0.25">
      <c r="A3247" s="2">
        <v>5103030601</v>
      </c>
      <c r="B3247" s="3" t="s">
        <v>40</v>
      </c>
      <c r="C3247" s="9"/>
    </row>
    <row r="3248" spans="1:3" ht="15" x14ac:dyDescent="0.25">
      <c r="A3248" s="2">
        <v>5103030619</v>
      </c>
      <c r="B3248" s="3" t="s">
        <v>41</v>
      </c>
      <c r="C3248" s="9"/>
    </row>
    <row r="3249" spans="1:3" ht="15" x14ac:dyDescent="0.25">
      <c r="A3249" s="2">
        <v>51030307</v>
      </c>
      <c r="B3249" s="3" t="s">
        <v>43</v>
      </c>
      <c r="C3249" s="9"/>
    </row>
    <row r="3250" spans="1:3" ht="15" x14ac:dyDescent="0.25">
      <c r="A3250" s="2">
        <v>5103030701</v>
      </c>
      <c r="B3250" s="3" t="s">
        <v>40</v>
      </c>
      <c r="C3250" s="9"/>
    </row>
    <row r="3251" spans="1:3" ht="15" x14ac:dyDescent="0.25">
      <c r="A3251" s="2">
        <v>5103030702</v>
      </c>
      <c r="B3251" s="3" t="s">
        <v>44</v>
      </c>
      <c r="C3251" s="9"/>
    </row>
    <row r="3252" spans="1:3" ht="15" x14ac:dyDescent="0.25">
      <c r="A3252" s="2">
        <v>5103030705</v>
      </c>
      <c r="B3252" s="3" t="s">
        <v>45</v>
      </c>
      <c r="C3252" s="9"/>
    </row>
    <row r="3253" spans="1:3" ht="15" x14ac:dyDescent="0.25">
      <c r="A3253" s="2">
        <v>5103030706</v>
      </c>
      <c r="B3253" s="3" t="s">
        <v>46</v>
      </c>
      <c r="C3253" s="9"/>
    </row>
    <row r="3254" spans="1:3" ht="15" x14ac:dyDescent="0.25">
      <c r="A3254" s="2">
        <v>5103030712</v>
      </c>
      <c r="B3254" s="3" t="s">
        <v>47</v>
      </c>
      <c r="C3254" s="9"/>
    </row>
    <row r="3255" spans="1:3" ht="15" x14ac:dyDescent="0.25">
      <c r="A3255" s="2">
        <v>5103030719</v>
      </c>
      <c r="B3255" s="3" t="s">
        <v>41</v>
      </c>
      <c r="C3255" s="9"/>
    </row>
    <row r="3256" spans="1:3" ht="30" x14ac:dyDescent="0.25">
      <c r="A3256" s="2">
        <v>51030310</v>
      </c>
      <c r="B3256" s="4" t="s">
        <v>48</v>
      </c>
      <c r="C3256" s="11"/>
    </row>
    <row r="3257" spans="1:3" ht="15" x14ac:dyDescent="0.25">
      <c r="A3257" s="2">
        <v>5103031005</v>
      </c>
      <c r="B3257" s="3" t="s">
        <v>39</v>
      </c>
      <c r="C3257" s="9"/>
    </row>
    <row r="3258" spans="1:3" ht="15" x14ac:dyDescent="0.25">
      <c r="A3258" s="2">
        <v>5103031006</v>
      </c>
      <c r="B3258" s="3" t="s">
        <v>42</v>
      </c>
      <c r="C3258" s="9"/>
    </row>
    <row r="3259" spans="1:3" ht="15" x14ac:dyDescent="0.25">
      <c r="A3259" s="2">
        <v>5103031007</v>
      </c>
      <c r="B3259" s="3" t="s">
        <v>43</v>
      </c>
      <c r="C3259" s="9"/>
    </row>
    <row r="3260" spans="1:3" ht="30" x14ac:dyDescent="0.25">
      <c r="A3260" s="2">
        <v>51030311</v>
      </c>
      <c r="B3260" s="4" t="s">
        <v>50</v>
      </c>
      <c r="C3260" s="11"/>
    </row>
    <row r="3261" spans="1:3" ht="15" x14ac:dyDescent="0.25">
      <c r="A3261" s="2">
        <v>5103031105</v>
      </c>
      <c r="B3261" s="3" t="s">
        <v>39</v>
      </c>
      <c r="C3261" s="9"/>
    </row>
    <row r="3262" spans="1:3" ht="15" x14ac:dyDescent="0.25">
      <c r="A3262" s="2">
        <v>5103031106</v>
      </c>
      <c r="B3262" s="3" t="s">
        <v>42</v>
      </c>
      <c r="C3262" s="9"/>
    </row>
    <row r="3263" spans="1:3" ht="15" x14ac:dyDescent="0.25">
      <c r="A3263" s="2">
        <v>5103031107</v>
      </c>
      <c r="B3263" s="3" t="s">
        <v>43</v>
      </c>
      <c r="C3263" s="9"/>
    </row>
    <row r="3264" spans="1:3" ht="30" x14ac:dyDescent="0.25">
      <c r="A3264" s="2">
        <v>51030312</v>
      </c>
      <c r="B3264" s="4" t="s">
        <v>51</v>
      </c>
      <c r="C3264" s="11"/>
    </row>
    <row r="3265" spans="1:3" ht="15" x14ac:dyDescent="0.25">
      <c r="A3265" s="2">
        <v>5103031205</v>
      </c>
      <c r="B3265" s="3" t="s">
        <v>39</v>
      </c>
      <c r="C3265" s="9"/>
    </row>
    <row r="3266" spans="1:3" ht="15" x14ac:dyDescent="0.25">
      <c r="A3266" s="2">
        <v>5103031206</v>
      </c>
      <c r="B3266" s="3" t="s">
        <v>42</v>
      </c>
      <c r="C3266" s="9"/>
    </row>
    <row r="3267" spans="1:3" ht="15" x14ac:dyDescent="0.25">
      <c r="A3267" s="2">
        <v>5103031207</v>
      </c>
      <c r="B3267" s="3" t="s">
        <v>43</v>
      </c>
      <c r="C3267" s="9"/>
    </row>
    <row r="3268" spans="1:3" ht="15" x14ac:dyDescent="0.25">
      <c r="A3268" s="2">
        <v>51030313</v>
      </c>
      <c r="B3268" s="3" t="s">
        <v>49</v>
      </c>
      <c r="C3268" s="9"/>
    </row>
    <row r="3269" spans="1:3" ht="15" x14ac:dyDescent="0.25">
      <c r="A3269" s="2">
        <v>5103031301</v>
      </c>
      <c r="B3269" s="3" t="s">
        <v>52</v>
      </c>
      <c r="C3269" s="9"/>
    </row>
    <row r="3270" spans="1:3" ht="15" x14ac:dyDescent="0.25">
      <c r="A3270" s="2">
        <v>51030318</v>
      </c>
      <c r="B3270" s="3" t="s">
        <v>78</v>
      </c>
      <c r="C3270" s="9"/>
    </row>
    <row r="3271" spans="1:3" ht="15" x14ac:dyDescent="0.25">
      <c r="A3271" s="2">
        <v>5103031805</v>
      </c>
      <c r="B3271" s="3" t="s">
        <v>39</v>
      </c>
      <c r="C3271" s="9"/>
    </row>
    <row r="3272" spans="1:3" ht="15" x14ac:dyDescent="0.25">
      <c r="A3272" s="2">
        <v>5103031806</v>
      </c>
      <c r="B3272" s="3" t="s">
        <v>42</v>
      </c>
      <c r="C3272" s="9"/>
    </row>
    <row r="3273" spans="1:3" ht="15" x14ac:dyDescent="0.25">
      <c r="A3273" s="2">
        <v>5103031807</v>
      </c>
      <c r="B3273" s="3" t="s">
        <v>43</v>
      </c>
      <c r="C3273" s="9"/>
    </row>
    <row r="3274" spans="1:3" ht="15" x14ac:dyDescent="0.25">
      <c r="A3274" s="2">
        <v>51030319</v>
      </c>
      <c r="B3274" s="3" t="s">
        <v>53</v>
      </c>
      <c r="C3274" s="9"/>
    </row>
    <row r="3275" spans="1:3" ht="30" x14ac:dyDescent="0.25">
      <c r="A3275" s="2">
        <v>510304</v>
      </c>
      <c r="B3275" s="4" t="s">
        <v>879</v>
      </c>
      <c r="C3275" s="11"/>
    </row>
    <row r="3276" spans="1:3" ht="15" x14ac:dyDescent="0.25">
      <c r="A3276" s="2">
        <v>51030401</v>
      </c>
      <c r="B3276" s="3" t="s">
        <v>55</v>
      </c>
      <c r="C3276" s="9"/>
    </row>
    <row r="3277" spans="1:3" ht="15" x14ac:dyDescent="0.25">
      <c r="A3277" s="2">
        <v>5103040101</v>
      </c>
      <c r="B3277" s="3" t="s">
        <v>56</v>
      </c>
      <c r="C3277" s="9"/>
    </row>
    <row r="3278" spans="1:3" ht="15" x14ac:dyDescent="0.25">
      <c r="A3278" s="2">
        <v>5103040109</v>
      </c>
      <c r="B3278" s="3" t="s">
        <v>60</v>
      </c>
      <c r="C3278" s="9"/>
    </row>
    <row r="3279" spans="1:3" ht="15" x14ac:dyDescent="0.25">
      <c r="A3279" s="2">
        <v>51030402</v>
      </c>
      <c r="B3279" s="3" t="s">
        <v>61</v>
      </c>
      <c r="C3279" s="9"/>
    </row>
    <row r="3280" spans="1:3" ht="15" x14ac:dyDescent="0.25">
      <c r="A3280" s="2">
        <v>51030403</v>
      </c>
      <c r="B3280" s="3" t="s">
        <v>62</v>
      </c>
      <c r="C3280" s="9"/>
    </row>
    <row r="3281" spans="1:3" ht="15" x14ac:dyDescent="0.25">
      <c r="A3281" s="2">
        <v>51030405</v>
      </c>
      <c r="B3281" s="3" t="s">
        <v>39</v>
      </c>
      <c r="C3281" s="9"/>
    </row>
    <row r="3282" spans="1:3" ht="15" x14ac:dyDescent="0.25">
      <c r="A3282" s="2">
        <v>5103040503</v>
      </c>
      <c r="B3282" s="3" t="s">
        <v>81</v>
      </c>
      <c r="C3282" s="9"/>
    </row>
    <row r="3283" spans="1:3" ht="15" x14ac:dyDescent="0.25">
      <c r="A3283" s="2">
        <v>5103040505</v>
      </c>
      <c r="B3283" s="3" t="s">
        <v>66</v>
      </c>
      <c r="C3283" s="9"/>
    </row>
    <row r="3284" spans="1:3" ht="15" x14ac:dyDescent="0.25">
      <c r="A3284" s="2">
        <v>5103040506</v>
      </c>
      <c r="B3284" s="3" t="s">
        <v>67</v>
      </c>
      <c r="C3284" s="9"/>
    </row>
    <row r="3285" spans="1:3" ht="15" x14ac:dyDescent="0.25">
      <c r="A3285" s="2">
        <v>5103040507</v>
      </c>
      <c r="B3285" s="3" t="s">
        <v>68</v>
      </c>
      <c r="C3285" s="9"/>
    </row>
    <row r="3286" spans="1:3" ht="15" x14ac:dyDescent="0.25">
      <c r="A3286" s="2">
        <v>5103040508</v>
      </c>
      <c r="B3286" s="3" t="s">
        <v>69</v>
      </c>
      <c r="C3286" s="9"/>
    </row>
    <row r="3287" spans="1:3" ht="15" x14ac:dyDescent="0.25">
      <c r="A3287" s="2">
        <v>5103040509</v>
      </c>
      <c r="B3287" s="3" t="s">
        <v>70</v>
      </c>
      <c r="C3287" s="9"/>
    </row>
    <row r="3288" spans="1:3" ht="30" x14ac:dyDescent="0.25">
      <c r="A3288" s="2">
        <v>5103040510</v>
      </c>
      <c r="B3288" s="4" t="s">
        <v>71</v>
      </c>
      <c r="C3288" s="11"/>
    </row>
    <row r="3289" spans="1:3" ht="15" x14ac:dyDescent="0.25">
      <c r="A3289" s="2">
        <v>5103040511</v>
      </c>
      <c r="B3289" s="3" t="s">
        <v>72</v>
      </c>
      <c r="C3289" s="9"/>
    </row>
    <row r="3290" spans="1:3" ht="15" x14ac:dyDescent="0.25">
      <c r="A3290" s="2">
        <v>5103040519</v>
      </c>
      <c r="B3290" s="3" t="s">
        <v>41</v>
      </c>
      <c r="C3290" s="9"/>
    </row>
    <row r="3291" spans="1:3" ht="15" x14ac:dyDescent="0.25">
      <c r="A3291" s="2">
        <v>51030406</v>
      </c>
      <c r="B3291" s="3" t="s">
        <v>42</v>
      </c>
      <c r="C3291" s="9"/>
    </row>
    <row r="3292" spans="1:3" ht="15" x14ac:dyDescent="0.25">
      <c r="A3292" s="2">
        <v>5103040608</v>
      </c>
      <c r="B3292" s="3" t="s">
        <v>69</v>
      </c>
      <c r="C3292" s="9"/>
    </row>
    <row r="3293" spans="1:3" ht="15" x14ac:dyDescent="0.25">
      <c r="A3293" s="2">
        <v>5103040609</v>
      </c>
      <c r="B3293" s="3" t="s">
        <v>70</v>
      </c>
      <c r="C3293" s="9"/>
    </row>
    <row r="3294" spans="1:3" ht="30" x14ac:dyDescent="0.25">
      <c r="A3294" s="2">
        <v>5103040610</v>
      </c>
      <c r="B3294" s="4" t="s">
        <v>71</v>
      </c>
      <c r="C3294" s="11"/>
    </row>
    <row r="3295" spans="1:3" ht="15" x14ac:dyDescent="0.25">
      <c r="A3295" s="2">
        <v>5103040611</v>
      </c>
      <c r="B3295" s="3" t="s">
        <v>72</v>
      </c>
      <c r="C3295" s="9"/>
    </row>
    <row r="3296" spans="1:3" ht="15" x14ac:dyDescent="0.25">
      <c r="A3296" s="2">
        <v>5103040619</v>
      </c>
      <c r="B3296" s="3" t="s">
        <v>41</v>
      </c>
      <c r="C3296" s="9"/>
    </row>
    <row r="3297" spans="1:3" ht="15" x14ac:dyDescent="0.25">
      <c r="A3297" s="2">
        <v>51030407</v>
      </c>
      <c r="B3297" s="3" t="s">
        <v>43</v>
      </c>
      <c r="C3297" s="9"/>
    </row>
    <row r="3298" spans="1:3" ht="15" x14ac:dyDescent="0.25">
      <c r="A3298" s="2">
        <v>5103040708</v>
      </c>
      <c r="B3298" s="3" t="s">
        <v>69</v>
      </c>
      <c r="C3298" s="9"/>
    </row>
    <row r="3299" spans="1:3" ht="15" x14ac:dyDescent="0.25">
      <c r="A3299" s="2">
        <v>5103040709</v>
      </c>
      <c r="B3299" s="3" t="s">
        <v>70</v>
      </c>
      <c r="C3299" s="9"/>
    </row>
    <row r="3300" spans="1:3" ht="30" x14ac:dyDescent="0.25">
      <c r="A3300" s="2">
        <v>5103040710</v>
      </c>
      <c r="B3300" s="4" t="s">
        <v>71</v>
      </c>
      <c r="C3300" s="11"/>
    </row>
    <row r="3301" spans="1:3" ht="15" x14ac:dyDescent="0.25">
      <c r="A3301" s="2">
        <v>5103040711</v>
      </c>
      <c r="B3301" s="3" t="s">
        <v>72</v>
      </c>
      <c r="C3301" s="9"/>
    </row>
    <row r="3302" spans="1:3" ht="15" x14ac:dyDescent="0.25">
      <c r="A3302" s="2">
        <v>5103040712</v>
      </c>
      <c r="B3302" s="3" t="s">
        <v>47</v>
      </c>
      <c r="C3302" s="9"/>
    </row>
    <row r="3303" spans="1:3" ht="15" x14ac:dyDescent="0.25">
      <c r="A3303" s="2">
        <v>5103040714</v>
      </c>
      <c r="B3303" s="3" t="s">
        <v>73</v>
      </c>
      <c r="C3303" s="9"/>
    </row>
    <row r="3304" spans="1:3" ht="15" x14ac:dyDescent="0.25">
      <c r="A3304" s="2">
        <v>5103040715</v>
      </c>
      <c r="B3304" s="3" t="s">
        <v>74</v>
      </c>
      <c r="C3304" s="9"/>
    </row>
    <row r="3305" spans="1:3" ht="15" x14ac:dyDescent="0.25">
      <c r="A3305" s="2">
        <v>5103040719</v>
      </c>
      <c r="B3305" s="3" t="s">
        <v>41</v>
      </c>
      <c r="C3305" s="9"/>
    </row>
    <row r="3306" spans="1:3" ht="30" x14ac:dyDescent="0.25">
      <c r="A3306" s="2">
        <v>51030410</v>
      </c>
      <c r="B3306" s="4" t="s">
        <v>48</v>
      </c>
      <c r="C3306" s="11"/>
    </row>
    <row r="3307" spans="1:3" ht="15" x14ac:dyDescent="0.25">
      <c r="A3307" s="2">
        <v>5103041001</v>
      </c>
      <c r="B3307" s="3" t="s">
        <v>55</v>
      </c>
      <c r="C3307" s="9"/>
    </row>
    <row r="3308" spans="1:3" ht="15" x14ac:dyDescent="0.25">
      <c r="A3308" s="2">
        <v>5103041002</v>
      </c>
      <c r="B3308" s="3" t="s">
        <v>61</v>
      </c>
      <c r="C3308" s="9"/>
    </row>
    <row r="3309" spans="1:3" ht="15" x14ac:dyDescent="0.25">
      <c r="A3309" s="2">
        <v>5103041003</v>
      </c>
      <c r="B3309" s="3" t="s">
        <v>62</v>
      </c>
      <c r="C3309" s="9"/>
    </row>
    <row r="3310" spans="1:3" ht="15" x14ac:dyDescent="0.25">
      <c r="A3310" s="2">
        <v>5103041005</v>
      </c>
      <c r="B3310" s="3" t="s">
        <v>39</v>
      </c>
      <c r="C3310" s="9"/>
    </row>
    <row r="3311" spans="1:3" ht="15" x14ac:dyDescent="0.25">
      <c r="A3311" s="2">
        <v>5103041006</v>
      </c>
      <c r="B3311" s="3" t="s">
        <v>42</v>
      </c>
      <c r="C3311" s="9"/>
    </row>
    <row r="3312" spans="1:3" ht="15" x14ac:dyDescent="0.25">
      <c r="A3312" s="2">
        <v>5103041007</v>
      </c>
      <c r="B3312" s="3" t="s">
        <v>43</v>
      </c>
      <c r="C3312" s="9"/>
    </row>
    <row r="3313" spans="1:3" ht="30" x14ac:dyDescent="0.25">
      <c r="A3313" s="2">
        <v>51030411</v>
      </c>
      <c r="B3313" s="4" t="s">
        <v>50</v>
      </c>
      <c r="C3313" s="11"/>
    </row>
    <row r="3314" spans="1:3" ht="15" x14ac:dyDescent="0.25">
      <c r="A3314" s="2">
        <v>5103041101</v>
      </c>
      <c r="B3314" s="3" t="s">
        <v>55</v>
      </c>
      <c r="C3314" s="9"/>
    </row>
    <row r="3315" spans="1:3" ht="15" x14ac:dyDescent="0.25">
      <c r="A3315" s="2">
        <v>5103041102</v>
      </c>
      <c r="B3315" s="3" t="s">
        <v>61</v>
      </c>
      <c r="C3315" s="9"/>
    </row>
    <row r="3316" spans="1:3" ht="15" x14ac:dyDescent="0.25">
      <c r="A3316" s="2">
        <v>5103041103</v>
      </c>
      <c r="B3316" s="3" t="s">
        <v>62</v>
      </c>
      <c r="C3316" s="9"/>
    </row>
    <row r="3317" spans="1:3" ht="15" x14ac:dyDescent="0.25">
      <c r="A3317" s="2">
        <v>5103041105</v>
      </c>
      <c r="B3317" s="3" t="s">
        <v>39</v>
      </c>
      <c r="C3317" s="9"/>
    </row>
    <row r="3318" spans="1:3" ht="15" x14ac:dyDescent="0.25">
      <c r="A3318" s="2">
        <v>5103041106</v>
      </c>
      <c r="B3318" s="3" t="s">
        <v>42</v>
      </c>
      <c r="C3318" s="9"/>
    </row>
    <row r="3319" spans="1:3" ht="15" x14ac:dyDescent="0.25">
      <c r="A3319" s="2">
        <v>5103041107</v>
      </c>
      <c r="B3319" s="3" t="s">
        <v>43</v>
      </c>
      <c r="C3319" s="9"/>
    </row>
    <row r="3320" spans="1:3" ht="30" x14ac:dyDescent="0.25">
      <c r="A3320" s="2">
        <v>51030412</v>
      </c>
      <c r="B3320" s="4" t="s">
        <v>51</v>
      </c>
      <c r="C3320" s="11"/>
    </row>
    <row r="3321" spans="1:3" ht="15" x14ac:dyDescent="0.25">
      <c r="A3321" s="2">
        <v>5103041201</v>
      </c>
      <c r="B3321" s="3" t="s">
        <v>55</v>
      </c>
      <c r="C3321" s="9"/>
    </row>
    <row r="3322" spans="1:3" ht="15" x14ac:dyDescent="0.25">
      <c r="A3322" s="2">
        <v>5103041202</v>
      </c>
      <c r="B3322" s="3" t="s">
        <v>61</v>
      </c>
      <c r="C3322" s="9"/>
    </row>
    <row r="3323" spans="1:3" ht="15" x14ac:dyDescent="0.25">
      <c r="A3323" s="2">
        <v>5103041203</v>
      </c>
      <c r="B3323" s="3" t="s">
        <v>62</v>
      </c>
      <c r="C3323" s="9"/>
    </row>
    <row r="3324" spans="1:3" ht="15" x14ac:dyDescent="0.25">
      <c r="A3324" s="2">
        <v>5103041205</v>
      </c>
      <c r="B3324" s="3" t="s">
        <v>39</v>
      </c>
      <c r="C3324" s="9"/>
    </row>
    <row r="3325" spans="1:3" ht="15" x14ac:dyDescent="0.25">
      <c r="A3325" s="2">
        <v>5103041206</v>
      </c>
      <c r="B3325" s="3" t="s">
        <v>42</v>
      </c>
      <c r="C3325" s="9"/>
    </row>
    <row r="3326" spans="1:3" ht="15" x14ac:dyDescent="0.25">
      <c r="A3326" s="2">
        <v>5103041207</v>
      </c>
      <c r="B3326" s="3" t="s">
        <v>43</v>
      </c>
      <c r="C3326" s="9"/>
    </row>
    <row r="3327" spans="1:3" ht="15" x14ac:dyDescent="0.25">
      <c r="A3327" s="2">
        <v>51030418</v>
      </c>
      <c r="B3327" s="3" t="s">
        <v>78</v>
      </c>
      <c r="C3327" s="9"/>
    </row>
    <row r="3328" spans="1:3" ht="15" x14ac:dyDescent="0.25">
      <c r="A3328" s="2">
        <v>5103041801</v>
      </c>
      <c r="B3328" s="3" t="s">
        <v>55</v>
      </c>
      <c r="C3328" s="9"/>
    </row>
    <row r="3329" spans="1:3" ht="15" x14ac:dyDescent="0.25">
      <c r="A3329" s="2">
        <v>5103041802</v>
      </c>
      <c r="B3329" s="3" t="s">
        <v>61</v>
      </c>
      <c r="C3329" s="9"/>
    </row>
    <row r="3330" spans="1:3" ht="15" x14ac:dyDescent="0.25">
      <c r="A3330" s="2">
        <v>5103041803</v>
      </c>
      <c r="B3330" s="3" t="s">
        <v>62</v>
      </c>
      <c r="C3330" s="9"/>
    </row>
    <row r="3331" spans="1:3" ht="15" x14ac:dyDescent="0.25">
      <c r="A3331" s="2">
        <v>5103041805</v>
      </c>
      <c r="B3331" s="3" t="s">
        <v>39</v>
      </c>
      <c r="C3331" s="9"/>
    </row>
    <row r="3332" spans="1:3" ht="15" x14ac:dyDescent="0.25">
      <c r="A3332" s="2">
        <v>5103041806</v>
      </c>
      <c r="B3332" s="3" t="s">
        <v>42</v>
      </c>
      <c r="C3332" s="9"/>
    </row>
    <row r="3333" spans="1:3" ht="15" x14ac:dyDescent="0.25">
      <c r="A3333" s="2">
        <v>5103041807</v>
      </c>
      <c r="B3333" s="3" t="s">
        <v>43</v>
      </c>
      <c r="C3333" s="9"/>
    </row>
    <row r="3334" spans="1:3" ht="15" x14ac:dyDescent="0.25">
      <c r="A3334" s="2">
        <v>51030419</v>
      </c>
      <c r="B3334" s="3" t="s">
        <v>59</v>
      </c>
      <c r="C3334" s="9"/>
    </row>
    <row r="3335" spans="1:3" ht="15" x14ac:dyDescent="0.25">
      <c r="A3335" s="2">
        <v>510305</v>
      </c>
      <c r="B3335" s="3" t="s">
        <v>91</v>
      </c>
      <c r="C3335" s="9"/>
    </row>
    <row r="3336" spans="1:3" ht="15" x14ac:dyDescent="0.25">
      <c r="A3336" s="2">
        <v>51030501</v>
      </c>
      <c r="B3336" s="3" t="s">
        <v>55</v>
      </c>
      <c r="C3336" s="9"/>
    </row>
    <row r="3337" spans="1:3" ht="15" x14ac:dyDescent="0.25">
      <c r="A3337" s="2">
        <v>5103050101</v>
      </c>
      <c r="B3337" s="3" t="s">
        <v>56</v>
      </c>
      <c r="C3337" s="9"/>
    </row>
    <row r="3338" spans="1:3" ht="15" x14ac:dyDescent="0.25">
      <c r="A3338" s="2">
        <v>5103050109</v>
      </c>
      <c r="B3338" s="3" t="s">
        <v>60</v>
      </c>
      <c r="C3338" s="9"/>
    </row>
    <row r="3339" spans="1:3" ht="15" x14ac:dyDescent="0.25">
      <c r="A3339" s="2">
        <v>51030502</v>
      </c>
      <c r="B3339" s="3" t="s">
        <v>61</v>
      </c>
      <c r="C3339" s="9"/>
    </row>
    <row r="3340" spans="1:3" ht="15" x14ac:dyDescent="0.25">
      <c r="A3340" s="2">
        <v>51030503</v>
      </c>
      <c r="B3340" s="3" t="s">
        <v>62</v>
      </c>
      <c r="C3340" s="9"/>
    </row>
    <row r="3341" spans="1:3" ht="15" x14ac:dyDescent="0.25">
      <c r="A3341" s="2">
        <v>51030505</v>
      </c>
      <c r="B3341" s="3" t="s">
        <v>39</v>
      </c>
      <c r="C3341" s="9"/>
    </row>
    <row r="3342" spans="1:3" ht="15" x14ac:dyDescent="0.25">
      <c r="A3342" s="2">
        <v>5103050503</v>
      </c>
      <c r="B3342" s="3" t="s">
        <v>83</v>
      </c>
      <c r="C3342" s="9"/>
    </row>
    <row r="3343" spans="1:3" ht="15" x14ac:dyDescent="0.25">
      <c r="A3343" s="2">
        <v>5103050505</v>
      </c>
      <c r="B3343" s="3" t="s">
        <v>66</v>
      </c>
      <c r="C3343" s="9"/>
    </row>
    <row r="3344" spans="1:3" ht="15" x14ac:dyDescent="0.25">
      <c r="A3344" s="2">
        <v>5103050506</v>
      </c>
      <c r="B3344" s="3" t="s">
        <v>67</v>
      </c>
      <c r="C3344" s="9"/>
    </row>
    <row r="3345" spans="1:3" ht="15" x14ac:dyDescent="0.25">
      <c r="A3345" s="2">
        <v>5103050507</v>
      </c>
      <c r="B3345" s="3" t="s">
        <v>68</v>
      </c>
      <c r="C3345" s="9"/>
    </row>
    <row r="3346" spans="1:3" ht="15" x14ac:dyDescent="0.25">
      <c r="A3346" s="2">
        <v>5103050508</v>
      </c>
      <c r="B3346" s="3" t="s">
        <v>69</v>
      </c>
      <c r="C3346" s="9"/>
    </row>
    <row r="3347" spans="1:3" ht="15" x14ac:dyDescent="0.25">
      <c r="A3347" s="2">
        <v>5103050509</v>
      </c>
      <c r="B3347" s="3" t="s">
        <v>70</v>
      </c>
      <c r="C3347" s="9"/>
    </row>
    <row r="3348" spans="1:3" ht="30" x14ac:dyDescent="0.25">
      <c r="A3348" s="2">
        <v>5103050510</v>
      </c>
      <c r="B3348" s="4" t="s">
        <v>71</v>
      </c>
      <c r="C3348" s="11"/>
    </row>
    <row r="3349" spans="1:3" ht="15" x14ac:dyDescent="0.25">
      <c r="A3349" s="2">
        <v>5103050511</v>
      </c>
      <c r="B3349" s="3" t="s">
        <v>72</v>
      </c>
      <c r="C3349" s="9"/>
    </row>
    <row r="3350" spans="1:3" ht="15" x14ac:dyDescent="0.25">
      <c r="A3350" s="2">
        <v>5103050519</v>
      </c>
      <c r="B3350" s="3" t="s">
        <v>41</v>
      </c>
      <c r="C3350" s="9"/>
    </row>
    <row r="3351" spans="1:3" ht="15" x14ac:dyDescent="0.25">
      <c r="A3351" s="2">
        <v>51030506</v>
      </c>
      <c r="B3351" s="3" t="s">
        <v>42</v>
      </c>
      <c r="C3351" s="9"/>
    </row>
    <row r="3352" spans="1:3" ht="15" x14ac:dyDescent="0.25">
      <c r="A3352" s="2">
        <v>5103050608</v>
      </c>
      <c r="B3352" s="3" t="s">
        <v>69</v>
      </c>
      <c r="C3352" s="9"/>
    </row>
    <row r="3353" spans="1:3" ht="15" x14ac:dyDescent="0.25">
      <c r="A3353" s="2">
        <v>5103050609</v>
      </c>
      <c r="B3353" s="3" t="s">
        <v>70</v>
      </c>
      <c r="C3353" s="9"/>
    </row>
    <row r="3354" spans="1:3" ht="30" x14ac:dyDescent="0.25">
      <c r="A3354" s="2">
        <v>5103050610</v>
      </c>
      <c r="B3354" s="4" t="s">
        <v>71</v>
      </c>
      <c r="C3354" s="11"/>
    </row>
    <row r="3355" spans="1:3" ht="15" x14ac:dyDescent="0.25">
      <c r="A3355" s="2">
        <v>5103050611</v>
      </c>
      <c r="B3355" s="3" t="s">
        <v>72</v>
      </c>
      <c r="C3355" s="9"/>
    </row>
    <row r="3356" spans="1:3" ht="15" x14ac:dyDescent="0.25">
      <c r="A3356" s="2">
        <v>5103050619</v>
      </c>
      <c r="B3356" s="3" t="s">
        <v>41</v>
      </c>
      <c r="C3356" s="9"/>
    </row>
    <row r="3357" spans="1:3" ht="15" x14ac:dyDescent="0.25">
      <c r="A3357" s="2">
        <v>51030507</v>
      </c>
      <c r="B3357" s="3" t="s">
        <v>43</v>
      </c>
      <c r="C3357" s="9"/>
    </row>
    <row r="3358" spans="1:3" ht="15" x14ac:dyDescent="0.25">
      <c r="A3358" s="2">
        <v>5103050708</v>
      </c>
      <c r="B3358" s="3" t="s">
        <v>69</v>
      </c>
      <c r="C3358" s="9"/>
    </row>
    <row r="3359" spans="1:3" ht="15" x14ac:dyDescent="0.25">
      <c r="A3359" s="2">
        <v>5103050709</v>
      </c>
      <c r="B3359" s="3" t="s">
        <v>70</v>
      </c>
      <c r="C3359" s="9"/>
    </row>
    <row r="3360" spans="1:3" ht="30" x14ac:dyDescent="0.25">
      <c r="A3360" s="2">
        <v>5103050710</v>
      </c>
      <c r="B3360" s="4" t="s">
        <v>71</v>
      </c>
      <c r="C3360" s="11"/>
    </row>
    <row r="3361" spans="1:3" ht="15" x14ac:dyDescent="0.25">
      <c r="A3361" s="2">
        <v>5103050711</v>
      </c>
      <c r="B3361" s="3" t="s">
        <v>72</v>
      </c>
      <c r="C3361" s="9"/>
    </row>
    <row r="3362" spans="1:3" ht="15" x14ac:dyDescent="0.25">
      <c r="A3362" s="2">
        <v>5103050712</v>
      </c>
      <c r="B3362" s="3" t="s">
        <v>47</v>
      </c>
      <c r="C3362" s="9"/>
    </row>
    <row r="3363" spans="1:3" ht="15" x14ac:dyDescent="0.25">
      <c r="A3363" s="2">
        <v>5103050719</v>
      </c>
      <c r="B3363" s="3" t="s">
        <v>41</v>
      </c>
      <c r="C3363" s="9"/>
    </row>
    <row r="3364" spans="1:3" ht="30" x14ac:dyDescent="0.25">
      <c r="A3364" s="2">
        <v>51030510</v>
      </c>
      <c r="B3364" s="4" t="s">
        <v>48</v>
      </c>
      <c r="C3364" s="11"/>
    </row>
    <row r="3365" spans="1:3" ht="15" x14ac:dyDescent="0.25">
      <c r="A3365" s="2">
        <v>5103051001</v>
      </c>
      <c r="B3365" s="3" t="s">
        <v>55</v>
      </c>
      <c r="C3365" s="9"/>
    </row>
    <row r="3366" spans="1:3" ht="15" x14ac:dyDescent="0.25">
      <c r="A3366" s="2">
        <v>5103051002</v>
      </c>
      <c r="B3366" s="3" t="s">
        <v>61</v>
      </c>
      <c r="C3366" s="9"/>
    </row>
    <row r="3367" spans="1:3" ht="15" x14ac:dyDescent="0.25">
      <c r="A3367" s="2">
        <v>5103051003</v>
      </c>
      <c r="B3367" s="3" t="s">
        <v>62</v>
      </c>
      <c r="C3367" s="9"/>
    </row>
    <row r="3368" spans="1:3" ht="15" x14ac:dyDescent="0.25">
      <c r="A3368" s="2">
        <v>5103051005</v>
      </c>
      <c r="B3368" s="3" t="s">
        <v>39</v>
      </c>
      <c r="C3368" s="9"/>
    </row>
    <row r="3369" spans="1:3" ht="15" x14ac:dyDescent="0.25">
      <c r="A3369" s="2">
        <v>5103051006</v>
      </c>
      <c r="B3369" s="3" t="s">
        <v>42</v>
      </c>
      <c r="C3369" s="9"/>
    </row>
    <row r="3370" spans="1:3" ht="15" x14ac:dyDescent="0.25">
      <c r="A3370" s="2">
        <v>5103051007</v>
      </c>
      <c r="B3370" s="3" t="s">
        <v>43</v>
      </c>
      <c r="C3370" s="9"/>
    </row>
    <row r="3371" spans="1:3" ht="30" x14ac:dyDescent="0.25">
      <c r="A3371" s="2">
        <v>51030511</v>
      </c>
      <c r="B3371" s="4" t="s">
        <v>50</v>
      </c>
      <c r="C3371" s="11"/>
    </row>
    <row r="3372" spans="1:3" ht="15" x14ac:dyDescent="0.25">
      <c r="A3372" s="2">
        <v>5103051101</v>
      </c>
      <c r="B3372" s="3" t="s">
        <v>55</v>
      </c>
      <c r="C3372" s="9"/>
    </row>
    <row r="3373" spans="1:3" ht="15" x14ac:dyDescent="0.25">
      <c r="A3373" s="2">
        <v>5103051102</v>
      </c>
      <c r="B3373" s="3" t="s">
        <v>61</v>
      </c>
      <c r="C3373" s="9"/>
    </row>
    <row r="3374" spans="1:3" ht="15" x14ac:dyDescent="0.25">
      <c r="A3374" s="2">
        <v>5103051103</v>
      </c>
      <c r="B3374" s="3" t="s">
        <v>62</v>
      </c>
      <c r="C3374" s="9"/>
    </row>
    <row r="3375" spans="1:3" ht="15" x14ac:dyDescent="0.25">
      <c r="A3375" s="2">
        <v>5103051105</v>
      </c>
      <c r="B3375" s="3" t="s">
        <v>39</v>
      </c>
      <c r="C3375" s="9"/>
    </row>
    <row r="3376" spans="1:3" ht="15" x14ac:dyDescent="0.25">
      <c r="A3376" s="2">
        <v>5103051106</v>
      </c>
      <c r="B3376" s="3" t="s">
        <v>42</v>
      </c>
      <c r="C3376" s="9"/>
    </row>
    <row r="3377" spans="1:3" ht="15" x14ac:dyDescent="0.25">
      <c r="A3377" s="2">
        <v>5103051107</v>
      </c>
      <c r="B3377" s="3" t="s">
        <v>43</v>
      </c>
      <c r="C3377" s="9"/>
    </row>
    <row r="3378" spans="1:3" ht="30" x14ac:dyDescent="0.25">
      <c r="A3378" s="2">
        <v>51030512</v>
      </c>
      <c r="B3378" s="4" t="s">
        <v>51</v>
      </c>
      <c r="C3378" s="11"/>
    </row>
    <row r="3379" spans="1:3" ht="15" x14ac:dyDescent="0.25">
      <c r="A3379" s="2">
        <v>5103051201</v>
      </c>
      <c r="B3379" s="3" t="s">
        <v>55</v>
      </c>
      <c r="C3379" s="9"/>
    </row>
    <row r="3380" spans="1:3" ht="15" x14ac:dyDescent="0.25">
      <c r="A3380" s="2">
        <v>5103051202</v>
      </c>
      <c r="B3380" s="3" t="s">
        <v>61</v>
      </c>
      <c r="C3380" s="9"/>
    </row>
    <row r="3381" spans="1:3" ht="15" x14ac:dyDescent="0.25">
      <c r="A3381" s="2">
        <v>5103051203</v>
      </c>
      <c r="B3381" s="3" t="s">
        <v>62</v>
      </c>
      <c r="C3381" s="9"/>
    </row>
    <row r="3382" spans="1:3" ht="15" x14ac:dyDescent="0.25">
      <c r="A3382" s="2">
        <v>5103051205</v>
      </c>
      <c r="B3382" s="3" t="s">
        <v>39</v>
      </c>
      <c r="C3382" s="9"/>
    </row>
    <row r="3383" spans="1:3" ht="15" x14ac:dyDescent="0.25">
      <c r="A3383" s="2">
        <v>5103051206</v>
      </c>
      <c r="B3383" s="3" t="s">
        <v>42</v>
      </c>
      <c r="C3383" s="9"/>
    </row>
    <row r="3384" spans="1:3" ht="15" x14ac:dyDescent="0.25">
      <c r="A3384" s="2">
        <v>5103051207</v>
      </c>
      <c r="B3384" s="3" t="s">
        <v>43</v>
      </c>
      <c r="C3384" s="9"/>
    </row>
    <row r="3385" spans="1:3" ht="15" x14ac:dyDescent="0.25">
      <c r="A3385" s="2">
        <v>51030518</v>
      </c>
      <c r="B3385" s="3" t="s">
        <v>78</v>
      </c>
      <c r="C3385" s="9"/>
    </row>
    <row r="3386" spans="1:3" ht="15" x14ac:dyDescent="0.25">
      <c r="A3386" s="2">
        <v>5103051801</v>
      </c>
      <c r="B3386" s="3" t="s">
        <v>55</v>
      </c>
      <c r="C3386" s="9"/>
    </row>
    <row r="3387" spans="1:3" ht="15" x14ac:dyDescent="0.25">
      <c r="A3387" s="2">
        <v>5103051802</v>
      </c>
      <c r="B3387" s="3" t="s">
        <v>61</v>
      </c>
      <c r="C3387" s="9"/>
    </row>
    <row r="3388" spans="1:3" ht="15" x14ac:dyDescent="0.25">
      <c r="A3388" s="2">
        <v>5103051803</v>
      </c>
      <c r="B3388" s="3" t="s">
        <v>62</v>
      </c>
      <c r="C3388" s="9"/>
    </row>
    <row r="3389" spans="1:3" ht="15" x14ac:dyDescent="0.25">
      <c r="A3389" s="2">
        <v>5103051805</v>
      </c>
      <c r="B3389" s="3" t="s">
        <v>39</v>
      </c>
      <c r="C3389" s="9"/>
    </row>
    <row r="3390" spans="1:3" ht="15" x14ac:dyDescent="0.25">
      <c r="A3390" s="2">
        <v>5103051806</v>
      </c>
      <c r="B3390" s="3" t="s">
        <v>42</v>
      </c>
      <c r="C3390" s="9"/>
    </row>
    <row r="3391" spans="1:3" ht="15" x14ac:dyDescent="0.25">
      <c r="A3391" s="2">
        <v>5103051807</v>
      </c>
      <c r="B3391" s="3" t="s">
        <v>43</v>
      </c>
      <c r="C3391" s="9"/>
    </row>
    <row r="3392" spans="1:3" ht="15" x14ac:dyDescent="0.25">
      <c r="A3392" s="2">
        <v>51030519</v>
      </c>
      <c r="B3392" s="3" t="s">
        <v>59</v>
      </c>
      <c r="C3392" s="9"/>
    </row>
    <row r="3393" spans="1:3" ht="15" x14ac:dyDescent="0.25">
      <c r="A3393" s="2">
        <v>510306</v>
      </c>
      <c r="B3393" s="3" t="s">
        <v>881</v>
      </c>
      <c r="C3393" s="9"/>
    </row>
    <row r="3394" spans="1:3" ht="15" x14ac:dyDescent="0.25">
      <c r="A3394" s="2">
        <v>5104</v>
      </c>
      <c r="B3394" s="3" t="s">
        <v>882</v>
      </c>
      <c r="C3394" s="9"/>
    </row>
    <row r="3395" spans="1:3" ht="15" x14ac:dyDescent="0.25">
      <c r="A3395" s="2">
        <v>510401</v>
      </c>
      <c r="B3395" s="3" t="s">
        <v>883</v>
      </c>
      <c r="C3395" s="9"/>
    </row>
    <row r="3396" spans="1:3" ht="15" x14ac:dyDescent="0.25">
      <c r="A3396" s="2">
        <v>51040102</v>
      </c>
      <c r="B3396" s="3" t="s">
        <v>884</v>
      </c>
      <c r="C3396" s="9"/>
    </row>
    <row r="3397" spans="1:3" ht="13.8" x14ac:dyDescent="0.25">
      <c r="A3397" s="5">
        <v>5104010201</v>
      </c>
      <c r="B3397" s="6" t="s">
        <v>95</v>
      </c>
      <c r="C3397" s="12"/>
    </row>
    <row r="3398" spans="1:3" ht="13.8" x14ac:dyDescent="0.25">
      <c r="A3398" s="5">
        <v>5104010202</v>
      </c>
      <c r="B3398" s="6" t="s">
        <v>96</v>
      </c>
      <c r="C3398" s="12"/>
    </row>
    <row r="3399" spans="1:3" ht="15" x14ac:dyDescent="0.25">
      <c r="A3399" s="2">
        <v>5104010203</v>
      </c>
      <c r="B3399" s="3" t="s">
        <v>97</v>
      </c>
      <c r="C3399" s="9"/>
    </row>
    <row r="3400" spans="1:3" ht="15" x14ac:dyDescent="0.25">
      <c r="A3400" s="2">
        <v>5104010204</v>
      </c>
      <c r="B3400" s="3" t="s">
        <v>101</v>
      </c>
      <c r="C3400" s="9"/>
    </row>
    <row r="3401" spans="1:3" ht="15" x14ac:dyDescent="0.25">
      <c r="A3401" s="2">
        <v>5104010205</v>
      </c>
      <c r="B3401" s="3" t="s">
        <v>106</v>
      </c>
      <c r="C3401" s="9"/>
    </row>
    <row r="3402" spans="1:3" ht="15" x14ac:dyDescent="0.25">
      <c r="A3402" s="2">
        <v>5104010206</v>
      </c>
      <c r="B3402" s="3" t="s">
        <v>111</v>
      </c>
      <c r="C3402" s="9"/>
    </row>
    <row r="3403" spans="1:3" ht="15" x14ac:dyDescent="0.25">
      <c r="A3403" s="2">
        <v>5104010207</v>
      </c>
      <c r="B3403" s="3" t="s">
        <v>112</v>
      </c>
      <c r="C3403" s="9"/>
    </row>
    <row r="3404" spans="1:3" ht="15" x14ac:dyDescent="0.25">
      <c r="A3404" s="2">
        <v>5104010211</v>
      </c>
      <c r="B3404" s="3" t="s">
        <v>113</v>
      </c>
      <c r="C3404" s="9"/>
    </row>
    <row r="3405" spans="1:3" ht="15" x14ac:dyDescent="0.25">
      <c r="A3405" s="2">
        <v>5104010212</v>
      </c>
      <c r="B3405" s="3" t="s">
        <v>114</v>
      </c>
      <c r="C3405" s="9"/>
    </row>
    <row r="3406" spans="1:3" ht="15" x14ac:dyDescent="0.25">
      <c r="A3406" s="2">
        <v>5104010221</v>
      </c>
      <c r="B3406" s="3" t="s">
        <v>115</v>
      </c>
      <c r="C3406" s="9"/>
    </row>
    <row r="3407" spans="1:3" ht="15" x14ac:dyDescent="0.25">
      <c r="A3407" s="2">
        <v>5104010227</v>
      </c>
      <c r="B3407" s="3" t="s">
        <v>166</v>
      </c>
      <c r="C3407" s="9"/>
    </row>
    <row r="3408" spans="1:3" ht="15" x14ac:dyDescent="0.25">
      <c r="A3408" s="2">
        <v>5104010299</v>
      </c>
      <c r="B3408" s="3" t="s">
        <v>117</v>
      </c>
      <c r="C3408" s="9"/>
    </row>
    <row r="3409" spans="1:3" ht="15" x14ac:dyDescent="0.25">
      <c r="A3409" s="2">
        <v>51040103</v>
      </c>
      <c r="B3409" s="3" t="s">
        <v>885</v>
      </c>
      <c r="C3409" s="9"/>
    </row>
    <row r="3410" spans="1:3" ht="13.8" x14ac:dyDescent="0.25">
      <c r="A3410" s="5">
        <v>5104010301</v>
      </c>
      <c r="B3410" s="6" t="s">
        <v>95</v>
      </c>
      <c r="C3410" s="12"/>
    </row>
    <row r="3411" spans="1:3" ht="13.8" x14ac:dyDescent="0.25">
      <c r="A3411" s="5">
        <v>5104010302</v>
      </c>
      <c r="B3411" s="6" t="s">
        <v>96</v>
      </c>
      <c r="C3411" s="12"/>
    </row>
    <row r="3412" spans="1:3" ht="15" x14ac:dyDescent="0.25">
      <c r="A3412" s="2">
        <v>5104010303</v>
      </c>
      <c r="B3412" s="3" t="s">
        <v>97</v>
      </c>
      <c r="C3412" s="9"/>
    </row>
    <row r="3413" spans="1:3" s="15" customFormat="1" ht="15" x14ac:dyDescent="0.25">
      <c r="A3413" s="18" t="s">
        <v>2076</v>
      </c>
      <c r="B3413" s="19" t="s">
        <v>2077</v>
      </c>
      <c r="C3413" s="20">
        <v>-1582912.03</v>
      </c>
    </row>
    <row r="3414" spans="1:3" ht="15" x14ac:dyDescent="0.25">
      <c r="A3414" s="2">
        <v>5104010307</v>
      </c>
      <c r="B3414" s="3" t="s">
        <v>112</v>
      </c>
      <c r="C3414" s="9"/>
    </row>
    <row r="3415" spans="1:3" ht="15" x14ac:dyDescent="0.25">
      <c r="A3415" s="2">
        <v>5104010311</v>
      </c>
      <c r="B3415" s="3" t="s">
        <v>113</v>
      </c>
      <c r="C3415" s="9"/>
    </row>
    <row r="3416" spans="1:3" ht="15" x14ac:dyDescent="0.25">
      <c r="A3416" s="2">
        <v>5104010312</v>
      </c>
      <c r="B3416" s="3" t="s">
        <v>114</v>
      </c>
      <c r="C3416" s="9"/>
    </row>
    <row r="3417" spans="1:3" ht="15" x14ac:dyDescent="0.25">
      <c r="A3417" s="2">
        <v>5104010313</v>
      </c>
      <c r="B3417" s="3" t="s">
        <v>129</v>
      </c>
      <c r="C3417" s="9"/>
    </row>
    <row r="3418" spans="1:3" ht="15" x14ac:dyDescent="0.25">
      <c r="A3418" s="2">
        <v>5104010399</v>
      </c>
      <c r="B3418" s="3" t="s">
        <v>117</v>
      </c>
      <c r="C3418" s="9"/>
    </row>
    <row r="3419" spans="1:3" ht="15" x14ac:dyDescent="0.25">
      <c r="A3419" s="2">
        <v>51040104</v>
      </c>
      <c r="B3419" s="3" t="s">
        <v>886</v>
      </c>
      <c r="C3419" s="9"/>
    </row>
    <row r="3420" spans="1:3" ht="15" x14ac:dyDescent="0.25">
      <c r="A3420" s="2">
        <v>5104010406</v>
      </c>
      <c r="B3420" s="3" t="s">
        <v>131</v>
      </c>
      <c r="C3420" s="9"/>
    </row>
    <row r="3421" spans="1:3" ht="15" x14ac:dyDescent="0.25">
      <c r="A3421" s="2">
        <v>5104010423</v>
      </c>
      <c r="B3421" s="3" t="s">
        <v>887</v>
      </c>
      <c r="C3421" s="9"/>
    </row>
    <row r="3422" spans="1:3" ht="30" x14ac:dyDescent="0.25">
      <c r="A3422" s="2">
        <v>5104010424</v>
      </c>
      <c r="B3422" s="4" t="s">
        <v>135</v>
      </c>
      <c r="C3422" s="11"/>
    </row>
    <row r="3423" spans="1:3" ht="30" x14ac:dyDescent="0.25">
      <c r="A3423" s="2">
        <v>5104010425</v>
      </c>
      <c r="B3423" s="4" t="s">
        <v>136</v>
      </c>
      <c r="C3423" s="11"/>
    </row>
    <row r="3424" spans="1:3" ht="15" x14ac:dyDescent="0.25">
      <c r="A3424" s="2">
        <v>5104010428</v>
      </c>
      <c r="B3424" s="3" t="s">
        <v>137</v>
      </c>
      <c r="C3424" s="9"/>
    </row>
    <row r="3425" spans="1:3" ht="15" x14ac:dyDescent="0.25">
      <c r="A3425" s="2">
        <v>5104010499</v>
      </c>
      <c r="B3425" s="3" t="s">
        <v>117</v>
      </c>
      <c r="C3425" s="9"/>
    </row>
    <row r="3426" spans="1:3" ht="13.8" x14ac:dyDescent="0.25">
      <c r="A3426" s="5">
        <v>51040107</v>
      </c>
      <c r="B3426" s="6" t="s">
        <v>888</v>
      </c>
      <c r="C3426" s="12"/>
    </row>
    <row r="3427" spans="1:3" ht="13.8" x14ac:dyDescent="0.25">
      <c r="A3427" s="5">
        <v>5104010701</v>
      </c>
      <c r="B3427" s="6" t="s">
        <v>95</v>
      </c>
      <c r="C3427" s="12"/>
    </row>
    <row r="3428" spans="1:3" ht="13.8" x14ac:dyDescent="0.25">
      <c r="A3428" s="5">
        <v>5104010702</v>
      </c>
      <c r="B3428" s="6" t="s">
        <v>96</v>
      </c>
      <c r="C3428" s="12"/>
    </row>
    <row r="3429" spans="1:3" ht="13.8" x14ac:dyDescent="0.25">
      <c r="A3429" s="5">
        <v>5104010703</v>
      </c>
      <c r="B3429" s="6" t="s">
        <v>139</v>
      </c>
      <c r="C3429" s="12"/>
    </row>
    <row r="3430" spans="1:3" ht="13.8" x14ac:dyDescent="0.25">
      <c r="A3430" s="5">
        <v>5104010704</v>
      </c>
      <c r="B3430" s="6" t="s">
        <v>140</v>
      </c>
      <c r="C3430" s="12"/>
    </row>
    <row r="3431" spans="1:3" ht="13.8" x14ac:dyDescent="0.25">
      <c r="A3431" s="5">
        <v>5104010705</v>
      </c>
      <c r="B3431" s="6" t="s">
        <v>145</v>
      </c>
      <c r="C3431" s="12"/>
    </row>
    <row r="3432" spans="1:3" ht="13.8" x14ac:dyDescent="0.25">
      <c r="A3432" s="5">
        <v>5104010706</v>
      </c>
      <c r="B3432" s="6" t="s">
        <v>150</v>
      </c>
      <c r="C3432" s="12"/>
    </row>
    <row r="3433" spans="1:3" ht="13.8" x14ac:dyDescent="0.25">
      <c r="A3433" s="5">
        <v>5104010707</v>
      </c>
      <c r="B3433" s="6" t="s">
        <v>151</v>
      </c>
      <c r="C3433" s="12"/>
    </row>
    <row r="3434" spans="1:3" ht="13.8" x14ac:dyDescent="0.25">
      <c r="A3434" s="5">
        <v>5104010711</v>
      </c>
      <c r="B3434" s="6" t="s">
        <v>152</v>
      </c>
      <c r="C3434" s="12"/>
    </row>
    <row r="3435" spans="1:3" ht="13.8" x14ac:dyDescent="0.25">
      <c r="A3435" s="5">
        <v>5104010712</v>
      </c>
      <c r="B3435" s="6" t="s">
        <v>153</v>
      </c>
      <c r="C3435" s="12"/>
    </row>
    <row r="3436" spans="1:3" ht="13.8" x14ac:dyDescent="0.25">
      <c r="A3436" s="5">
        <v>5104010721</v>
      </c>
      <c r="B3436" s="6" t="s">
        <v>154</v>
      </c>
      <c r="C3436" s="12"/>
    </row>
    <row r="3437" spans="1:3" ht="13.8" x14ac:dyDescent="0.25">
      <c r="A3437" s="5">
        <v>5104010727</v>
      </c>
      <c r="B3437" s="6" t="s">
        <v>155</v>
      </c>
      <c r="C3437" s="12"/>
    </row>
    <row r="3438" spans="1:3" ht="13.8" x14ac:dyDescent="0.25">
      <c r="A3438" s="5">
        <v>5104010799</v>
      </c>
      <c r="B3438" s="6" t="s">
        <v>156</v>
      </c>
      <c r="C3438" s="12"/>
    </row>
    <row r="3439" spans="1:3" ht="15" x14ac:dyDescent="0.25">
      <c r="A3439" s="2">
        <v>51040109</v>
      </c>
      <c r="B3439" s="3" t="s">
        <v>889</v>
      </c>
      <c r="C3439" s="9"/>
    </row>
    <row r="3440" spans="1:3" ht="15" x14ac:dyDescent="0.25">
      <c r="A3440" s="2">
        <v>5104010906</v>
      </c>
      <c r="B3440" s="3" t="s">
        <v>131</v>
      </c>
      <c r="C3440" s="9"/>
    </row>
    <row r="3441" spans="1:3" ht="15" x14ac:dyDescent="0.25">
      <c r="A3441" s="2">
        <v>51040110</v>
      </c>
      <c r="B3441" s="3" t="s">
        <v>890</v>
      </c>
      <c r="C3441" s="9"/>
    </row>
    <row r="3442" spans="1:3" ht="13.8" x14ac:dyDescent="0.25">
      <c r="A3442" s="5">
        <v>5104011001</v>
      </c>
      <c r="B3442" s="6" t="s">
        <v>95</v>
      </c>
      <c r="C3442" s="12"/>
    </row>
    <row r="3443" spans="1:3" ht="13.8" x14ac:dyDescent="0.25">
      <c r="A3443" s="5">
        <v>5104011002</v>
      </c>
      <c r="B3443" s="6" t="s">
        <v>96</v>
      </c>
      <c r="C3443" s="12"/>
    </row>
    <row r="3444" spans="1:3" ht="15" x14ac:dyDescent="0.25">
      <c r="A3444" s="2">
        <v>5104011003</v>
      </c>
      <c r="B3444" s="3" t="s">
        <v>97</v>
      </c>
      <c r="C3444" s="9"/>
    </row>
    <row r="3445" spans="1:3" ht="15" x14ac:dyDescent="0.25">
      <c r="A3445" s="2">
        <v>5104011004</v>
      </c>
      <c r="B3445" s="3" t="s">
        <v>101</v>
      </c>
      <c r="C3445" s="9"/>
    </row>
    <row r="3446" spans="1:3" ht="15" x14ac:dyDescent="0.25">
      <c r="A3446" s="2">
        <v>5104011005</v>
      </c>
      <c r="B3446" s="3" t="s">
        <v>106</v>
      </c>
      <c r="C3446" s="9"/>
    </row>
    <row r="3447" spans="1:3" ht="15" x14ac:dyDescent="0.25">
      <c r="A3447" s="2">
        <v>5104011006</v>
      </c>
      <c r="B3447" s="3" t="s">
        <v>111</v>
      </c>
      <c r="C3447" s="9"/>
    </row>
    <row r="3448" spans="1:3" ht="15" x14ac:dyDescent="0.25">
      <c r="A3448" s="2">
        <v>5104011007</v>
      </c>
      <c r="B3448" s="3" t="s">
        <v>112</v>
      </c>
      <c r="C3448" s="9"/>
    </row>
    <row r="3449" spans="1:3" ht="15" x14ac:dyDescent="0.25">
      <c r="A3449" s="2">
        <v>5104011011</v>
      </c>
      <c r="B3449" s="3" t="s">
        <v>113</v>
      </c>
      <c r="C3449" s="9"/>
    </row>
    <row r="3450" spans="1:3" ht="15" x14ac:dyDescent="0.25">
      <c r="A3450" s="2">
        <v>5104011012</v>
      </c>
      <c r="B3450" s="3" t="s">
        <v>114</v>
      </c>
      <c r="C3450" s="9"/>
    </row>
    <row r="3451" spans="1:3" ht="15" x14ac:dyDescent="0.25">
      <c r="A3451" s="2">
        <v>5104011021</v>
      </c>
      <c r="B3451" s="3" t="s">
        <v>115</v>
      </c>
      <c r="C3451" s="9"/>
    </row>
    <row r="3452" spans="1:3" ht="15" x14ac:dyDescent="0.25">
      <c r="A3452" s="2">
        <v>5104011027</v>
      </c>
      <c r="B3452" s="3" t="s">
        <v>166</v>
      </c>
      <c r="C3452" s="9"/>
    </row>
    <row r="3453" spans="1:3" ht="13.8" x14ac:dyDescent="0.25">
      <c r="A3453" s="5">
        <v>5104011030</v>
      </c>
      <c r="B3453" s="6" t="s">
        <v>167</v>
      </c>
      <c r="C3453" s="12"/>
    </row>
    <row r="3454" spans="1:3" ht="13.8" x14ac:dyDescent="0.25">
      <c r="A3454" s="5">
        <v>5104011031</v>
      </c>
      <c r="B3454" s="6" t="s">
        <v>168</v>
      </c>
      <c r="C3454" s="12"/>
    </row>
    <row r="3455" spans="1:3" ht="13.8" x14ac:dyDescent="0.25">
      <c r="A3455" s="5">
        <v>5104011032</v>
      </c>
      <c r="B3455" s="6" t="s">
        <v>169</v>
      </c>
      <c r="C3455" s="12"/>
    </row>
    <row r="3456" spans="1:3" ht="13.8" x14ac:dyDescent="0.25">
      <c r="A3456" s="5">
        <v>5104011033</v>
      </c>
      <c r="B3456" s="6" t="s">
        <v>170</v>
      </c>
      <c r="C3456" s="12"/>
    </row>
    <row r="3457" spans="1:3" ht="13.8" x14ac:dyDescent="0.25">
      <c r="A3457" s="5">
        <v>5104011034</v>
      </c>
      <c r="B3457" s="6" t="s">
        <v>171</v>
      </c>
      <c r="C3457" s="12"/>
    </row>
    <row r="3458" spans="1:3" ht="15" x14ac:dyDescent="0.25">
      <c r="A3458" s="2">
        <v>5104011099</v>
      </c>
      <c r="B3458" s="3" t="s">
        <v>117</v>
      </c>
      <c r="C3458" s="9"/>
    </row>
    <row r="3459" spans="1:3" ht="15" x14ac:dyDescent="0.25">
      <c r="A3459" s="2">
        <v>51040111</v>
      </c>
      <c r="B3459" s="3" t="s">
        <v>891</v>
      </c>
      <c r="C3459" s="9"/>
    </row>
    <row r="3460" spans="1:3" ht="13.8" x14ac:dyDescent="0.25">
      <c r="A3460" s="5">
        <v>5104011101</v>
      </c>
      <c r="B3460" s="6" t="s">
        <v>95</v>
      </c>
      <c r="C3460" s="12"/>
    </row>
    <row r="3461" spans="1:3" ht="13.8" x14ac:dyDescent="0.25">
      <c r="A3461" s="5">
        <v>5104011102</v>
      </c>
      <c r="B3461" s="6" t="s">
        <v>96</v>
      </c>
      <c r="C3461" s="12"/>
    </row>
    <row r="3462" spans="1:3" ht="15" x14ac:dyDescent="0.25">
      <c r="A3462" s="2">
        <v>5104011103</v>
      </c>
      <c r="B3462" s="3" t="s">
        <v>97</v>
      </c>
      <c r="C3462" s="9"/>
    </row>
    <row r="3463" spans="1:3" ht="15" x14ac:dyDescent="0.25">
      <c r="A3463" s="2">
        <v>5104011104</v>
      </c>
      <c r="B3463" s="3" t="s">
        <v>101</v>
      </c>
      <c r="C3463" s="9"/>
    </row>
    <row r="3464" spans="1:3" ht="15" x14ac:dyDescent="0.25">
      <c r="A3464" s="2">
        <v>5104011105</v>
      </c>
      <c r="B3464" s="3" t="s">
        <v>106</v>
      </c>
      <c r="C3464" s="9"/>
    </row>
    <row r="3465" spans="1:3" ht="15" x14ac:dyDescent="0.25">
      <c r="A3465" s="2">
        <v>5104011106</v>
      </c>
      <c r="B3465" s="3" t="s">
        <v>111</v>
      </c>
      <c r="C3465" s="9"/>
    </row>
    <row r="3466" spans="1:3" ht="15" x14ac:dyDescent="0.25">
      <c r="A3466" s="2">
        <v>5104011107</v>
      </c>
      <c r="B3466" s="3" t="s">
        <v>112</v>
      </c>
      <c r="C3466" s="9"/>
    </row>
    <row r="3467" spans="1:3" ht="15" x14ac:dyDescent="0.25">
      <c r="A3467" s="2">
        <v>5104011111</v>
      </c>
      <c r="B3467" s="3" t="s">
        <v>113</v>
      </c>
      <c r="C3467" s="9"/>
    </row>
    <row r="3468" spans="1:3" ht="15" x14ac:dyDescent="0.25">
      <c r="A3468" s="2">
        <v>5104011112</v>
      </c>
      <c r="B3468" s="3" t="s">
        <v>114</v>
      </c>
      <c r="C3468" s="9"/>
    </row>
    <row r="3469" spans="1:3" ht="15" x14ac:dyDescent="0.25">
      <c r="A3469" s="2">
        <v>5104011121</v>
      </c>
      <c r="B3469" s="3" t="s">
        <v>115</v>
      </c>
      <c r="C3469" s="9"/>
    </row>
    <row r="3470" spans="1:3" ht="15" x14ac:dyDescent="0.25">
      <c r="A3470" s="2">
        <v>5104011127</v>
      </c>
      <c r="B3470" s="3" t="s">
        <v>166</v>
      </c>
      <c r="C3470" s="9"/>
    </row>
    <row r="3471" spans="1:3" ht="13.8" x14ac:dyDescent="0.25">
      <c r="A3471" s="5">
        <v>5104011130</v>
      </c>
      <c r="B3471" s="6" t="s">
        <v>167</v>
      </c>
      <c r="C3471" s="12"/>
    </row>
    <row r="3472" spans="1:3" ht="13.8" x14ac:dyDescent="0.25">
      <c r="A3472" s="5">
        <v>5104011131</v>
      </c>
      <c r="B3472" s="6" t="s">
        <v>168</v>
      </c>
      <c r="C3472" s="12"/>
    </row>
    <row r="3473" spans="1:3" ht="13.8" x14ac:dyDescent="0.25">
      <c r="A3473" s="5">
        <v>5104011132</v>
      </c>
      <c r="B3473" s="6" t="s">
        <v>169</v>
      </c>
      <c r="C3473" s="12"/>
    </row>
    <row r="3474" spans="1:3" ht="13.8" x14ac:dyDescent="0.25">
      <c r="A3474" s="5">
        <v>5104011133</v>
      </c>
      <c r="B3474" s="6" t="s">
        <v>170</v>
      </c>
      <c r="C3474" s="12"/>
    </row>
    <row r="3475" spans="1:3" ht="13.8" x14ac:dyDescent="0.25">
      <c r="A3475" s="5">
        <v>5104011134</v>
      </c>
      <c r="B3475" s="6" t="s">
        <v>171</v>
      </c>
      <c r="C3475" s="12"/>
    </row>
    <row r="3476" spans="1:3" ht="15" x14ac:dyDescent="0.25">
      <c r="A3476" s="2">
        <v>5104011199</v>
      </c>
      <c r="B3476" s="3" t="s">
        <v>117</v>
      </c>
      <c r="C3476" s="9"/>
    </row>
    <row r="3477" spans="1:3" ht="15" x14ac:dyDescent="0.25">
      <c r="A3477" s="2">
        <v>51040112</v>
      </c>
      <c r="B3477" s="3" t="s">
        <v>892</v>
      </c>
      <c r="C3477" s="9"/>
    </row>
    <row r="3478" spans="1:3" ht="13.8" x14ac:dyDescent="0.25">
      <c r="A3478" s="5">
        <v>5104011201</v>
      </c>
      <c r="B3478" s="6" t="s">
        <v>95</v>
      </c>
      <c r="C3478" s="12"/>
    </row>
    <row r="3479" spans="1:3" ht="13.8" x14ac:dyDescent="0.25">
      <c r="A3479" s="5">
        <v>5104011202</v>
      </c>
      <c r="B3479" s="6" t="s">
        <v>96</v>
      </c>
      <c r="C3479" s="12"/>
    </row>
    <row r="3480" spans="1:3" ht="15" x14ac:dyDescent="0.25">
      <c r="A3480" s="2">
        <v>5104011203</v>
      </c>
      <c r="B3480" s="3" t="s">
        <v>97</v>
      </c>
      <c r="C3480" s="9"/>
    </row>
    <row r="3481" spans="1:3" ht="15" x14ac:dyDescent="0.25">
      <c r="A3481" s="2">
        <v>5104011204</v>
      </c>
      <c r="B3481" s="3" t="s">
        <v>101</v>
      </c>
      <c r="C3481" s="9"/>
    </row>
    <row r="3482" spans="1:3" ht="15" x14ac:dyDescent="0.25">
      <c r="A3482" s="2">
        <v>5104011205</v>
      </c>
      <c r="B3482" s="3" t="s">
        <v>106</v>
      </c>
      <c r="C3482" s="9"/>
    </row>
    <row r="3483" spans="1:3" ht="15" x14ac:dyDescent="0.25">
      <c r="A3483" s="2">
        <v>5104011206</v>
      </c>
      <c r="B3483" s="3" t="s">
        <v>111</v>
      </c>
      <c r="C3483" s="9"/>
    </row>
    <row r="3484" spans="1:3" ht="15" x14ac:dyDescent="0.25">
      <c r="A3484" s="2">
        <v>5104011207</v>
      </c>
      <c r="B3484" s="3" t="s">
        <v>112</v>
      </c>
      <c r="C3484" s="9"/>
    </row>
    <row r="3485" spans="1:3" ht="15" x14ac:dyDescent="0.25">
      <c r="A3485" s="2">
        <v>5104011211</v>
      </c>
      <c r="B3485" s="3" t="s">
        <v>113</v>
      </c>
      <c r="C3485" s="9"/>
    </row>
    <row r="3486" spans="1:3" ht="15" x14ac:dyDescent="0.25">
      <c r="A3486" s="2">
        <v>5104011212</v>
      </c>
      <c r="B3486" s="3" t="s">
        <v>114</v>
      </c>
      <c r="C3486" s="9"/>
    </row>
    <row r="3487" spans="1:3" ht="15" x14ac:dyDescent="0.25">
      <c r="A3487" s="2">
        <v>5104011221</v>
      </c>
      <c r="B3487" s="3" t="s">
        <v>115</v>
      </c>
      <c r="C3487" s="9"/>
    </row>
    <row r="3488" spans="1:3" ht="15" x14ac:dyDescent="0.25">
      <c r="A3488" s="2">
        <v>5104011227</v>
      </c>
      <c r="B3488" s="3" t="s">
        <v>166</v>
      </c>
      <c r="C3488" s="9"/>
    </row>
    <row r="3489" spans="1:3" ht="13.8" x14ac:dyDescent="0.25">
      <c r="A3489" s="5">
        <v>5104011230</v>
      </c>
      <c r="B3489" s="6" t="s">
        <v>167</v>
      </c>
      <c r="C3489" s="12"/>
    </row>
    <row r="3490" spans="1:3" ht="13.8" x14ac:dyDescent="0.25">
      <c r="A3490" s="5">
        <v>5104011231</v>
      </c>
      <c r="B3490" s="6" t="s">
        <v>168</v>
      </c>
      <c r="C3490" s="12"/>
    </row>
    <row r="3491" spans="1:3" ht="13.8" x14ac:dyDescent="0.25">
      <c r="A3491" s="5">
        <v>5104011232</v>
      </c>
      <c r="B3491" s="6" t="s">
        <v>169</v>
      </c>
      <c r="C3491" s="12"/>
    </row>
    <row r="3492" spans="1:3" ht="13.8" x14ac:dyDescent="0.25">
      <c r="A3492" s="5">
        <v>5104011233</v>
      </c>
      <c r="B3492" s="6" t="s">
        <v>170</v>
      </c>
      <c r="C3492" s="12"/>
    </row>
    <row r="3493" spans="1:3" ht="13.8" x14ac:dyDescent="0.25">
      <c r="A3493" s="5">
        <v>5104011234</v>
      </c>
      <c r="B3493" s="6" t="s">
        <v>171</v>
      </c>
      <c r="C3493" s="12"/>
    </row>
    <row r="3494" spans="1:3" ht="15" x14ac:dyDescent="0.25">
      <c r="A3494" s="2">
        <v>5104011299</v>
      </c>
      <c r="B3494" s="3" t="s">
        <v>117</v>
      </c>
      <c r="C3494" s="9"/>
    </row>
    <row r="3495" spans="1:3" ht="15" x14ac:dyDescent="0.25">
      <c r="A3495" s="2">
        <v>51040113</v>
      </c>
      <c r="B3495" s="3" t="s">
        <v>893</v>
      </c>
      <c r="C3495" s="9"/>
    </row>
    <row r="3496" spans="1:3" ht="13.8" x14ac:dyDescent="0.25">
      <c r="A3496" s="5">
        <v>5104011301</v>
      </c>
      <c r="B3496" s="6" t="s">
        <v>95</v>
      </c>
      <c r="C3496" s="12"/>
    </row>
    <row r="3497" spans="1:3" ht="13.8" x14ac:dyDescent="0.25">
      <c r="A3497" s="5">
        <v>5104011302</v>
      </c>
      <c r="B3497" s="6" t="s">
        <v>96</v>
      </c>
      <c r="C3497" s="12"/>
    </row>
    <row r="3498" spans="1:3" ht="15" x14ac:dyDescent="0.25">
      <c r="A3498" s="2">
        <v>5104011303</v>
      </c>
      <c r="B3498" s="3" t="s">
        <v>97</v>
      </c>
      <c r="C3498" s="9"/>
    </row>
    <row r="3499" spans="1:3" ht="15" x14ac:dyDescent="0.25">
      <c r="A3499" s="2">
        <v>5104011304</v>
      </c>
      <c r="B3499" s="3" t="s">
        <v>101</v>
      </c>
      <c r="C3499" s="9"/>
    </row>
    <row r="3500" spans="1:3" ht="15" x14ac:dyDescent="0.25">
      <c r="A3500" s="2">
        <v>5104011305</v>
      </c>
      <c r="B3500" s="3" t="s">
        <v>106</v>
      </c>
      <c r="C3500" s="9"/>
    </row>
    <row r="3501" spans="1:3" ht="15" x14ac:dyDescent="0.25">
      <c r="A3501" s="2">
        <v>5104011306</v>
      </c>
      <c r="B3501" s="3" t="s">
        <v>111</v>
      </c>
      <c r="C3501" s="9"/>
    </row>
    <row r="3502" spans="1:3" ht="15" x14ac:dyDescent="0.25">
      <c r="A3502" s="2">
        <v>5104011307</v>
      </c>
      <c r="B3502" s="3" t="s">
        <v>112</v>
      </c>
      <c r="C3502" s="9"/>
    </row>
    <row r="3503" spans="1:3" ht="15" x14ac:dyDescent="0.25">
      <c r="A3503" s="2">
        <v>5104011311</v>
      </c>
      <c r="B3503" s="3" t="s">
        <v>113</v>
      </c>
      <c r="C3503" s="9"/>
    </row>
    <row r="3504" spans="1:3" ht="15" x14ac:dyDescent="0.25">
      <c r="A3504" s="2">
        <v>5104011312</v>
      </c>
      <c r="B3504" s="3" t="s">
        <v>114</v>
      </c>
      <c r="C3504" s="9"/>
    </row>
    <row r="3505" spans="1:3" ht="15" x14ac:dyDescent="0.25">
      <c r="A3505" s="2">
        <v>5104011321</v>
      </c>
      <c r="B3505" s="3" t="s">
        <v>115</v>
      </c>
      <c r="C3505" s="9"/>
    </row>
    <row r="3506" spans="1:3" ht="15" x14ac:dyDescent="0.25">
      <c r="A3506" s="2">
        <v>5104011327</v>
      </c>
      <c r="B3506" s="3" t="s">
        <v>166</v>
      </c>
      <c r="C3506" s="9"/>
    </row>
    <row r="3507" spans="1:3" ht="15" x14ac:dyDescent="0.25">
      <c r="A3507" s="2">
        <v>5104011399</v>
      </c>
      <c r="B3507" s="3" t="s">
        <v>117</v>
      </c>
      <c r="C3507" s="9"/>
    </row>
    <row r="3508" spans="1:3" ht="15" x14ac:dyDescent="0.25">
      <c r="A3508" s="2">
        <v>510403</v>
      </c>
      <c r="B3508" s="3" t="s">
        <v>894</v>
      </c>
      <c r="C3508" s="9"/>
    </row>
    <row r="3509" spans="1:3" ht="15" x14ac:dyDescent="0.25">
      <c r="A3509" s="2">
        <v>51040302</v>
      </c>
      <c r="B3509" s="3" t="s">
        <v>94</v>
      </c>
      <c r="C3509" s="9"/>
    </row>
    <row r="3510" spans="1:3" ht="13.8" x14ac:dyDescent="0.25">
      <c r="A3510" s="5">
        <v>51040307</v>
      </c>
      <c r="B3510" s="6" t="s">
        <v>138</v>
      </c>
      <c r="C3510" s="12"/>
    </row>
    <row r="3511" spans="1:3" ht="15" x14ac:dyDescent="0.25">
      <c r="A3511" s="2">
        <v>51040310</v>
      </c>
      <c r="B3511" s="3" t="s">
        <v>162</v>
      </c>
      <c r="C3511" s="9"/>
    </row>
    <row r="3512" spans="1:3" ht="15" x14ac:dyDescent="0.25">
      <c r="A3512" s="2">
        <v>51040311</v>
      </c>
      <c r="B3512" s="3" t="s">
        <v>172</v>
      </c>
      <c r="C3512" s="9"/>
    </row>
    <row r="3513" spans="1:3" ht="15" x14ac:dyDescent="0.25">
      <c r="A3513" s="2">
        <v>51040312</v>
      </c>
      <c r="B3513" s="3" t="s">
        <v>174</v>
      </c>
      <c r="C3513" s="9"/>
    </row>
    <row r="3514" spans="1:3" ht="15" x14ac:dyDescent="0.25">
      <c r="A3514" s="2">
        <v>51040313</v>
      </c>
      <c r="B3514" s="3" t="s">
        <v>175</v>
      </c>
      <c r="C3514" s="9"/>
    </row>
    <row r="3515" spans="1:3" ht="15" x14ac:dyDescent="0.25">
      <c r="A3515" s="2">
        <v>510404</v>
      </c>
      <c r="B3515" s="3" t="s">
        <v>895</v>
      </c>
      <c r="C3515" s="9"/>
    </row>
    <row r="3516" spans="1:3" ht="15" x14ac:dyDescent="0.25">
      <c r="A3516" s="2">
        <v>51040402</v>
      </c>
      <c r="B3516" s="3" t="s">
        <v>94</v>
      </c>
      <c r="C3516" s="9"/>
    </row>
    <row r="3517" spans="1:3" s="15" customFormat="1" ht="15" x14ac:dyDescent="0.25">
      <c r="A3517" s="18" t="s">
        <v>2078</v>
      </c>
      <c r="B3517" s="19" t="s">
        <v>2079</v>
      </c>
      <c r="C3517" s="20">
        <v>0</v>
      </c>
    </row>
    <row r="3518" spans="1:3" ht="15" x14ac:dyDescent="0.25">
      <c r="A3518" s="2">
        <v>51040404</v>
      </c>
      <c r="B3518" s="3" t="s">
        <v>130</v>
      </c>
      <c r="C3518" s="9"/>
    </row>
    <row r="3519" spans="1:3" ht="13.8" x14ac:dyDescent="0.25">
      <c r="A3519" s="5">
        <v>51040407</v>
      </c>
      <c r="B3519" s="6" t="s">
        <v>138</v>
      </c>
      <c r="C3519" s="12"/>
    </row>
    <row r="3520" spans="1:3" ht="15" x14ac:dyDescent="0.25">
      <c r="A3520" s="2">
        <v>51040409</v>
      </c>
      <c r="B3520" s="3" t="s">
        <v>159</v>
      </c>
      <c r="C3520" s="9"/>
    </row>
    <row r="3521" spans="1:3" ht="15" x14ac:dyDescent="0.25">
      <c r="A3521" s="2">
        <v>51040410</v>
      </c>
      <c r="B3521" s="3" t="s">
        <v>162</v>
      </c>
      <c r="C3521" s="9"/>
    </row>
    <row r="3522" spans="1:3" ht="15" x14ac:dyDescent="0.25">
      <c r="A3522" s="2">
        <v>51040411</v>
      </c>
      <c r="B3522" s="3" t="s">
        <v>172</v>
      </c>
      <c r="C3522" s="9"/>
    </row>
    <row r="3523" spans="1:3" ht="15" x14ac:dyDescent="0.25">
      <c r="A3523" s="2">
        <v>51040412</v>
      </c>
      <c r="B3523" s="3" t="s">
        <v>174</v>
      </c>
      <c r="C3523" s="9"/>
    </row>
    <row r="3524" spans="1:3" ht="15" x14ac:dyDescent="0.25">
      <c r="A3524" s="2">
        <v>51040413</v>
      </c>
      <c r="B3524" s="3" t="s">
        <v>175</v>
      </c>
      <c r="C3524" s="9"/>
    </row>
    <row r="3525" spans="1:3" ht="15" x14ac:dyDescent="0.25">
      <c r="A3525" s="2">
        <v>510405</v>
      </c>
      <c r="B3525" s="3" t="s">
        <v>896</v>
      </c>
      <c r="C3525" s="9"/>
    </row>
    <row r="3526" spans="1:3" ht="15" x14ac:dyDescent="0.25">
      <c r="A3526" s="2">
        <v>51040502</v>
      </c>
      <c r="B3526" s="3" t="s">
        <v>94</v>
      </c>
      <c r="C3526" s="9"/>
    </row>
    <row r="3527" spans="1:3" s="15" customFormat="1" ht="15" x14ac:dyDescent="0.25">
      <c r="A3527" s="18" t="s">
        <v>2080</v>
      </c>
      <c r="B3527" s="19" t="s">
        <v>2081</v>
      </c>
      <c r="C3527" s="20">
        <v>-136948.16</v>
      </c>
    </row>
    <row r="3528" spans="1:3" ht="15" x14ac:dyDescent="0.25">
      <c r="A3528" s="2">
        <v>51040504</v>
      </c>
      <c r="B3528" s="3" t="s">
        <v>130</v>
      </c>
      <c r="C3528" s="9"/>
    </row>
    <row r="3529" spans="1:3" ht="13.8" x14ac:dyDescent="0.25">
      <c r="A3529" s="5">
        <v>51040507</v>
      </c>
      <c r="B3529" s="6" t="s">
        <v>138</v>
      </c>
      <c r="C3529" s="12"/>
    </row>
    <row r="3530" spans="1:3" ht="15" x14ac:dyDescent="0.25">
      <c r="A3530" s="2">
        <v>51040509</v>
      </c>
      <c r="B3530" s="3" t="s">
        <v>159</v>
      </c>
      <c r="C3530" s="9"/>
    </row>
    <row r="3531" spans="1:3" ht="15" x14ac:dyDescent="0.25">
      <c r="A3531" s="2">
        <v>51040510</v>
      </c>
      <c r="B3531" s="3" t="s">
        <v>162</v>
      </c>
      <c r="C3531" s="9"/>
    </row>
    <row r="3532" spans="1:3" ht="15" x14ac:dyDescent="0.25">
      <c r="A3532" s="2">
        <v>51040511</v>
      </c>
      <c r="B3532" s="3" t="s">
        <v>172</v>
      </c>
      <c r="C3532" s="9"/>
    </row>
    <row r="3533" spans="1:3" ht="15" x14ac:dyDescent="0.25">
      <c r="A3533" s="2">
        <v>51040512</v>
      </c>
      <c r="B3533" s="3" t="s">
        <v>174</v>
      </c>
      <c r="C3533" s="9"/>
    </row>
    <row r="3534" spans="1:3" ht="15" x14ac:dyDescent="0.25">
      <c r="A3534" s="2">
        <v>51040513</v>
      </c>
      <c r="B3534" s="3" t="s">
        <v>175</v>
      </c>
      <c r="C3534" s="9"/>
    </row>
    <row r="3535" spans="1:3" ht="15" x14ac:dyDescent="0.25">
      <c r="A3535" s="2">
        <v>510406</v>
      </c>
      <c r="B3535" s="3" t="s">
        <v>897</v>
      </c>
      <c r="C3535" s="9"/>
    </row>
    <row r="3536" spans="1:3" ht="15" x14ac:dyDescent="0.25">
      <c r="A3536" s="2">
        <v>51040602</v>
      </c>
      <c r="B3536" s="3" t="s">
        <v>94</v>
      </c>
      <c r="C3536" s="9"/>
    </row>
    <row r="3537" spans="1:3" ht="15" x14ac:dyDescent="0.25">
      <c r="A3537" s="2">
        <v>51040603</v>
      </c>
      <c r="B3537" s="3" t="s">
        <v>120</v>
      </c>
      <c r="C3537" s="9"/>
    </row>
    <row r="3538" spans="1:3" ht="15" x14ac:dyDescent="0.25">
      <c r="A3538" s="2">
        <v>51040604</v>
      </c>
      <c r="B3538" s="3" t="s">
        <v>130</v>
      </c>
      <c r="C3538" s="9"/>
    </row>
    <row r="3539" spans="1:3" ht="13.8" x14ac:dyDescent="0.25">
      <c r="A3539" s="5">
        <v>51040607</v>
      </c>
      <c r="B3539" s="6" t="s">
        <v>138</v>
      </c>
      <c r="C3539" s="12"/>
    </row>
    <row r="3540" spans="1:3" ht="15" x14ac:dyDescent="0.25">
      <c r="A3540" s="2">
        <v>51040609</v>
      </c>
      <c r="B3540" s="3" t="s">
        <v>159</v>
      </c>
      <c r="C3540" s="9"/>
    </row>
    <row r="3541" spans="1:3" ht="15" x14ac:dyDescent="0.25">
      <c r="A3541" s="2">
        <v>51040610</v>
      </c>
      <c r="B3541" s="3" t="s">
        <v>162</v>
      </c>
      <c r="C3541" s="9"/>
    </row>
    <row r="3542" spans="1:3" ht="15" x14ac:dyDescent="0.25">
      <c r="A3542" s="2">
        <v>51040611</v>
      </c>
      <c r="B3542" s="3" t="s">
        <v>172</v>
      </c>
      <c r="C3542" s="9"/>
    </row>
    <row r="3543" spans="1:3" ht="15" x14ac:dyDescent="0.25">
      <c r="A3543" s="2">
        <v>51040612</v>
      </c>
      <c r="B3543" s="3" t="s">
        <v>174</v>
      </c>
      <c r="C3543" s="9"/>
    </row>
    <row r="3544" spans="1:3" ht="15" x14ac:dyDescent="0.25">
      <c r="A3544" s="2">
        <v>51040613</v>
      </c>
      <c r="B3544" s="3" t="s">
        <v>175</v>
      </c>
      <c r="C3544" s="9"/>
    </row>
    <row r="3545" spans="1:3" ht="15" x14ac:dyDescent="0.25">
      <c r="A3545" s="2">
        <v>5105</v>
      </c>
      <c r="B3545" s="3" t="s">
        <v>225</v>
      </c>
      <c r="C3545" s="9"/>
    </row>
    <row r="3546" spans="1:3" ht="15" x14ac:dyDescent="0.25">
      <c r="A3546" s="2">
        <v>510504</v>
      </c>
      <c r="B3546" s="3" t="s">
        <v>898</v>
      </c>
      <c r="C3546" s="9"/>
    </row>
    <row r="3547" spans="1:3" ht="15" x14ac:dyDescent="0.25">
      <c r="A3547" s="2">
        <v>51050401</v>
      </c>
      <c r="B3547" s="3" t="s">
        <v>899</v>
      </c>
      <c r="C3547" s="9"/>
    </row>
    <row r="3548" spans="1:3" ht="15" x14ac:dyDescent="0.25">
      <c r="A3548" s="2">
        <v>51050402</v>
      </c>
      <c r="B3548" s="3" t="s">
        <v>900</v>
      </c>
      <c r="C3548" s="9"/>
    </row>
    <row r="3549" spans="1:3" ht="15" x14ac:dyDescent="0.25">
      <c r="A3549" s="2">
        <v>51050403</v>
      </c>
      <c r="B3549" s="3" t="s">
        <v>901</v>
      </c>
      <c r="C3549" s="9"/>
    </row>
    <row r="3550" spans="1:3" ht="13.8" x14ac:dyDescent="0.25">
      <c r="A3550" s="5">
        <v>51050404</v>
      </c>
      <c r="B3550" s="6" t="s">
        <v>240</v>
      </c>
      <c r="C3550" s="12"/>
    </row>
    <row r="3551" spans="1:3" ht="15" x14ac:dyDescent="0.25">
      <c r="A3551" s="2">
        <v>51050409</v>
      </c>
      <c r="B3551" s="3" t="s">
        <v>59</v>
      </c>
      <c r="C3551" s="9"/>
    </row>
    <row r="3552" spans="1:3" ht="30" x14ac:dyDescent="0.25">
      <c r="A3552" s="2">
        <v>510505</v>
      </c>
      <c r="B3552" s="4" t="s">
        <v>902</v>
      </c>
      <c r="C3552" s="11"/>
    </row>
    <row r="3553" spans="1:3" ht="15" x14ac:dyDescent="0.25">
      <c r="A3553" s="2">
        <v>51050501</v>
      </c>
      <c r="B3553" s="3" t="s">
        <v>244</v>
      </c>
      <c r="C3553" s="9"/>
    </row>
    <row r="3554" spans="1:3" ht="15" x14ac:dyDescent="0.25">
      <c r="A3554" s="2">
        <v>51050502</v>
      </c>
      <c r="B3554" s="3" t="s">
        <v>247</v>
      </c>
      <c r="C3554" s="9"/>
    </row>
    <row r="3555" spans="1:3" ht="15" x14ac:dyDescent="0.25">
      <c r="A3555" s="2">
        <v>51050509</v>
      </c>
      <c r="B3555" s="3" t="s">
        <v>59</v>
      </c>
      <c r="C3555" s="9"/>
    </row>
    <row r="3556" spans="1:3" ht="15" x14ac:dyDescent="0.25">
      <c r="A3556" s="2">
        <v>510506</v>
      </c>
      <c r="B3556" s="3" t="s">
        <v>903</v>
      </c>
      <c r="C3556" s="9"/>
    </row>
    <row r="3557" spans="1:3" ht="15" x14ac:dyDescent="0.25">
      <c r="A3557" s="2">
        <v>51050601</v>
      </c>
      <c r="B3557" s="3" t="s">
        <v>250</v>
      </c>
      <c r="C3557" s="9"/>
    </row>
    <row r="3558" spans="1:3" ht="15" x14ac:dyDescent="0.25">
      <c r="A3558" s="2">
        <v>51050602</v>
      </c>
      <c r="B3558" s="3" t="s">
        <v>251</v>
      </c>
      <c r="C3558" s="9"/>
    </row>
    <row r="3559" spans="1:3" ht="15" x14ac:dyDescent="0.25">
      <c r="A3559" s="2">
        <v>51050605</v>
      </c>
      <c r="B3559" s="3" t="s">
        <v>252</v>
      </c>
      <c r="C3559" s="9"/>
    </row>
    <row r="3560" spans="1:3" ht="15" x14ac:dyDescent="0.25">
      <c r="A3560" s="2">
        <v>51050606</v>
      </c>
      <c r="B3560" s="3" t="s">
        <v>253</v>
      </c>
      <c r="C3560" s="9"/>
    </row>
    <row r="3561" spans="1:3" ht="15" x14ac:dyDescent="0.25">
      <c r="A3561" s="2">
        <v>51050607</v>
      </c>
      <c r="B3561" s="3" t="s">
        <v>254</v>
      </c>
      <c r="C3561" s="9"/>
    </row>
    <row r="3562" spans="1:3" ht="13.8" x14ac:dyDescent="0.25">
      <c r="A3562" s="5">
        <v>51050608</v>
      </c>
      <c r="B3562" s="6" t="s">
        <v>255</v>
      </c>
      <c r="C3562" s="12"/>
    </row>
    <row r="3563" spans="1:3" ht="15" x14ac:dyDescent="0.25">
      <c r="A3563" s="2">
        <v>51050619</v>
      </c>
      <c r="B3563" s="3" t="s">
        <v>904</v>
      </c>
      <c r="C3563" s="9"/>
    </row>
    <row r="3564" spans="1:3" ht="15" x14ac:dyDescent="0.25">
      <c r="A3564" s="2">
        <v>510507</v>
      </c>
      <c r="B3564" s="3" t="s">
        <v>905</v>
      </c>
      <c r="C3564" s="9"/>
    </row>
    <row r="3565" spans="1:3" ht="15" x14ac:dyDescent="0.25">
      <c r="A3565" s="2">
        <v>51050701</v>
      </c>
      <c r="B3565" s="3" t="s">
        <v>258</v>
      </c>
      <c r="C3565" s="9"/>
    </row>
    <row r="3566" spans="1:3" ht="15" x14ac:dyDescent="0.25">
      <c r="A3566" s="2">
        <v>51050702</v>
      </c>
      <c r="B3566" s="3" t="s">
        <v>259</v>
      </c>
      <c r="C3566" s="9"/>
    </row>
    <row r="3567" spans="1:3" ht="15" x14ac:dyDescent="0.25">
      <c r="A3567" s="2">
        <v>51050703</v>
      </c>
      <c r="B3567" s="3" t="s">
        <v>260</v>
      </c>
      <c r="C3567" s="9"/>
    </row>
    <row r="3568" spans="1:3" ht="30" x14ac:dyDescent="0.25">
      <c r="A3568" s="2">
        <v>51050706</v>
      </c>
      <c r="B3568" s="3" t="s">
        <v>261</v>
      </c>
      <c r="C3568" s="9"/>
    </row>
    <row r="3569" spans="1:3" ht="15" x14ac:dyDescent="0.25">
      <c r="A3569" s="2">
        <v>51050711</v>
      </c>
      <c r="B3569" s="3" t="s">
        <v>262</v>
      </c>
      <c r="C3569" s="9"/>
    </row>
    <row r="3570" spans="1:3" ht="15" x14ac:dyDescent="0.25">
      <c r="A3570" s="2">
        <v>5105071101</v>
      </c>
      <c r="B3570" s="3" t="s">
        <v>263</v>
      </c>
      <c r="C3570" s="9"/>
    </row>
    <row r="3571" spans="1:3" ht="15" x14ac:dyDescent="0.25">
      <c r="A3571" s="2">
        <v>5105071102</v>
      </c>
      <c r="B3571" s="3" t="s">
        <v>264</v>
      </c>
      <c r="C3571" s="9"/>
    </row>
    <row r="3572" spans="1:3" ht="15" x14ac:dyDescent="0.25">
      <c r="A3572" s="2">
        <v>5105071103</v>
      </c>
      <c r="B3572" s="3" t="s">
        <v>265</v>
      </c>
      <c r="C3572" s="9"/>
    </row>
    <row r="3573" spans="1:3" ht="15" x14ac:dyDescent="0.25">
      <c r="A3573" s="2">
        <v>51050719</v>
      </c>
      <c r="B3573" s="3" t="s">
        <v>59</v>
      </c>
      <c r="C3573" s="9"/>
    </row>
    <row r="3574" spans="1:3" ht="15" x14ac:dyDescent="0.25">
      <c r="A3574" s="2">
        <v>510519</v>
      </c>
      <c r="B3574" s="3" t="s">
        <v>266</v>
      </c>
      <c r="C3574" s="9"/>
    </row>
    <row r="3575" spans="1:3" ht="15" x14ac:dyDescent="0.25">
      <c r="A3575" s="2">
        <v>5107</v>
      </c>
      <c r="B3575" s="3" t="s">
        <v>906</v>
      </c>
      <c r="C3575" s="9"/>
    </row>
    <row r="3576" spans="1:3" ht="15" x14ac:dyDescent="0.25">
      <c r="A3576" s="2">
        <v>510704</v>
      </c>
      <c r="B3576" s="3" t="s">
        <v>907</v>
      </c>
      <c r="C3576" s="9"/>
    </row>
    <row r="3577" spans="1:3" ht="15" x14ac:dyDescent="0.25">
      <c r="A3577" s="2">
        <v>51070402</v>
      </c>
      <c r="B3577" s="3" t="s">
        <v>94</v>
      </c>
      <c r="C3577" s="9"/>
    </row>
    <row r="3578" spans="1:3" ht="15" x14ac:dyDescent="0.25">
      <c r="A3578" s="2">
        <v>51070403</v>
      </c>
      <c r="B3578" s="3" t="s">
        <v>120</v>
      </c>
      <c r="C3578" s="9"/>
    </row>
    <row r="3579" spans="1:3" ht="15" x14ac:dyDescent="0.25">
      <c r="A3579" s="2">
        <v>51070404</v>
      </c>
      <c r="B3579" s="3" t="s">
        <v>130</v>
      </c>
      <c r="C3579" s="9"/>
    </row>
    <row r="3580" spans="1:3" ht="13.8" x14ac:dyDescent="0.25">
      <c r="A3580" s="5">
        <v>51070407</v>
      </c>
      <c r="B3580" s="6" t="s">
        <v>138</v>
      </c>
      <c r="C3580" s="12"/>
    </row>
    <row r="3581" spans="1:3" ht="15" x14ac:dyDescent="0.25">
      <c r="A3581" s="2">
        <v>51070409</v>
      </c>
      <c r="B3581" s="3" t="s">
        <v>159</v>
      </c>
      <c r="C3581" s="9"/>
    </row>
    <row r="3582" spans="1:3" ht="15" x14ac:dyDescent="0.25">
      <c r="A3582" s="2">
        <v>51070410</v>
      </c>
      <c r="B3582" s="3" t="s">
        <v>162</v>
      </c>
      <c r="C3582" s="9"/>
    </row>
    <row r="3583" spans="1:3" ht="15" x14ac:dyDescent="0.25">
      <c r="A3583" s="2">
        <v>51070411</v>
      </c>
      <c r="B3583" s="3" t="s">
        <v>172</v>
      </c>
      <c r="C3583" s="9"/>
    </row>
    <row r="3584" spans="1:3" ht="15" x14ac:dyDescent="0.25">
      <c r="A3584" s="2">
        <v>51070412</v>
      </c>
      <c r="B3584" s="3" t="s">
        <v>174</v>
      </c>
      <c r="C3584" s="9"/>
    </row>
    <row r="3585" spans="1:3" ht="15" x14ac:dyDescent="0.25">
      <c r="A3585" s="2">
        <v>51070413</v>
      </c>
      <c r="B3585" s="3" t="s">
        <v>175</v>
      </c>
      <c r="C3585" s="9"/>
    </row>
    <row r="3586" spans="1:3" ht="15" x14ac:dyDescent="0.25">
      <c r="A3586" s="2">
        <v>5108</v>
      </c>
      <c r="B3586" s="3" t="s">
        <v>682</v>
      </c>
      <c r="C3586" s="20">
        <f t="shared" ref="C3586" si="89">+C3588+C3591</f>
        <v>-50155.24</v>
      </c>
    </row>
    <row r="3587" spans="1:3" ht="15" x14ac:dyDescent="0.25">
      <c r="A3587" s="2">
        <v>510801</v>
      </c>
      <c r="B3587" s="3" t="s">
        <v>683</v>
      </c>
      <c r="C3587" s="9"/>
    </row>
    <row r="3588" spans="1:3" s="15" customFormat="1" ht="15" x14ac:dyDescent="0.25">
      <c r="A3588" s="18" t="s">
        <v>2082</v>
      </c>
      <c r="B3588" s="19" t="s">
        <v>1705</v>
      </c>
      <c r="C3588" s="20">
        <v>-57.31</v>
      </c>
    </row>
    <row r="3589" spans="1:3" ht="15" x14ac:dyDescent="0.25">
      <c r="A3589" s="2">
        <v>510804</v>
      </c>
      <c r="B3589" s="3" t="s">
        <v>684</v>
      </c>
      <c r="C3589" s="9"/>
    </row>
    <row r="3590" spans="1:3" ht="15" x14ac:dyDescent="0.25">
      <c r="A3590" s="2">
        <v>51080403</v>
      </c>
      <c r="B3590" s="3" t="s">
        <v>685</v>
      </c>
      <c r="C3590" s="9"/>
    </row>
    <row r="3591" spans="1:3" s="15" customFormat="1" ht="15" x14ac:dyDescent="0.25">
      <c r="A3591" s="18" t="s">
        <v>2083</v>
      </c>
      <c r="B3591" s="19" t="s">
        <v>2084</v>
      </c>
      <c r="C3591" s="20">
        <v>-50097.93</v>
      </c>
    </row>
    <row r="3592" spans="1:3" s="15" customFormat="1" ht="15" x14ac:dyDescent="0.25">
      <c r="A3592" s="18" t="s">
        <v>2085</v>
      </c>
      <c r="B3592" s="19" t="s">
        <v>2086</v>
      </c>
      <c r="C3592" s="20"/>
    </row>
    <row r="3593" spans="1:3" ht="15" x14ac:dyDescent="0.25">
      <c r="A3593" s="2">
        <v>5109</v>
      </c>
      <c r="B3593" s="3" t="s">
        <v>908</v>
      </c>
      <c r="C3593" s="9"/>
    </row>
    <row r="3594" spans="1:3" ht="15" x14ac:dyDescent="0.25">
      <c r="A3594" s="2">
        <v>510901</v>
      </c>
      <c r="B3594" s="3" t="s">
        <v>687</v>
      </c>
      <c r="C3594" s="9"/>
    </row>
    <row r="3595" spans="1:3" ht="15" x14ac:dyDescent="0.25">
      <c r="A3595" s="2">
        <v>510903</v>
      </c>
      <c r="B3595" s="3" t="s">
        <v>909</v>
      </c>
      <c r="C3595" s="9"/>
    </row>
    <row r="3596" spans="1:3" ht="15" x14ac:dyDescent="0.25">
      <c r="A3596" s="2">
        <v>510904</v>
      </c>
      <c r="B3596" s="3" t="s">
        <v>910</v>
      </c>
      <c r="C3596" s="9"/>
    </row>
    <row r="3597" spans="1:3" ht="15" x14ac:dyDescent="0.25">
      <c r="A3597" s="2">
        <v>510910</v>
      </c>
      <c r="B3597" s="3" t="s">
        <v>911</v>
      </c>
      <c r="C3597" s="9"/>
    </row>
    <row r="3598" spans="1:3" ht="30" x14ac:dyDescent="0.25">
      <c r="A3598" s="2">
        <v>510911</v>
      </c>
      <c r="B3598" s="4" t="s">
        <v>912</v>
      </c>
      <c r="C3598" s="11"/>
    </row>
    <row r="3599" spans="1:3" ht="15" x14ac:dyDescent="0.25">
      <c r="A3599" s="2">
        <v>51091105</v>
      </c>
      <c r="B3599" s="3" t="s">
        <v>39</v>
      </c>
      <c r="C3599" s="9"/>
    </row>
    <row r="3600" spans="1:3" ht="15" x14ac:dyDescent="0.25">
      <c r="A3600" s="2">
        <v>5109110501</v>
      </c>
      <c r="B3600" s="3" t="s">
        <v>40</v>
      </c>
      <c r="C3600" s="9"/>
    </row>
    <row r="3601" spans="1:3" ht="15" x14ac:dyDescent="0.25">
      <c r="A3601" s="2">
        <v>5109110519</v>
      </c>
      <c r="B3601" s="3" t="s">
        <v>41</v>
      </c>
      <c r="C3601" s="9"/>
    </row>
    <row r="3602" spans="1:3" ht="15" x14ac:dyDescent="0.25">
      <c r="A3602" s="2">
        <v>51091106</v>
      </c>
      <c r="B3602" s="3" t="s">
        <v>42</v>
      </c>
      <c r="C3602" s="9"/>
    </row>
    <row r="3603" spans="1:3" ht="15" x14ac:dyDescent="0.25">
      <c r="A3603" s="2">
        <v>5109110601</v>
      </c>
      <c r="B3603" s="3" t="s">
        <v>40</v>
      </c>
      <c r="C3603" s="9"/>
    </row>
    <row r="3604" spans="1:3" ht="15" x14ac:dyDescent="0.25">
      <c r="A3604" s="2">
        <v>5109110619</v>
      </c>
      <c r="B3604" s="3" t="s">
        <v>41</v>
      </c>
      <c r="C3604" s="9"/>
    </row>
    <row r="3605" spans="1:3" ht="15" x14ac:dyDescent="0.25">
      <c r="A3605" s="2">
        <v>51091107</v>
      </c>
      <c r="B3605" s="3" t="s">
        <v>43</v>
      </c>
      <c r="C3605" s="9"/>
    </row>
    <row r="3606" spans="1:3" ht="15" x14ac:dyDescent="0.25">
      <c r="A3606" s="2">
        <v>5109110701</v>
      </c>
      <c r="B3606" s="3" t="s">
        <v>40</v>
      </c>
      <c r="C3606" s="9"/>
    </row>
    <row r="3607" spans="1:3" ht="15" x14ac:dyDescent="0.25">
      <c r="A3607" s="2">
        <v>5109110702</v>
      </c>
      <c r="B3607" s="3" t="s">
        <v>44</v>
      </c>
      <c r="C3607" s="9"/>
    </row>
    <row r="3608" spans="1:3" ht="15" x14ac:dyDescent="0.25">
      <c r="A3608" s="2">
        <v>5109110705</v>
      </c>
      <c r="B3608" s="3" t="s">
        <v>46</v>
      </c>
      <c r="C3608" s="9"/>
    </row>
    <row r="3609" spans="1:3" ht="15" x14ac:dyDescent="0.25">
      <c r="A3609" s="2">
        <v>5109110706</v>
      </c>
      <c r="B3609" s="3" t="s">
        <v>45</v>
      </c>
      <c r="C3609" s="9"/>
    </row>
    <row r="3610" spans="1:3" ht="15" x14ac:dyDescent="0.25">
      <c r="A3610" s="2">
        <v>5109110712</v>
      </c>
      <c r="B3610" s="3" t="s">
        <v>47</v>
      </c>
      <c r="C3610" s="9"/>
    </row>
    <row r="3611" spans="1:3" ht="15" x14ac:dyDescent="0.25">
      <c r="A3611" s="2">
        <v>5109110719</v>
      </c>
      <c r="B3611" s="3" t="s">
        <v>41</v>
      </c>
      <c r="C3611" s="9"/>
    </row>
    <row r="3612" spans="1:3" ht="30" x14ac:dyDescent="0.25">
      <c r="A3612" s="2">
        <v>51091110</v>
      </c>
      <c r="B3612" s="4" t="s">
        <v>48</v>
      </c>
      <c r="C3612" s="11"/>
    </row>
    <row r="3613" spans="1:3" ht="15" x14ac:dyDescent="0.25">
      <c r="A3613" s="2">
        <v>5109111005</v>
      </c>
      <c r="B3613" s="3" t="s">
        <v>39</v>
      </c>
      <c r="C3613" s="9"/>
    </row>
    <row r="3614" spans="1:3" ht="15" x14ac:dyDescent="0.25">
      <c r="A3614" s="2">
        <v>5109111006</v>
      </c>
      <c r="B3614" s="3" t="s">
        <v>42</v>
      </c>
      <c r="C3614" s="9"/>
    </row>
    <row r="3615" spans="1:3" ht="15" x14ac:dyDescent="0.25">
      <c r="A3615" s="2">
        <v>5109111007</v>
      </c>
      <c r="B3615" s="3" t="s">
        <v>43</v>
      </c>
      <c r="C3615" s="9"/>
    </row>
    <row r="3616" spans="1:3" ht="30" x14ac:dyDescent="0.25">
      <c r="A3616" s="2">
        <v>51091111</v>
      </c>
      <c r="B3616" s="4" t="s">
        <v>50</v>
      </c>
      <c r="C3616" s="11"/>
    </row>
    <row r="3617" spans="1:3" ht="15" x14ac:dyDescent="0.25">
      <c r="A3617" s="2">
        <v>5109111105</v>
      </c>
      <c r="B3617" s="3" t="s">
        <v>39</v>
      </c>
      <c r="C3617" s="9"/>
    </row>
    <row r="3618" spans="1:3" ht="15" x14ac:dyDescent="0.25">
      <c r="A3618" s="2">
        <v>5109111106</v>
      </c>
      <c r="B3618" s="3" t="s">
        <v>42</v>
      </c>
      <c r="C3618" s="9"/>
    </row>
    <row r="3619" spans="1:3" ht="15" x14ac:dyDescent="0.25">
      <c r="A3619" s="2">
        <v>5109111107</v>
      </c>
      <c r="B3619" s="3" t="s">
        <v>43</v>
      </c>
      <c r="C3619" s="9"/>
    </row>
    <row r="3620" spans="1:3" ht="30" x14ac:dyDescent="0.25">
      <c r="A3620" s="2">
        <v>51091112</v>
      </c>
      <c r="B3620" s="4" t="s">
        <v>51</v>
      </c>
      <c r="C3620" s="11"/>
    </row>
    <row r="3621" spans="1:3" ht="15" x14ac:dyDescent="0.25">
      <c r="A3621" s="2">
        <v>5109111205</v>
      </c>
      <c r="B3621" s="3" t="s">
        <v>39</v>
      </c>
      <c r="C3621" s="9"/>
    </row>
    <row r="3622" spans="1:3" ht="15" x14ac:dyDescent="0.25">
      <c r="A3622" s="2">
        <v>5109111206</v>
      </c>
      <c r="B3622" s="3" t="s">
        <v>42</v>
      </c>
      <c r="C3622" s="9"/>
    </row>
    <row r="3623" spans="1:3" ht="15" x14ac:dyDescent="0.25">
      <c r="A3623" s="2">
        <v>5109111207</v>
      </c>
      <c r="B3623" s="3" t="s">
        <v>43</v>
      </c>
      <c r="C3623" s="9"/>
    </row>
    <row r="3624" spans="1:3" ht="15" x14ac:dyDescent="0.25">
      <c r="A3624" s="2">
        <v>51091113</v>
      </c>
      <c r="B3624" s="3" t="s">
        <v>49</v>
      </c>
      <c r="C3624" s="9"/>
    </row>
    <row r="3625" spans="1:3" ht="15" x14ac:dyDescent="0.25">
      <c r="A3625" s="2">
        <v>51091119</v>
      </c>
      <c r="B3625" s="3" t="s">
        <v>59</v>
      </c>
      <c r="C3625" s="9"/>
    </row>
    <row r="3626" spans="1:3" ht="30" x14ac:dyDescent="0.25">
      <c r="A3626" s="2">
        <v>510912</v>
      </c>
      <c r="B3626" s="4" t="s">
        <v>913</v>
      </c>
      <c r="C3626" s="11"/>
    </row>
    <row r="3627" spans="1:3" ht="15" x14ac:dyDescent="0.25">
      <c r="A3627" s="2">
        <v>51091201</v>
      </c>
      <c r="B3627" s="3" t="s">
        <v>55</v>
      </c>
      <c r="C3627" s="9"/>
    </row>
    <row r="3628" spans="1:3" ht="15" x14ac:dyDescent="0.25">
      <c r="A3628" s="2">
        <v>5109120101</v>
      </c>
      <c r="B3628" s="3" t="s">
        <v>56</v>
      </c>
      <c r="C3628" s="9"/>
    </row>
    <row r="3629" spans="1:3" ht="15" x14ac:dyDescent="0.25">
      <c r="A3629" s="2">
        <v>5109120109</v>
      </c>
      <c r="B3629" s="3" t="s">
        <v>60</v>
      </c>
      <c r="C3629" s="9"/>
    </row>
    <row r="3630" spans="1:3" ht="15" x14ac:dyDescent="0.25">
      <c r="A3630" s="2">
        <v>51091202</v>
      </c>
      <c r="B3630" s="3" t="s">
        <v>61</v>
      </c>
      <c r="C3630" s="9"/>
    </row>
    <row r="3631" spans="1:3" ht="15" x14ac:dyDescent="0.25">
      <c r="A3631" s="2">
        <v>51091203</v>
      </c>
      <c r="B3631" s="3" t="s">
        <v>62</v>
      </c>
      <c r="C3631" s="9"/>
    </row>
    <row r="3632" spans="1:3" ht="15" x14ac:dyDescent="0.25">
      <c r="A3632" s="2">
        <v>51091205</v>
      </c>
      <c r="B3632" s="3" t="s">
        <v>39</v>
      </c>
      <c r="C3632" s="9"/>
    </row>
    <row r="3633" spans="1:3" ht="15" x14ac:dyDescent="0.25">
      <c r="A3633" s="2">
        <v>5109120503</v>
      </c>
      <c r="B3633" s="3" t="s">
        <v>65</v>
      </c>
      <c r="C3633" s="9"/>
    </row>
    <row r="3634" spans="1:3" ht="15" x14ac:dyDescent="0.25">
      <c r="A3634" s="2">
        <v>5109120505</v>
      </c>
      <c r="B3634" s="3" t="s">
        <v>66</v>
      </c>
      <c r="C3634" s="9"/>
    </row>
    <row r="3635" spans="1:3" ht="15" x14ac:dyDescent="0.25">
      <c r="A3635" s="2">
        <v>5109120506</v>
      </c>
      <c r="B3635" s="3" t="s">
        <v>67</v>
      </c>
      <c r="C3635" s="9"/>
    </row>
    <row r="3636" spans="1:3" ht="15" x14ac:dyDescent="0.25">
      <c r="A3636" s="2">
        <v>5109120507</v>
      </c>
      <c r="B3636" s="3" t="s">
        <v>68</v>
      </c>
      <c r="C3636" s="9"/>
    </row>
    <row r="3637" spans="1:3" ht="15" x14ac:dyDescent="0.25">
      <c r="A3637" s="2">
        <v>5109120508</v>
      </c>
      <c r="B3637" s="3" t="s">
        <v>69</v>
      </c>
      <c r="C3637" s="9"/>
    </row>
    <row r="3638" spans="1:3" ht="15" x14ac:dyDescent="0.25">
      <c r="A3638" s="2">
        <v>5109120509</v>
      </c>
      <c r="B3638" s="3" t="s">
        <v>70</v>
      </c>
      <c r="C3638" s="9"/>
    </row>
    <row r="3639" spans="1:3" ht="30" x14ac:dyDescent="0.25">
      <c r="A3639" s="2">
        <v>5109120510</v>
      </c>
      <c r="B3639" s="4" t="s">
        <v>697</v>
      </c>
      <c r="C3639" s="11"/>
    </row>
    <row r="3640" spans="1:3" ht="15" x14ac:dyDescent="0.25">
      <c r="A3640" s="2">
        <v>5109120511</v>
      </c>
      <c r="B3640" s="3" t="s">
        <v>72</v>
      </c>
      <c r="C3640" s="9"/>
    </row>
    <row r="3641" spans="1:3" ht="15" x14ac:dyDescent="0.25">
      <c r="A3641" s="2">
        <v>5109120519</v>
      </c>
      <c r="B3641" s="3" t="s">
        <v>41</v>
      </c>
      <c r="C3641" s="9"/>
    </row>
    <row r="3642" spans="1:3" ht="15" x14ac:dyDescent="0.25">
      <c r="A3642" s="2">
        <v>51091206</v>
      </c>
      <c r="B3642" s="3" t="s">
        <v>42</v>
      </c>
      <c r="C3642" s="9"/>
    </row>
    <row r="3643" spans="1:3" ht="15" x14ac:dyDescent="0.25">
      <c r="A3643" s="2">
        <v>5109120608</v>
      </c>
      <c r="B3643" s="3" t="s">
        <v>69</v>
      </c>
      <c r="C3643" s="9"/>
    </row>
    <row r="3644" spans="1:3" ht="15" x14ac:dyDescent="0.25">
      <c r="A3644" s="2">
        <v>5109120609</v>
      </c>
      <c r="B3644" s="3" t="s">
        <v>70</v>
      </c>
      <c r="C3644" s="9"/>
    </row>
    <row r="3645" spans="1:3" ht="30" x14ac:dyDescent="0.25">
      <c r="A3645" s="2">
        <v>5109120610</v>
      </c>
      <c r="B3645" s="4" t="s">
        <v>697</v>
      </c>
      <c r="C3645" s="11"/>
    </row>
    <row r="3646" spans="1:3" ht="15" x14ac:dyDescent="0.25">
      <c r="A3646" s="2">
        <v>5109120611</v>
      </c>
      <c r="B3646" s="3" t="s">
        <v>72</v>
      </c>
      <c r="C3646" s="9"/>
    </row>
    <row r="3647" spans="1:3" ht="15" x14ac:dyDescent="0.25">
      <c r="A3647" s="2">
        <v>5109120619</v>
      </c>
      <c r="B3647" s="3" t="s">
        <v>41</v>
      </c>
      <c r="C3647" s="9"/>
    </row>
    <row r="3648" spans="1:3" ht="15" x14ac:dyDescent="0.25">
      <c r="A3648" s="2">
        <v>51091207</v>
      </c>
      <c r="B3648" s="3" t="s">
        <v>43</v>
      </c>
      <c r="C3648" s="9"/>
    </row>
    <row r="3649" spans="1:3" ht="15" x14ac:dyDescent="0.25">
      <c r="A3649" s="2">
        <v>5109120708</v>
      </c>
      <c r="B3649" s="3" t="s">
        <v>69</v>
      </c>
      <c r="C3649" s="9"/>
    </row>
    <row r="3650" spans="1:3" ht="15" x14ac:dyDescent="0.25">
      <c r="A3650" s="2">
        <v>5109120709</v>
      </c>
      <c r="B3650" s="3" t="s">
        <v>70</v>
      </c>
      <c r="C3650" s="9"/>
    </row>
    <row r="3651" spans="1:3" ht="30" x14ac:dyDescent="0.25">
      <c r="A3651" s="2">
        <v>5109120710</v>
      </c>
      <c r="B3651" s="4" t="s">
        <v>697</v>
      </c>
      <c r="C3651" s="11"/>
    </row>
    <row r="3652" spans="1:3" ht="15" x14ac:dyDescent="0.25">
      <c r="A3652" s="2">
        <v>5109120711</v>
      </c>
      <c r="B3652" s="3" t="s">
        <v>72</v>
      </c>
      <c r="C3652" s="9"/>
    </row>
    <row r="3653" spans="1:3" ht="15" x14ac:dyDescent="0.25">
      <c r="A3653" s="2">
        <v>5109120712</v>
      </c>
      <c r="B3653" s="3" t="s">
        <v>47</v>
      </c>
      <c r="C3653" s="9"/>
    </row>
    <row r="3654" spans="1:3" ht="15" x14ac:dyDescent="0.25">
      <c r="A3654" s="2">
        <v>5109120714</v>
      </c>
      <c r="B3654" s="3" t="s">
        <v>73</v>
      </c>
      <c r="C3654" s="9"/>
    </row>
    <row r="3655" spans="1:3" ht="15" x14ac:dyDescent="0.25">
      <c r="A3655" s="2">
        <v>5109120715</v>
      </c>
      <c r="B3655" s="3" t="s">
        <v>74</v>
      </c>
      <c r="C3655" s="9"/>
    </row>
    <row r="3656" spans="1:3" ht="15" x14ac:dyDescent="0.25">
      <c r="A3656" s="2">
        <v>5109120719</v>
      </c>
      <c r="B3656" s="3" t="s">
        <v>41</v>
      </c>
      <c r="C3656" s="9"/>
    </row>
    <row r="3657" spans="1:3" ht="30" x14ac:dyDescent="0.25">
      <c r="A3657" s="2">
        <v>51091210</v>
      </c>
      <c r="B3657" s="4" t="s">
        <v>48</v>
      </c>
      <c r="C3657" s="11"/>
    </row>
    <row r="3658" spans="1:3" ht="15" x14ac:dyDescent="0.25">
      <c r="A3658" s="2">
        <v>5109121001</v>
      </c>
      <c r="B3658" s="3" t="s">
        <v>55</v>
      </c>
      <c r="C3658" s="9"/>
    </row>
    <row r="3659" spans="1:3" ht="15" x14ac:dyDescent="0.25">
      <c r="A3659" s="2">
        <v>5109121002</v>
      </c>
      <c r="B3659" s="3" t="s">
        <v>61</v>
      </c>
      <c r="C3659" s="9"/>
    </row>
    <row r="3660" spans="1:3" ht="15" x14ac:dyDescent="0.25">
      <c r="A3660" s="2">
        <v>5109121003</v>
      </c>
      <c r="B3660" s="3" t="s">
        <v>62</v>
      </c>
      <c r="C3660" s="9"/>
    </row>
    <row r="3661" spans="1:3" ht="15" x14ac:dyDescent="0.25">
      <c r="A3661" s="2">
        <v>5109121005</v>
      </c>
      <c r="B3661" s="3" t="s">
        <v>39</v>
      </c>
      <c r="C3661" s="9"/>
    </row>
    <row r="3662" spans="1:3" ht="15" x14ac:dyDescent="0.25">
      <c r="A3662" s="2">
        <v>5109121006</v>
      </c>
      <c r="B3662" s="3" t="s">
        <v>42</v>
      </c>
      <c r="C3662" s="9"/>
    </row>
    <row r="3663" spans="1:3" ht="15" x14ac:dyDescent="0.25">
      <c r="A3663" s="2">
        <v>5109121007</v>
      </c>
      <c r="B3663" s="3" t="s">
        <v>43</v>
      </c>
      <c r="C3663" s="9"/>
    </row>
    <row r="3664" spans="1:3" ht="30" x14ac:dyDescent="0.25">
      <c r="A3664" s="2">
        <v>51091211</v>
      </c>
      <c r="B3664" s="4" t="s">
        <v>50</v>
      </c>
      <c r="C3664" s="11"/>
    </row>
    <row r="3665" spans="1:3" ht="15" x14ac:dyDescent="0.25">
      <c r="A3665" s="2">
        <v>5109121101</v>
      </c>
      <c r="B3665" s="3" t="s">
        <v>55</v>
      </c>
      <c r="C3665" s="9"/>
    </row>
    <row r="3666" spans="1:3" ht="15" x14ac:dyDescent="0.25">
      <c r="A3666" s="2">
        <v>5109121102</v>
      </c>
      <c r="B3666" s="3" t="s">
        <v>61</v>
      </c>
      <c r="C3666" s="9"/>
    </row>
    <row r="3667" spans="1:3" ht="15" x14ac:dyDescent="0.25">
      <c r="A3667" s="2">
        <v>5109121103</v>
      </c>
      <c r="B3667" s="3" t="s">
        <v>62</v>
      </c>
      <c r="C3667" s="9"/>
    </row>
    <row r="3668" spans="1:3" ht="15" x14ac:dyDescent="0.25">
      <c r="A3668" s="2">
        <v>5109121105</v>
      </c>
      <c r="B3668" s="3" t="s">
        <v>39</v>
      </c>
      <c r="C3668" s="9"/>
    </row>
    <row r="3669" spans="1:3" ht="15" x14ac:dyDescent="0.25">
      <c r="A3669" s="2">
        <v>5109121106</v>
      </c>
      <c r="B3669" s="3" t="s">
        <v>42</v>
      </c>
      <c r="C3669" s="9"/>
    </row>
    <row r="3670" spans="1:3" ht="15" x14ac:dyDescent="0.25">
      <c r="A3670" s="2">
        <v>5109121107</v>
      </c>
      <c r="B3670" s="3" t="s">
        <v>43</v>
      </c>
      <c r="C3670" s="9"/>
    </row>
    <row r="3671" spans="1:3" ht="30" x14ac:dyDescent="0.25">
      <c r="A3671" s="2">
        <v>51091212</v>
      </c>
      <c r="B3671" s="4" t="s">
        <v>51</v>
      </c>
      <c r="C3671" s="11"/>
    </row>
    <row r="3672" spans="1:3" ht="15" x14ac:dyDescent="0.25">
      <c r="A3672" s="2">
        <v>5109121201</v>
      </c>
      <c r="B3672" s="3" t="s">
        <v>55</v>
      </c>
      <c r="C3672" s="9"/>
    </row>
    <row r="3673" spans="1:3" ht="15" x14ac:dyDescent="0.25">
      <c r="A3673" s="2">
        <v>5109121202</v>
      </c>
      <c r="B3673" s="3" t="s">
        <v>61</v>
      </c>
      <c r="C3673" s="9"/>
    </row>
    <row r="3674" spans="1:3" ht="15" x14ac:dyDescent="0.25">
      <c r="A3674" s="2">
        <v>5109121203</v>
      </c>
      <c r="B3674" s="3" t="s">
        <v>62</v>
      </c>
      <c r="C3674" s="9"/>
    </row>
    <row r="3675" spans="1:3" ht="15" x14ac:dyDescent="0.25">
      <c r="A3675" s="2">
        <v>5109121205</v>
      </c>
      <c r="B3675" s="3" t="s">
        <v>39</v>
      </c>
      <c r="C3675" s="9"/>
    </row>
    <row r="3676" spans="1:3" ht="15" x14ac:dyDescent="0.25">
      <c r="A3676" s="2">
        <v>5109121206</v>
      </c>
      <c r="B3676" s="3" t="s">
        <v>42</v>
      </c>
      <c r="C3676" s="9"/>
    </row>
    <row r="3677" spans="1:3" ht="15" x14ac:dyDescent="0.25">
      <c r="A3677" s="2">
        <v>5109121207</v>
      </c>
      <c r="B3677" s="3" t="s">
        <v>43</v>
      </c>
      <c r="C3677" s="9"/>
    </row>
    <row r="3678" spans="1:3" ht="15" x14ac:dyDescent="0.25">
      <c r="A3678" s="2">
        <v>51091219</v>
      </c>
      <c r="B3678" s="3" t="s">
        <v>59</v>
      </c>
      <c r="C3678" s="9"/>
    </row>
    <row r="3679" spans="1:3" ht="30" x14ac:dyDescent="0.25">
      <c r="A3679" s="2">
        <v>510913</v>
      </c>
      <c r="B3679" s="4" t="s">
        <v>914</v>
      </c>
      <c r="C3679" s="11"/>
    </row>
    <row r="3680" spans="1:3" ht="15" x14ac:dyDescent="0.25">
      <c r="A3680" s="2">
        <v>51091305</v>
      </c>
      <c r="B3680" s="3" t="s">
        <v>39</v>
      </c>
      <c r="C3680" s="9"/>
    </row>
    <row r="3681" spans="1:3" ht="15" x14ac:dyDescent="0.25">
      <c r="A3681" s="2">
        <v>5109130501</v>
      </c>
      <c r="B3681" s="3" t="s">
        <v>40</v>
      </c>
      <c r="C3681" s="9"/>
    </row>
    <row r="3682" spans="1:3" ht="15" x14ac:dyDescent="0.25">
      <c r="A3682" s="2">
        <v>5109130519</v>
      </c>
      <c r="B3682" s="3" t="s">
        <v>41</v>
      </c>
      <c r="C3682" s="9"/>
    </row>
    <row r="3683" spans="1:3" ht="15" x14ac:dyDescent="0.25">
      <c r="A3683" s="2">
        <v>51091306</v>
      </c>
      <c r="B3683" s="3" t="s">
        <v>42</v>
      </c>
      <c r="C3683" s="9"/>
    </row>
    <row r="3684" spans="1:3" ht="15" x14ac:dyDescent="0.25">
      <c r="A3684" s="2">
        <v>5109130601</v>
      </c>
      <c r="B3684" s="3" t="s">
        <v>40</v>
      </c>
      <c r="C3684" s="9"/>
    </row>
    <row r="3685" spans="1:3" ht="15" x14ac:dyDescent="0.25">
      <c r="A3685" s="2">
        <v>5109130619</v>
      </c>
      <c r="B3685" s="3" t="s">
        <v>41</v>
      </c>
      <c r="C3685" s="9"/>
    </row>
    <row r="3686" spans="1:3" ht="15" x14ac:dyDescent="0.25">
      <c r="A3686" s="2">
        <v>51091307</v>
      </c>
      <c r="B3686" s="3" t="s">
        <v>43</v>
      </c>
      <c r="C3686" s="9"/>
    </row>
    <row r="3687" spans="1:3" ht="15" x14ac:dyDescent="0.25">
      <c r="A3687" s="2">
        <v>5109130701</v>
      </c>
      <c r="B3687" s="3" t="s">
        <v>40</v>
      </c>
      <c r="C3687" s="9"/>
    </row>
    <row r="3688" spans="1:3" ht="15" x14ac:dyDescent="0.25">
      <c r="A3688" s="2">
        <v>5109130702</v>
      </c>
      <c r="B3688" s="3" t="s">
        <v>44</v>
      </c>
      <c r="C3688" s="9"/>
    </row>
    <row r="3689" spans="1:3" ht="15" x14ac:dyDescent="0.25">
      <c r="A3689" s="2">
        <v>5109130705</v>
      </c>
      <c r="B3689" s="3" t="s">
        <v>46</v>
      </c>
      <c r="C3689" s="9"/>
    </row>
    <row r="3690" spans="1:3" ht="15" x14ac:dyDescent="0.25">
      <c r="A3690" s="2">
        <v>5109130706</v>
      </c>
      <c r="B3690" s="3" t="s">
        <v>45</v>
      </c>
      <c r="C3690" s="9"/>
    </row>
    <row r="3691" spans="1:3" ht="15" x14ac:dyDescent="0.25">
      <c r="A3691" s="2">
        <v>5109130712</v>
      </c>
      <c r="B3691" s="3" t="s">
        <v>47</v>
      </c>
      <c r="C3691" s="9"/>
    </row>
    <row r="3692" spans="1:3" ht="15" x14ac:dyDescent="0.25">
      <c r="A3692" s="2">
        <v>5109130719</v>
      </c>
      <c r="B3692" s="3" t="s">
        <v>41</v>
      </c>
      <c r="C3692" s="9"/>
    </row>
    <row r="3693" spans="1:3" ht="30" x14ac:dyDescent="0.25">
      <c r="A3693" s="2">
        <v>51091310</v>
      </c>
      <c r="B3693" s="4" t="s">
        <v>48</v>
      </c>
      <c r="C3693" s="11"/>
    </row>
    <row r="3694" spans="1:3" ht="15" x14ac:dyDescent="0.25">
      <c r="A3694" s="2">
        <v>5109131005</v>
      </c>
      <c r="B3694" s="3" t="s">
        <v>39</v>
      </c>
      <c r="C3694" s="9"/>
    </row>
    <row r="3695" spans="1:3" ht="15" x14ac:dyDescent="0.25">
      <c r="A3695" s="2">
        <v>5109131006</v>
      </c>
      <c r="B3695" s="3" t="s">
        <v>42</v>
      </c>
      <c r="C3695" s="9"/>
    </row>
    <row r="3696" spans="1:3" ht="15" x14ac:dyDescent="0.25">
      <c r="A3696" s="2">
        <v>5109131007</v>
      </c>
      <c r="B3696" s="3" t="s">
        <v>43</v>
      </c>
      <c r="C3696" s="9"/>
    </row>
    <row r="3697" spans="1:3" ht="30" x14ac:dyDescent="0.25">
      <c r="A3697" s="2">
        <v>51091311</v>
      </c>
      <c r="B3697" s="4" t="s">
        <v>50</v>
      </c>
      <c r="C3697" s="11"/>
    </row>
    <row r="3698" spans="1:3" ht="15" x14ac:dyDescent="0.25">
      <c r="A3698" s="2">
        <v>5109131105</v>
      </c>
      <c r="B3698" s="3" t="s">
        <v>39</v>
      </c>
      <c r="C3698" s="9"/>
    </row>
    <row r="3699" spans="1:3" ht="15" x14ac:dyDescent="0.25">
      <c r="A3699" s="2">
        <v>5109131106</v>
      </c>
      <c r="B3699" s="3" t="s">
        <v>42</v>
      </c>
      <c r="C3699" s="9"/>
    </row>
    <row r="3700" spans="1:3" ht="15" x14ac:dyDescent="0.25">
      <c r="A3700" s="2">
        <v>5109131107</v>
      </c>
      <c r="B3700" s="3" t="s">
        <v>43</v>
      </c>
      <c r="C3700" s="9"/>
    </row>
    <row r="3701" spans="1:3" ht="30" x14ac:dyDescent="0.25">
      <c r="A3701" s="2">
        <v>51091312</v>
      </c>
      <c r="B3701" s="4" t="s">
        <v>51</v>
      </c>
      <c r="C3701" s="11"/>
    </row>
    <row r="3702" spans="1:3" ht="15" x14ac:dyDescent="0.25">
      <c r="A3702" s="2">
        <v>5109131205</v>
      </c>
      <c r="B3702" s="3" t="s">
        <v>39</v>
      </c>
      <c r="C3702" s="9"/>
    </row>
    <row r="3703" spans="1:3" ht="15" x14ac:dyDescent="0.25">
      <c r="A3703" s="2">
        <v>5109131206</v>
      </c>
      <c r="B3703" s="3" t="s">
        <v>42</v>
      </c>
      <c r="C3703" s="9"/>
    </row>
    <row r="3704" spans="1:3" ht="15" x14ac:dyDescent="0.25">
      <c r="A3704" s="2">
        <v>5109131207</v>
      </c>
      <c r="B3704" s="3" t="s">
        <v>43</v>
      </c>
      <c r="C3704" s="9"/>
    </row>
    <row r="3705" spans="1:3" ht="15" x14ac:dyDescent="0.25">
      <c r="A3705" s="2">
        <v>51091313</v>
      </c>
      <c r="B3705" s="3" t="s">
        <v>49</v>
      </c>
      <c r="C3705" s="9"/>
    </row>
    <row r="3706" spans="1:3" ht="15" x14ac:dyDescent="0.25">
      <c r="A3706" s="2">
        <v>51091318</v>
      </c>
      <c r="B3706" s="3" t="s">
        <v>78</v>
      </c>
      <c r="C3706" s="9"/>
    </row>
    <row r="3707" spans="1:3" ht="15" x14ac:dyDescent="0.25">
      <c r="A3707" s="2">
        <v>5109131805</v>
      </c>
      <c r="B3707" s="3" t="s">
        <v>39</v>
      </c>
      <c r="C3707" s="9"/>
    </row>
    <row r="3708" spans="1:3" ht="15" x14ac:dyDescent="0.25">
      <c r="A3708" s="2">
        <v>5109131806</v>
      </c>
      <c r="B3708" s="3" t="s">
        <v>42</v>
      </c>
      <c r="C3708" s="9"/>
    </row>
    <row r="3709" spans="1:3" ht="15" x14ac:dyDescent="0.25">
      <c r="A3709" s="2">
        <v>5109131807</v>
      </c>
      <c r="B3709" s="3" t="s">
        <v>43</v>
      </c>
      <c r="C3709" s="9"/>
    </row>
    <row r="3710" spans="1:3" ht="15" x14ac:dyDescent="0.25">
      <c r="A3710" s="2">
        <v>51091319</v>
      </c>
      <c r="B3710" s="3" t="s">
        <v>53</v>
      </c>
      <c r="C3710" s="9"/>
    </row>
    <row r="3711" spans="1:3" ht="30" x14ac:dyDescent="0.25">
      <c r="A3711" s="2">
        <v>510914</v>
      </c>
      <c r="B3711" s="4" t="s">
        <v>915</v>
      </c>
      <c r="C3711" s="11"/>
    </row>
    <row r="3712" spans="1:3" ht="15" x14ac:dyDescent="0.25">
      <c r="A3712" s="2">
        <v>51091401</v>
      </c>
      <c r="B3712" s="3" t="s">
        <v>55</v>
      </c>
      <c r="C3712" s="9"/>
    </row>
    <row r="3713" spans="1:3" ht="15" x14ac:dyDescent="0.25">
      <c r="A3713" s="2">
        <v>5109140101</v>
      </c>
      <c r="B3713" s="3" t="s">
        <v>56</v>
      </c>
      <c r="C3713" s="9"/>
    </row>
    <row r="3714" spans="1:3" ht="15" x14ac:dyDescent="0.25">
      <c r="A3714" s="2">
        <v>5109140119</v>
      </c>
      <c r="B3714" s="3" t="s">
        <v>60</v>
      </c>
      <c r="C3714" s="9"/>
    </row>
    <row r="3715" spans="1:3" ht="15" x14ac:dyDescent="0.25">
      <c r="A3715" s="2">
        <v>51091402</v>
      </c>
      <c r="B3715" s="3" t="s">
        <v>61</v>
      </c>
      <c r="C3715" s="9"/>
    </row>
    <row r="3716" spans="1:3" ht="15" x14ac:dyDescent="0.25">
      <c r="A3716" s="2">
        <v>51091403</v>
      </c>
      <c r="B3716" s="3" t="s">
        <v>62</v>
      </c>
      <c r="C3716" s="9"/>
    </row>
    <row r="3717" spans="1:3" ht="15" x14ac:dyDescent="0.25">
      <c r="A3717" s="2">
        <v>51091405</v>
      </c>
      <c r="B3717" s="3" t="s">
        <v>39</v>
      </c>
      <c r="C3717" s="9"/>
    </row>
    <row r="3718" spans="1:3" ht="15" x14ac:dyDescent="0.25">
      <c r="A3718" s="2">
        <v>5109140503</v>
      </c>
      <c r="B3718" s="3" t="s">
        <v>81</v>
      </c>
      <c r="C3718" s="9"/>
    </row>
    <row r="3719" spans="1:3" ht="15" x14ac:dyDescent="0.25">
      <c r="A3719" s="2">
        <v>5109140505</v>
      </c>
      <c r="B3719" s="3" t="s">
        <v>66</v>
      </c>
      <c r="C3719" s="9"/>
    </row>
    <row r="3720" spans="1:3" ht="15" x14ac:dyDescent="0.25">
      <c r="A3720" s="2">
        <v>5109140506</v>
      </c>
      <c r="B3720" s="3" t="s">
        <v>67</v>
      </c>
      <c r="C3720" s="9"/>
    </row>
    <row r="3721" spans="1:3" ht="15" x14ac:dyDescent="0.25">
      <c r="A3721" s="2">
        <v>5109140507</v>
      </c>
      <c r="B3721" s="3" t="s">
        <v>68</v>
      </c>
      <c r="C3721" s="9"/>
    </row>
    <row r="3722" spans="1:3" ht="15" x14ac:dyDescent="0.25">
      <c r="A3722" s="2">
        <v>5109140508</v>
      </c>
      <c r="B3722" s="3" t="s">
        <v>69</v>
      </c>
      <c r="C3722" s="9"/>
    </row>
    <row r="3723" spans="1:3" ht="15" x14ac:dyDescent="0.25">
      <c r="A3723" s="2">
        <v>5109140509</v>
      </c>
      <c r="B3723" s="3" t="s">
        <v>70</v>
      </c>
      <c r="C3723" s="9"/>
    </row>
    <row r="3724" spans="1:3" ht="30" x14ac:dyDescent="0.25">
      <c r="A3724" s="2">
        <v>5109140510</v>
      </c>
      <c r="B3724" s="4" t="s">
        <v>71</v>
      </c>
      <c r="C3724" s="11"/>
    </row>
    <row r="3725" spans="1:3" ht="15" x14ac:dyDescent="0.25">
      <c r="A3725" s="2">
        <v>5109140511</v>
      </c>
      <c r="B3725" s="3" t="s">
        <v>72</v>
      </c>
      <c r="C3725" s="9"/>
    </row>
    <row r="3726" spans="1:3" ht="15" x14ac:dyDescent="0.25">
      <c r="A3726" s="2">
        <v>5109140519</v>
      </c>
      <c r="B3726" s="3" t="s">
        <v>41</v>
      </c>
      <c r="C3726" s="9"/>
    </row>
    <row r="3727" spans="1:3" ht="15" x14ac:dyDescent="0.25">
      <c r="A3727" s="2">
        <v>51091406</v>
      </c>
      <c r="B3727" s="3" t="s">
        <v>42</v>
      </c>
      <c r="C3727" s="9"/>
    </row>
    <row r="3728" spans="1:3" ht="15" x14ac:dyDescent="0.25">
      <c r="A3728" s="2">
        <v>5109140608</v>
      </c>
      <c r="B3728" s="3" t="s">
        <v>69</v>
      </c>
      <c r="C3728" s="9"/>
    </row>
    <row r="3729" spans="1:3" ht="15" x14ac:dyDescent="0.25">
      <c r="A3729" s="2">
        <v>5109140609</v>
      </c>
      <c r="B3729" s="3" t="s">
        <v>70</v>
      </c>
      <c r="C3729" s="9"/>
    </row>
    <row r="3730" spans="1:3" ht="30" x14ac:dyDescent="0.25">
      <c r="A3730" s="2">
        <v>5109140610</v>
      </c>
      <c r="B3730" s="4" t="s">
        <v>71</v>
      </c>
      <c r="C3730" s="11"/>
    </row>
    <row r="3731" spans="1:3" ht="15" x14ac:dyDescent="0.25">
      <c r="A3731" s="2">
        <v>5109140611</v>
      </c>
      <c r="B3731" s="3" t="s">
        <v>72</v>
      </c>
      <c r="C3731" s="9"/>
    </row>
    <row r="3732" spans="1:3" ht="15" x14ac:dyDescent="0.25">
      <c r="A3732" s="2">
        <v>5109140619</v>
      </c>
      <c r="B3732" s="3" t="s">
        <v>41</v>
      </c>
      <c r="C3732" s="9"/>
    </row>
    <row r="3733" spans="1:3" ht="15" x14ac:dyDescent="0.25">
      <c r="A3733" s="2">
        <v>51091407</v>
      </c>
      <c r="B3733" s="3" t="s">
        <v>43</v>
      </c>
      <c r="C3733" s="9"/>
    </row>
    <row r="3734" spans="1:3" ht="15" x14ac:dyDescent="0.25">
      <c r="A3734" s="2">
        <v>5109140708</v>
      </c>
      <c r="B3734" s="3" t="s">
        <v>69</v>
      </c>
      <c r="C3734" s="9"/>
    </row>
    <row r="3735" spans="1:3" ht="15" x14ac:dyDescent="0.25">
      <c r="A3735" s="2">
        <v>5109140709</v>
      </c>
      <c r="B3735" s="3" t="s">
        <v>70</v>
      </c>
      <c r="C3735" s="9"/>
    </row>
    <row r="3736" spans="1:3" ht="30" x14ac:dyDescent="0.25">
      <c r="A3736" s="2">
        <v>5109140710</v>
      </c>
      <c r="B3736" s="4" t="s">
        <v>71</v>
      </c>
      <c r="C3736" s="11"/>
    </row>
    <row r="3737" spans="1:3" ht="15" x14ac:dyDescent="0.25">
      <c r="A3737" s="2">
        <v>5109140711</v>
      </c>
      <c r="B3737" s="3" t="s">
        <v>72</v>
      </c>
      <c r="C3737" s="9"/>
    </row>
    <row r="3738" spans="1:3" ht="15" x14ac:dyDescent="0.25">
      <c r="A3738" s="2">
        <v>5109140712</v>
      </c>
      <c r="B3738" s="3" t="s">
        <v>47</v>
      </c>
      <c r="C3738" s="9"/>
    </row>
    <row r="3739" spans="1:3" ht="15" x14ac:dyDescent="0.25">
      <c r="A3739" s="2">
        <v>5109140714</v>
      </c>
      <c r="B3739" s="3" t="s">
        <v>916</v>
      </c>
      <c r="C3739" s="9"/>
    </row>
    <row r="3740" spans="1:3" ht="15" x14ac:dyDescent="0.25">
      <c r="A3740" s="2">
        <v>5109140715</v>
      </c>
      <c r="B3740" s="3" t="s">
        <v>74</v>
      </c>
      <c r="C3740" s="9"/>
    </row>
    <row r="3741" spans="1:3" ht="15" x14ac:dyDescent="0.25">
      <c r="A3741" s="2">
        <v>5109140719</v>
      </c>
      <c r="B3741" s="3" t="s">
        <v>41</v>
      </c>
      <c r="C3741" s="9"/>
    </row>
    <row r="3742" spans="1:3" ht="30" x14ac:dyDescent="0.25">
      <c r="A3742" s="2">
        <v>51091410</v>
      </c>
      <c r="B3742" s="4" t="s">
        <v>48</v>
      </c>
      <c r="C3742" s="11"/>
    </row>
    <row r="3743" spans="1:3" ht="15" x14ac:dyDescent="0.25">
      <c r="A3743" s="2">
        <v>5109141001</v>
      </c>
      <c r="B3743" s="3" t="s">
        <v>55</v>
      </c>
      <c r="C3743" s="9"/>
    </row>
    <row r="3744" spans="1:3" ht="15" x14ac:dyDescent="0.25">
      <c r="A3744" s="2">
        <v>5109141002</v>
      </c>
      <c r="B3744" s="3" t="s">
        <v>61</v>
      </c>
      <c r="C3744" s="9"/>
    </row>
    <row r="3745" spans="1:3" ht="15" x14ac:dyDescent="0.25">
      <c r="A3745" s="2">
        <v>5109141003</v>
      </c>
      <c r="B3745" s="3" t="s">
        <v>62</v>
      </c>
      <c r="C3745" s="9"/>
    </row>
    <row r="3746" spans="1:3" ht="15" x14ac:dyDescent="0.25">
      <c r="A3746" s="2">
        <v>5109141005</v>
      </c>
      <c r="B3746" s="3" t="s">
        <v>39</v>
      </c>
      <c r="C3746" s="9"/>
    </row>
    <row r="3747" spans="1:3" ht="15" x14ac:dyDescent="0.25">
      <c r="A3747" s="2">
        <v>5109141006</v>
      </c>
      <c r="B3747" s="3" t="s">
        <v>42</v>
      </c>
      <c r="C3747" s="9"/>
    </row>
    <row r="3748" spans="1:3" ht="15" x14ac:dyDescent="0.25">
      <c r="A3748" s="2">
        <v>5109141007</v>
      </c>
      <c r="B3748" s="3" t="s">
        <v>43</v>
      </c>
      <c r="C3748" s="9"/>
    </row>
    <row r="3749" spans="1:3" ht="30" x14ac:dyDescent="0.25">
      <c r="A3749" s="2">
        <v>51091411</v>
      </c>
      <c r="B3749" s="4" t="s">
        <v>50</v>
      </c>
      <c r="C3749" s="11"/>
    </row>
    <row r="3750" spans="1:3" ht="15" x14ac:dyDescent="0.25">
      <c r="A3750" s="2">
        <v>5109141101</v>
      </c>
      <c r="B3750" s="3" t="s">
        <v>55</v>
      </c>
      <c r="C3750" s="9"/>
    </row>
    <row r="3751" spans="1:3" ht="15" x14ac:dyDescent="0.25">
      <c r="A3751" s="2">
        <v>5109141102</v>
      </c>
      <c r="B3751" s="3" t="s">
        <v>61</v>
      </c>
      <c r="C3751" s="9"/>
    </row>
    <row r="3752" spans="1:3" ht="15" x14ac:dyDescent="0.25">
      <c r="A3752" s="2">
        <v>5109141103</v>
      </c>
      <c r="B3752" s="3" t="s">
        <v>62</v>
      </c>
      <c r="C3752" s="9"/>
    </row>
    <row r="3753" spans="1:3" ht="15" x14ac:dyDescent="0.25">
      <c r="A3753" s="2">
        <v>5109141105</v>
      </c>
      <c r="B3753" s="3" t="s">
        <v>39</v>
      </c>
      <c r="C3753" s="9"/>
    </row>
    <row r="3754" spans="1:3" ht="15" x14ac:dyDescent="0.25">
      <c r="A3754" s="2">
        <v>5109141106</v>
      </c>
      <c r="B3754" s="3" t="s">
        <v>42</v>
      </c>
      <c r="C3754" s="9"/>
    </row>
    <row r="3755" spans="1:3" ht="15" x14ac:dyDescent="0.25">
      <c r="A3755" s="2">
        <v>5109141107</v>
      </c>
      <c r="B3755" s="3" t="s">
        <v>43</v>
      </c>
      <c r="C3755" s="9"/>
    </row>
    <row r="3756" spans="1:3" ht="30" x14ac:dyDescent="0.25">
      <c r="A3756" s="2">
        <v>51091412</v>
      </c>
      <c r="B3756" s="4" t="s">
        <v>51</v>
      </c>
      <c r="C3756" s="11"/>
    </row>
    <row r="3757" spans="1:3" ht="15" x14ac:dyDescent="0.25">
      <c r="A3757" s="2">
        <v>5109141201</v>
      </c>
      <c r="B3757" s="3" t="s">
        <v>55</v>
      </c>
      <c r="C3757" s="9"/>
    </row>
    <row r="3758" spans="1:3" ht="15" x14ac:dyDescent="0.25">
      <c r="A3758" s="2">
        <v>5109141202</v>
      </c>
      <c r="B3758" s="3" t="s">
        <v>61</v>
      </c>
      <c r="C3758" s="9"/>
    </row>
    <row r="3759" spans="1:3" ht="15" x14ac:dyDescent="0.25">
      <c r="A3759" s="2">
        <v>5109141203</v>
      </c>
      <c r="B3759" s="3" t="s">
        <v>62</v>
      </c>
      <c r="C3759" s="9"/>
    </row>
    <row r="3760" spans="1:3" ht="15" x14ac:dyDescent="0.25">
      <c r="A3760" s="2">
        <v>5109141205</v>
      </c>
      <c r="B3760" s="3" t="s">
        <v>39</v>
      </c>
      <c r="C3760" s="9"/>
    </row>
    <row r="3761" spans="1:3" ht="15" x14ac:dyDescent="0.25">
      <c r="A3761" s="2">
        <v>5109141206</v>
      </c>
      <c r="B3761" s="3" t="s">
        <v>42</v>
      </c>
      <c r="C3761" s="9"/>
    </row>
    <row r="3762" spans="1:3" ht="15" x14ac:dyDescent="0.25">
      <c r="A3762" s="2">
        <v>5109141207</v>
      </c>
      <c r="B3762" s="3" t="s">
        <v>43</v>
      </c>
      <c r="C3762" s="9"/>
    </row>
    <row r="3763" spans="1:3" ht="15" x14ac:dyDescent="0.25">
      <c r="A3763" s="2">
        <v>51091418</v>
      </c>
      <c r="B3763" s="3" t="s">
        <v>78</v>
      </c>
      <c r="C3763" s="9"/>
    </row>
    <row r="3764" spans="1:3" ht="15" x14ac:dyDescent="0.25">
      <c r="A3764" s="2">
        <v>5109141801</v>
      </c>
      <c r="B3764" s="3" t="s">
        <v>55</v>
      </c>
      <c r="C3764" s="9"/>
    </row>
    <row r="3765" spans="1:3" ht="15" x14ac:dyDescent="0.25">
      <c r="A3765" s="2">
        <v>5109141802</v>
      </c>
      <c r="B3765" s="3" t="s">
        <v>61</v>
      </c>
      <c r="C3765" s="9"/>
    </row>
    <row r="3766" spans="1:3" ht="15" x14ac:dyDescent="0.25">
      <c r="A3766" s="2">
        <v>5109141803</v>
      </c>
      <c r="B3766" s="3" t="s">
        <v>62</v>
      </c>
      <c r="C3766" s="9"/>
    </row>
    <row r="3767" spans="1:3" ht="15" x14ac:dyDescent="0.25">
      <c r="A3767" s="2">
        <v>5109141805</v>
      </c>
      <c r="B3767" s="3" t="s">
        <v>39</v>
      </c>
      <c r="C3767" s="9"/>
    </row>
    <row r="3768" spans="1:3" ht="15" x14ac:dyDescent="0.25">
      <c r="A3768" s="2">
        <v>5109141806</v>
      </c>
      <c r="B3768" s="3" t="s">
        <v>42</v>
      </c>
      <c r="C3768" s="9"/>
    </row>
    <row r="3769" spans="1:3" ht="15" x14ac:dyDescent="0.25">
      <c r="A3769" s="2">
        <v>5109141807</v>
      </c>
      <c r="B3769" s="3" t="s">
        <v>43</v>
      </c>
      <c r="C3769" s="9"/>
    </row>
    <row r="3770" spans="1:3" ht="15" x14ac:dyDescent="0.25">
      <c r="A3770" s="2">
        <v>51091419</v>
      </c>
      <c r="B3770" s="3" t="s">
        <v>59</v>
      </c>
      <c r="C3770" s="9"/>
    </row>
    <row r="3771" spans="1:3" ht="13.8" x14ac:dyDescent="0.25">
      <c r="A3771" s="5">
        <v>510915</v>
      </c>
      <c r="B3771" s="6" t="s">
        <v>917</v>
      </c>
      <c r="C3771" s="12"/>
    </row>
    <row r="3772" spans="1:3" ht="13.8" x14ac:dyDescent="0.25">
      <c r="A3772" s="5">
        <v>510916</v>
      </c>
      <c r="B3772" s="6" t="s">
        <v>918</v>
      </c>
      <c r="C3772" s="12"/>
    </row>
    <row r="3773" spans="1:3" ht="13.8" x14ac:dyDescent="0.25">
      <c r="A3773" s="5">
        <v>51091601</v>
      </c>
      <c r="B3773" s="6" t="s">
        <v>227</v>
      </c>
      <c r="C3773" s="12"/>
    </row>
    <row r="3774" spans="1:3" ht="13.8" x14ac:dyDescent="0.25">
      <c r="A3774" s="5">
        <v>51091602</v>
      </c>
      <c r="B3774" s="6" t="s">
        <v>228</v>
      </c>
      <c r="C3774" s="12"/>
    </row>
    <row r="3775" spans="1:3" ht="13.8" x14ac:dyDescent="0.25">
      <c r="A3775" s="5">
        <v>51091603</v>
      </c>
      <c r="B3775" s="6" t="s">
        <v>229</v>
      </c>
      <c r="C3775" s="12"/>
    </row>
    <row r="3776" spans="1:3" ht="13.8" x14ac:dyDescent="0.25">
      <c r="A3776" s="5">
        <v>51091605</v>
      </c>
      <c r="B3776" s="6" t="s">
        <v>230</v>
      </c>
      <c r="C3776" s="12"/>
    </row>
    <row r="3777" spans="1:3" ht="13.8" x14ac:dyDescent="0.25">
      <c r="A3777" s="5">
        <v>51091609</v>
      </c>
      <c r="B3777" s="6" t="s">
        <v>231</v>
      </c>
      <c r="C3777" s="12"/>
    </row>
    <row r="3778" spans="1:3" ht="15" x14ac:dyDescent="0.25">
      <c r="A3778" s="2">
        <v>510917</v>
      </c>
      <c r="B3778" s="3" t="s">
        <v>919</v>
      </c>
      <c r="C3778" s="9"/>
    </row>
    <row r="3779" spans="1:3" ht="15" x14ac:dyDescent="0.25">
      <c r="A3779" s="2">
        <v>51091701</v>
      </c>
      <c r="B3779" s="3" t="s">
        <v>233</v>
      </c>
      <c r="C3779" s="9"/>
    </row>
    <row r="3780" spans="1:3" ht="15" x14ac:dyDescent="0.25">
      <c r="A3780" s="2">
        <v>5109170101</v>
      </c>
      <c r="B3780" s="3" t="s">
        <v>234</v>
      </c>
      <c r="C3780" s="9"/>
    </row>
    <row r="3781" spans="1:3" ht="13.8" x14ac:dyDescent="0.25">
      <c r="A3781" s="5">
        <v>5109170102</v>
      </c>
      <c r="B3781" s="6" t="s">
        <v>920</v>
      </c>
      <c r="C3781" s="12"/>
    </row>
    <row r="3782" spans="1:3" ht="13.8" x14ac:dyDescent="0.25">
      <c r="A3782" s="5">
        <v>5109170103</v>
      </c>
      <c r="B3782" s="6" t="s">
        <v>229</v>
      </c>
      <c r="C3782" s="12"/>
    </row>
    <row r="3783" spans="1:3" ht="13.8" x14ac:dyDescent="0.25">
      <c r="A3783" s="5">
        <v>5109170105</v>
      </c>
      <c r="B3783" s="6" t="s">
        <v>230</v>
      </c>
      <c r="C3783" s="12"/>
    </row>
    <row r="3784" spans="1:3" ht="13.8" x14ac:dyDescent="0.25">
      <c r="A3784" s="5">
        <v>5109170106</v>
      </c>
      <c r="B3784" s="6" t="s">
        <v>504</v>
      </c>
      <c r="C3784" s="12"/>
    </row>
    <row r="3785" spans="1:3" ht="13.8" x14ac:dyDescent="0.25">
      <c r="A3785" s="5">
        <v>5109170109</v>
      </c>
      <c r="B3785" s="6" t="s">
        <v>231</v>
      </c>
      <c r="C3785" s="12"/>
    </row>
    <row r="3786" spans="1:3" ht="15" x14ac:dyDescent="0.25">
      <c r="A3786" s="2">
        <v>51091702</v>
      </c>
      <c r="B3786" s="3" t="s">
        <v>235</v>
      </c>
      <c r="C3786" s="9"/>
    </row>
    <row r="3787" spans="1:3" ht="15" x14ac:dyDescent="0.25">
      <c r="A3787" s="2">
        <v>5109170201</v>
      </c>
      <c r="B3787" s="3" t="s">
        <v>234</v>
      </c>
      <c r="C3787" s="9"/>
    </row>
    <row r="3788" spans="1:3" ht="13.8" x14ac:dyDescent="0.25">
      <c r="A3788" s="5">
        <v>5109170202</v>
      </c>
      <c r="B3788" s="6" t="s">
        <v>920</v>
      </c>
      <c r="C3788" s="12"/>
    </row>
    <row r="3789" spans="1:3" ht="13.8" x14ac:dyDescent="0.25">
      <c r="A3789" s="5">
        <v>5109170203</v>
      </c>
      <c r="B3789" s="6" t="s">
        <v>229</v>
      </c>
      <c r="C3789" s="12"/>
    </row>
    <row r="3790" spans="1:3" ht="13.8" x14ac:dyDescent="0.25">
      <c r="A3790" s="5">
        <v>5109170205</v>
      </c>
      <c r="B3790" s="6" t="s">
        <v>230</v>
      </c>
      <c r="C3790" s="12"/>
    </row>
    <row r="3791" spans="1:3" ht="13.8" x14ac:dyDescent="0.25">
      <c r="A3791" s="5">
        <v>5109170206</v>
      </c>
      <c r="B3791" s="6" t="s">
        <v>504</v>
      </c>
      <c r="C3791" s="12"/>
    </row>
    <row r="3792" spans="1:3" ht="13.8" x14ac:dyDescent="0.25">
      <c r="A3792" s="5">
        <v>5109170209</v>
      </c>
      <c r="B3792" s="6" t="s">
        <v>231</v>
      </c>
      <c r="C3792" s="12"/>
    </row>
    <row r="3793" spans="1:3" ht="13.8" x14ac:dyDescent="0.25">
      <c r="A3793" s="5">
        <v>510918</v>
      </c>
      <c r="B3793" s="6" t="s">
        <v>921</v>
      </c>
      <c r="C3793" s="12"/>
    </row>
    <row r="3794" spans="1:3" ht="13.8" x14ac:dyDescent="0.25">
      <c r="A3794" s="5">
        <v>510919</v>
      </c>
      <c r="B3794" s="6" t="s">
        <v>715</v>
      </c>
      <c r="C3794" s="12"/>
    </row>
    <row r="3795" spans="1:3" ht="13.8" x14ac:dyDescent="0.25">
      <c r="A3795" s="5">
        <v>510924</v>
      </c>
      <c r="B3795" s="6" t="s">
        <v>712</v>
      </c>
      <c r="C3795" s="12"/>
    </row>
    <row r="3796" spans="1:3" ht="13.8" x14ac:dyDescent="0.25">
      <c r="A3796" s="5">
        <v>51092401</v>
      </c>
      <c r="B3796" s="6" t="s">
        <v>713</v>
      </c>
      <c r="C3796" s="12"/>
    </row>
    <row r="3797" spans="1:3" ht="13.8" x14ac:dyDescent="0.25">
      <c r="A3797" s="5">
        <v>5109240101</v>
      </c>
      <c r="B3797" s="6" t="s">
        <v>714</v>
      </c>
      <c r="C3797" s="12"/>
    </row>
    <row r="3798" spans="1:3" ht="13.8" x14ac:dyDescent="0.25">
      <c r="A3798" s="5">
        <v>5109240102</v>
      </c>
      <c r="B3798" s="6" t="s">
        <v>715</v>
      </c>
      <c r="C3798" s="12"/>
    </row>
    <row r="3799" spans="1:3" ht="15" x14ac:dyDescent="0.25">
      <c r="A3799" s="2">
        <v>510925</v>
      </c>
      <c r="B3799" s="3" t="s">
        <v>922</v>
      </c>
      <c r="C3799" s="9"/>
    </row>
    <row r="3800" spans="1:3" ht="15" x14ac:dyDescent="0.25">
      <c r="A3800" s="2">
        <v>510926</v>
      </c>
      <c r="B3800" s="3" t="s">
        <v>923</v>
      </c>
      <c r="C3800" s="9"/>
    </row>
    <row r="3801" spans="1:3" ht="15" x14ac:dyDescent="0.25">
      <c r="A3801" s="2">
        <v>510927</v>
      </c>
      <c r="B3801" s="3" t="s">
        <v>924</v>
      </c>
      <c r="C3801" s="9"/>
    </row>
    <row r="3802" spans="1:3" ht="15" x14ac:dyDescent="0.25">
      <c r="A3802" s="2">
        <v>510928</v>
      </c>
      <c r="B3802" s="3" t="s">
        <v>925</v>
      </c>
      <c r="C3802" s="9"/>
    </row>
    <row r="3803" spans="1:3" ht="15" x14ac:dyDescent="0.25">
      <c r="A3803" s="2">
        <v>51092801</v>
      </c>
      <c r="B3803" s="3" t="s">
        <v>263</v>
      </c>
      <c r="C3803" s="9"/>
    </row>
    <row r="3804" spans="1:3" ht="15" x14ac:dyDescent="0.25">
      <c r="A3804" s="2">
        <v>51092802</v>
      </c>
      <c r="B3804" s="3" t="s">
        <v>264</v>
      </c>
      <c r="C3804" s="9"/>
    </row>
    <row r="3805" spans="1:3" ht="15" x14ac:dyDescent="0.25">
      <c r="A3805" s="2">
        <v>51092803</v>
      </c>
      <c r="B3805" s="3" t="s">
        <v>265</v>
      </c>
      <c r="C3805" s="9"/>
    </row>
    <row r="3806" spans="1:3" ht="15" x14ac:dyDescent="0.25">
      <c r="A3806" s="2">
        <v>510999</v>
      </c>
      <c r="B3806" s="3" t="s">
        <v>59</v>
      </c>
      <c r="C3806" s="9"/>
    </row>
    <row r="3807" spans="1:3" ht="15" x14ac:dyDescent="0.25">
      <c r="A3807" s="2">
        <v>52</v>
      </c>
      <c r="B3807" s="3" t="s">
        <v>926</v>
      </c>
      <c r="C3807" s="20">
        <f t="shared" ref="C3807" si="90">+C3812</f>
        <v>-4775.6499999999996</v>
      </c>
    </row>
    <row r="3808" spans="1:3" ht="15" x14ac:dyDescent="0.25">
      <c r="A3808" s="2">
        <v>5201</v>
      </c>
      <c r="B3808" s="3" t="s">
        <v>927</v>
      </c>
      <c r="C3808" s="9"/>
    </row>
    <row r="3809" spans="1:3" ht="15" x14ac:dyDescent="0.25">
      <c r="A3809" s="2">
        <v>520101</v>
      </c>
      <c r="B3809" s="3" t="s">
        <v>720</v>
      </c>
      <c r="C3809" s="9"/>
    </row>
    <row r="3810" spans="1:3" ht="15" x14ac:dyDescent="0.25">
      <c r="A3810" s="2">
        <v>520102</v>
      </c>
      <c r="B3810" s="3" t="s">
        <v>928</v>
      </c>
      <c r="C3810" s="9"/>
    </row>
    <row r="3811" spans="1:3" ht="30" x14ac:dyDescent="0.25">
      <c r="A3811" s="2">
        <v>520105</v>
      </c>
      <c r="B3811" s="4" t="s">
        <v>929</v>
      </c>
      <c r="C3811" s="11"/>
    </row>
    <row r="3812" spans="1:3" ht="15" x14ac:dyDescent="0.25">
      <c r="A3812" s="2">
        <v>5202</v>
      </c>
      <c r="B3812" s="3" t="s">
        <v>930</v>
      </c>
      <c r="C3812" s="20">
        <f t="shared" ref="C3812" si="91">+C3832+C3833+C3834+C3835+C3836+C3837</f>
        <v>-4775.6499999999996</v>
      </c>
    </row>
    <row r="3813" spans="1:3" ht="15" x14ac:dyDescent="0.25">
      <c r="A3813" s="2">
        <v>520201</v>
      </c>
      <c r="B3813" s="3" t="s">
        <v>931</v>
      </c>
      <c r="C3813" s="9"/>
    </row>
    <row r="3814" spans="1:3" ht="15" x14ac:dyDescent="0.25">
      <c r="A3814" s="2">
        <v>520202</v>
      </c>
      <c r="B3814" s="3" t="s">
        <v>725</v>
      </c>
      <c r="C3814" s="9"/>
    </row>
    <row r="3815" spans="1:3" ht="15" x14ac:dyDescent="0.25">
      <c r="A3815" s="2">
        <v>520203</v>
      </c>
      <c r="B3815" s="3" t="s">
        <v>932</v>
      </c>
      <c r="C3815" s="9"/>
    </row>
    <row r="3816" spans="1:3" ht="13.8" x14ac:dyDescent="0.25">
      <c r="A3816" s="5">
        <v>520204</v>
      </c>
      <c r="B3816" s="6" t="s">
        <v>727</v>
      </c>
      <c r="C3816" s="12"/>
    </row>
    <row r="3817" spans="1:3" ht="13.8" x14ac:dyDescent="0.25">
      <c r="A3817" s="5">
        <v>520207</v>
      </c>
      <c r="B3817" s="6" t="s">
        <v>729</v>
      </c>
      <c r="C3817" s="12"/>
    </row>
    <row r="3818" spans="1:3" ht="13.8" x14ac:dyDescent="0.25">
      <c r="A3818" s="5">
        <v>520208</v>
      </c>
      <c r="B3818" s="6" t="s">
        <v>730</v>
      </c>
      <c r="C3818" s="12"/>
    </row>
    <row r="3819" spans="1:3" ht="13.8" x14ac:dyDescent="0.25">
      <c r="A3819" s="5">
        <v>520209</v>
      </c>
      <c r="B3819" s="6" t="s">
        <v>414</v>
      </c>
      <c r="C3819" s="12"/>
    </row>
    <row r="3820" spans="1:3" ht="13.8" x14ac:dyDescent="0.25">
      <c r="A3820" s="5">
        <v>520210</v>
      </c>
      <c r="B3820" s="6" t="s">
        <v>413</v>
      </c>
      <c r="C3820" s="12"/>
    </row>
    <row r="3821" spans="1:3" ht="13.8" x14ac:dyDescent="0.25">
      <c r="A3821" s="5">
        <v>520211</v>
      </c>
      <c r="B3821" s="6" t="s">
        <v>416</v>
      </c>
      <c r="C3821" s="12"/>
    </row>
    <row r="3822" spans="1:3" ht="13.8" x14ac:dyDescent="0.25">
      <c r="A3822" s="5">
        <v>520212</v>
      </c>
      <c r="B3822" s="6" t="s">
        <v>933</v>
      </c>
      <c r="C3822" s="12"/>
    </row>
    <row r="3823" spans="1:3" ht="13.8" x14ac:dyDescent="0.25">
      <c r="A3823" s="5">
        <v>520213</v>
      </c>
      <c r="B3823" s="6" t="s">
        <v>735</v>
      </c>
      <c r="C3823" s="12"/>
    </row>
    <row r="3824" spans="1:3" ht="15" x14ac:dyDescent="0.25">
      <c r="A3824" s="2">
        <v>520214</v>
      </c>
      <c r="B3824" s="3" t="s">
        <v>934</v>
      </c>
      <c r="C3824" s="9"/>
    </row>
    <row r="3825" spans="1:3" ht="15" x14ac:dyDescent="0.25">
      <c r="A3825" s="2">
        <v>520215</v>
      </c>
      <c r="B3825" s="3" t="s">
        <v>935</v>
      </c>
      <c r="C3825" s="9"/>
    </row>
    <row r="3826" spans="1:3" ht="15" x14ac:dyDescent="0.25">
      <c r="A3826" s="2">
        <v>520216</v>
      </c>
      <c r="B3826" s="3" t="s">
        <v>936</v>
      </c>
      <c r="C3826" s="9"/>
    </row>
    <row r="3827" spans="1:3" ht="15" x14ac:dyDescent="0.25">
      <c r="A3827" s="2">
        <v>520217</v>
      </c>
      <c r="B3827" s="3" t="s">
        <v>937</v>
      </c>
      <c r="C3827" s="9"/>
    </row>
    <row r="3828" spans="1:3" ht="15" x14ac:dyDescent="0.25">
      <c r="A3828" s="2">
        <v>520218</v>
      </c>
      <c r="B3828" s="3" t="s">
        <v>732</v>
      </c>
      <c r="C3828" s="9"/>
    </row>
    <row r="3829" spans="1:3" ht="15" x14ac:dyDescent="0.25">
      <c r="A3829" s="2">
        <v>520221</v>
      </c>
      <c r="B3829" s="3" t="s">
        <v>733</v>
      </c>
      <c r="C3829" s="9"/>
    </row>
    <row r="3830" spans="1:3" ht="15" x14ac:dyDescent="0.25">
      <c r="A3830" s="2">
        <v>520229</v>
      </c>
      <c r="B3830" s="3" t="s">
        <v>938</v>
      </c>
      <c r="C3830" s="9"/>
    </row>
    <row r="3831" spans="1:3" s="15" customFormat="1" ht="15" x14ac:dyDescent="0.25">
      <c r="A3831" s="18" t="s">
        <v>2087</v>
      </c>
      <c r="B3831" s="19" t="s">
        <v>2088</v>
      </c>
      <c r="C3831" s="20"/>
    </row>
    <row r="3832" spans="1:3" s="15" customFormat="1" ht="15" x14ac:dyDescent="0.25">
      <c r="A3832" s="18" t="s">
        <v>2089</v>
      </c>
      <c r="B3832" s="19" t="s">
        <v>2090</v>
      </c>
      <c r="C3832" s="20">
        <v>-50</v>
      </c>
    </row>
    <row r="3833" spans="1:3" s="15" customFormat="1" ht="15" x14ac:dyDescent="0.25">
      <c r="A3833" s="18" t="s">
        <v>2091</v>
      </c>
      <c r="B3833" s="19" t="s">
        <v>2092</v>
      </c>
      <c r="C3833" s="20">
        <v>-1300</v>
      </c>
    </row>
    <row r="3834" spans="1:3" s="15" customFormat="1" ht="15" x14ac:dyDescent="0.25">
      <c r="A3834" s="18" t="s">
        <v>2093</v>
      </c>
      <c r="B3834" s="19" t="s">
        <v>2094</v>
      </c>
      <c r="C3834" s="20"/>
    </row>
    <row r="3835" spans="1:3" s="15" customFormat="1" ht="15" x14ac:dyDescent="0.25">
      <c r="A3835" s="18" t="s">
        <v>2095</v>
      </c>
      <c r="B3835" s="19" t="s">
        <v>2096</v>
      </c>
      <c r="C3835" s="20"/>
    </row>
    <row r="3836" spans="1:3" s="15" customFormat="1" ht="15" x14ac:dyDescent="0.25">
      <c r="A3836" s="18" t="s">
        <v>2097</v>
      </c>
      <c r="B3836" s="19" t="s">
        <v>2098</v>
      </c>
      <c r="C3836" s="20">
        <v>-0.65</v>
      </c>
    </row>
    <row r="3837" spans="1:3" s="15" customFormat="1" ht="15" x14ac:dyDescent="0.25">
      <c r="A3837" s="18" t="s">
        <v>2099</v>
      </c>
      <c r="B3837" s="19" t="s">
        <v>2100</v>
      </c>
      <c r="C3837" s="20">
        <v>-3425</v>
      </c>
    </row>
    <row r="3838" spans="1:3" ht="15" x14ac:dyDescent="0.25">
      <c r="A3838" s="2">
        <v>5203</v>
      </c>
      <c r="B3838" s="3" t="s">
        <v>939</v>
      </c>
      <c r="C3838" s="9"/>
    </row>
    <row r="3839" spans="1:3" ht="15" x14ac:dyDescent="0.25">
      <c r="A3839" s="2">
        <v>520301</v>
      </c>
      <c r="B3839" s="3" t="s">
        <v>940</v>
      </c>
      <c r="C3839" s="9"/>
    </row>
    <row r="3840" spans="1:3" ht="15" x14ac:dyDescent="0.25">
      <c r="A3840" s="2">
        <v>520302</v>
      </c>
      <c r="B3840" s="3" t="s">
        <v>941</v>
      </c>
      <c r="C3840" s="9"/>
    </row>
    <row r="3841" spans="1:3" ht="30" x14ac:dyDescent="0.25">
      <c r="A3841" s="2">
        <v>53</v>
      </c>
      <c r="B3841" s="3" t="s">
        <v>942</v>
      </c>
      <c r="C3841" s="9"/>
    </row>
    <row r="3842" spans="1:3" ht="15" x14ac:dyDescent="0.25">
      <c r="A3842" s="2">
        <v>5301</v>
      </c>
      <c r="B3842" s="3" t="s">
        <v>943</v>
      </c>
      <c r="C3842" s="9"/>
    </row>
    <row r="3843" spans="1:3" ht="30" x14ac:dyDescent="0.25">
      <c r="A3843" s="2">
        <v>530104</v>
      </c>
      <c r="B3843" s="4" t="s">
        <v>944</v>
      </c>
      <c r="C3843" s="11"/>
    </row>
    <row r="3844" spans="1:3" ht="15" x14ac:dyDescent="0.25">
      <c r="A3844" s="2">
        <v>530105</v>
      </c>
      <c r="B3844" s="3" t="s">
        <v>945</v>
      </c>
      <c r="C3844" s="9"/>
    </row>
    <row r="3845" spans="1:3" ht="15" x14ac:dyDescent="0.25">
      <c r="A3845" s="2">
        <v>530107</v>
      </c>
      <c r="B3845" s="3" t="s">
        <v>743</v>
      </c>
      <c r="C3845" s="9"/>
    </row>
    <row r="3846" spans="1:3" ht="30" x14ac:dyDescent="0.25">
      <c r="A3846" s="2">
        <v>5302</v>
      </c>
      <c r="B3846" s="4" t="s">
        <v>946</v>
      </c>
      <c r="C3846" s="11"/>
    </row>
    <row r="3847" spans="1:3" ht="15" x14ac:dyDescent="0.25">
      <c r="A3847" s="2">
        <v>530201</v>
      </c>
      <c r="B3847" s="3" t="s">
        <v>298</v>
      </c>
      <c r="C3847" s="9"/>
    </row>
    <row r="3848" spans="1:3" ht="15" x14ac:dyDescent="0.25">
      <c r="A3848" s="2">
        <v>530202</v>
      </c>
      <c r="B3848" s="3" t="s">
        <v>947</v>
      </c>
      <c r="C3848" s="9"/>
    </row>
    <row r="3849" spans="1:3" s="15" customFormat="1" ht="15" x14ac:dyDescent="0.25">
      <c r="A3849" s="18" t="s">
        <v>2101</v>
      </c>
      <c r="B3849" s="19" t="s">
        <v>2102</v>
      </c>
      <c r="C3849" s="20"/>
    </row>
    <row r="3850" spans="1:3" ht="15" x14ac:dyDescent="0.25">
      <c r="A3850" s="2">
        <v>530203</v>
      </c>
      <c r="B3850" s="3" t="s">
        <v>310</v>
      </c>
      <c r="C3850" s="9"/>
    </row>
    <row r="3851" spans="1:3" s="15" customFormat="1" ht="15" x14ac:dyDescent="0.25">
      <c r="A3851" s="18" t="s">
        <v>2103</v>
      </c>
      <c r="B3851" s="19" t="s">
        <v>2104</v>
      </c>
      <c r="C3851" s="20"/>
    </row>
    <row r="3852" spans="1:3" s="15" customFormat="1" ht="15" x14ac:dyDescent="0.25">
      <c r="A3852" s="18" t="s">
        <v>2105</v>
      </c>
      <c r="B3852" s="19" t="s">
        <v>2104</v>
      </c>
      <c r="C3852" s="20"/>
    </row>
    <row r="3853" spans="1:3" ht="15" x14ac:dyDescent="0.25">
      <c r="A3853" s="2">
        <v>530204</v>
      </c>
      <c r="B3853" s="3" t="s">
        <v>311</v>
      </c>
      <c r="C3853" s="9"/>
    </row>
    <row r="3854" spans="1:3" ht="15" x14ac:dyDescent="0.25">
      <c r="A3854" s="2">
        <v>530205</v>
      </c>
      <c r="B3854" s="3" t="s">
        <v>948</v>
      </c>
      <c r="C3854" s="9"/>
    </row>
    <row r="3855" spans="1:3" ht="15" x14ac:dyDescent="0.25">
      <c r="A3855" s="2">
        <v>530207</v>
      </c>
      <c r="B3855" s="3" t="s">
        <v>949</v>
      </c>
      <c r="C3855" s="9"/>
    </row>
    <row r="3856" spans="1:3" ht="15" x14ac:dyDescent="0.25">
      <c r="A3856" s="2">
        <v>5303</v>
      </c>
      <c r="B3856" s="3" t="s">
        <v>950</v>
      </c>
      <c r="C3856" s="9"/>
    </row>
    <row r="3857" spans="1:3" ht="15" x14ac:dyDescent="0.25">
      <c r="A3857" s="2">
        <v>530303</v>
      </c>
      <c r="B3857" s="3" t="s">
        <v>382</v>
      </c>
      <c r="C3857" s="9"/>
    </row>
    <row r="3858" spans="1:3" ht="15" x14ac:dyDescent="0.25">
      <c r="A3858" s="2">
        <v>530304</v>
      </c>
      <c r="B3858" s="3" t="s">
        <v>951</v>
      </c>
      <c r="C3858" s="9"/>
    </row>
    <row r="3859" spans="1:3" ht="15" x14ac:dyDescent="0.25">
      <c r="A3859" s="2">
        <v>54</v>
      </c>
      <c r="B3859" s="3" t="s">
        <v>952</v>
      </c>
      <c r="C3859" s="20">
        <f t="shared" ref="C3859" si="92">+C3860+C3864</f>
        <v>-14948.36</v>
      </c>
    </row>
    <row r="3860" spans="1:3" ht="15" x14ac:dyDescent="0.25">
      <c r="A3860" s="2">
        <v>5404</v>
      </c>
      <c r="B3860" s="3" t="s">
        <v>953</v>
      </c>
      <c r="C3860" s="20">
        <f t="shared" ref="C3860" si="93">+C3862</f>
        <v>-3079.09</v>
      </c>
    </row>
    <row r="3861" spans="1:3" ht="15" x14ac:dyDescent="0.25">
      <c r="A3861" s="2">
        <v>540401</v>
      </c>
      <c r="B3861" s="3" t="s">
        <v>954</v>
      </c>
      <c r="C3861" s="9"/>
    </row>
    <row r="3862" spans="1:3" s="15" customFormat="1" ht="15" x14ac:dyDescent="0.25">
      <c r="A3862" s="18" t="s">
        <v>2106</v>
      </c>
      <c r="B3862" s="19" t="s">
        <v>2107</v>
      </c>
      <c r="C3862" s="20">
        <v>-3079.09</v>
      </c>
    </row>
    <row r="3863" spans="1:3" ht="15" x14ac:dyDescent="0.25">
      <c r="A3863" s="2">
        <v>540402</v>
      </c>
      <c r="B3863" s="3" t="s">
        <v>582</v>
      </c>
      <c r="C3863" s="9"/>
    </row>
    <row r="3864" spans="1:3" ht="15" x14ac:dyDescent="0.25">
      <c r="A3864" s="2">
        <v>5405</v>
      </c>
      <c r="B3864" s="3" t="s">
        <v>955</v>
      </c>
      <c r="C3864" s="20">
        <f t="shared" ref="C3864" si="94">+C3865</f>
        <v>-11869.27</v>
      </c>
    </row>
    <row r="3865" spans="1:3" s="15" customFormat="1" ht="15" x14ac:dyDescent="0.25">
      <c r="A3865" s="18" t="s">
        <v>2108</v>
      </c>
      <c r="B3865" s="19" t="s">
        <v>2109</v>
      </c>
      <c r="C3865" s="20">
        <v>-11869.27</v>
      </c>
    </row>
    <row r="3866" spans="1:3" ht="30" x14ac:dyDescent="0.25">
      <c r="A3866" s="2">
        <v>5406</v>
      </c>
      <c r="B3866" s="4" t="s">
        <v>956</v>
      </c>
      <c r="C3866" s="11"/>
    </row>
    <row r="3867" spans="1:3" ht="15" x14ac:dyDescent="0.25">
      <c r="A3867" s="2">
        <v>56</v>
      </c>
      <c r="B3867" s="3" t="s">
        <v>957</v>
      </c>
      <c r="C3867" s="9"/>
    </row>
    <row r="3868" spans="1:3" ht="15" x14ac:dyDescent="0.25">
      <c r="A3868" s="2">
        <v>5601</v>
      </c>
      <c r="B3868" s="3" t="s">
        <v>958</v>
      </c>
      <c r="C3868" s="9"/>
    </row>
    <row r="3869" spans="1:3" ht="15" x14ac:dyDescent="0.25">
      <c r="A3869" s="2">
        <v>5602</v>
      </c>
      <c r="B3869" s="3" t="s">
        <v>959</v>
      </c>
      <c r="C3869" s="9"/>
    </row>
    <row r="3870" spans="1:3" ht="30" x14ac:dyDescent="0.25">
      <c r="A3870" s="2">
        <v>5604</v>
      </c>
      <c r="B3870" s="4" t="s">
        <v>960</v>
      </c>
      <c r="C3870" s="11"/>
    </row>
    <row r="3871" spans="1:3" ht="15" x14ac:dyDescent="0.25">
      <c r="A3871" s="2">
        <v>5607</v>
      </c>
      <c r="B3871" s="3" t="s">
        <v>961</v>
      </c>
      <c r="C3871" s="9"/>
    </row>
    <row r="3872" spans="1:3" ht="15" x14ac:dyDescent="0.25">
      <c r="A3872" s="2">
        <v>5609</v>
      </c>
      <c r="B3872" s="3" t="s">
        <v>957</v>
      </c>
      <c r="C3872" s="9"/>
    </row>
    <row r="3873" spans="1:3" s="15" customFormat="1" ht="15" x14ac:dyDescent="0.25">
      <c r="A3873" s="18" t="s">
        <v>2110</v>
      </c>
      <c r="B3873" s="19" t="s">
        <v>2111</v>
      </c>
      <c r="C3873" s="20"/>
    </row>
    <row r="3874" spans="1:3" ht="15" x14ac:dyDescent="0.25">
      <c r="A3874" s="2">
        <v>57</v>
      </c>
      <c r="B3874" s="3" t="s">
        <v>962</v>
      </c>
      <c r="C3874" s="20">
        <f t="shared" ref="C3874" si="95">+C3876</f>
        <v>-133561.69</v>
      </c>
    </row>
    <row r="3875" spans="1:3" ht="15" x14ac:dyDescent="0.25">
      <c r="A3875" s="2">
        <v>5701</v>
      </c>
      <c r="B3875" s="3" t="s">
        <v>963</v>
      </c>
      <c r="C3875" s="9"/>
    </row>
    <row r="3876" spans="1:3" ht="15" x14ac:dyDescent="0.25">
      <c r="A3876" s="2">
        <v>5702</v>
      </c>
      <c r="B3876" s="3" t="s">
        <v>964</v>
      </c>
      <c r="C3876" s="20">
        <f t="shared" ref="C3876" si="96">+C3877+C3878+C3879+C3880</f>
        <v>-133561.69</v>
      </c>
    </row>
    <row r="3877" spans="1:3" s="15" customFormat="1" ht="15" x14ac:dyDescent="0.25">
      <c r="A3877" s="18" t="s">
        <v>2112</v>
      </c>
      <c r="B3877" s="19" t="s">
        <v>2113</v>
      </c>
      <c r="C3877" s="20">
        <v>-22732.09</v>
      </c>
    </row>
    <row r="3878" spans="1:3" s="15" customFormat="1" ht="15" x14ac:dyDescent="0.25">
      <c r="A3878" s="18" t="s">
        <v>2114</v>
      </c>
      <c r="B3878" s="19" t="s">
        <v>2115</v>
      </c>
      <c r="C3878" s="20">
        <v>-27736.3</v>
      </c>
    </row>
    <row r="3879" spans="1:3" s="15" customFormat="1" ht="15" x14ac:dyDescent="0.25">
      <c r="A3879" s="18" t="s">
        <v>2116</v>
      </c>
      <c r="B3879" s="19" t="s">
        <v>2117</v>
      </c>
      <c r="C3879" s="20">
        <v>-67312.5</v>
      </c>
    </row>
    <row r="3880" spans="1:3" s="15" customFormat="1" ht="15" x14ac:dyDescent="0.25">
      <c r="A3880" s="18" t="s">
        <v>2118</v>
      </c>
      <c r="B3880" s="19" t="s">
        <v>2119</v>
      </c>
      <c r="C3880" s="20">
        <v>-15780.8</v>
      </c>
    </row>
    <row r="3881" spans="1:3" ht="15" x14ac:dyDescent="0.25">
      <c r="A3881" s="2">
        <v>59</v>
      </c>
      <c r="B3881" s="3" t="s">
        <v>965</v>
      </c>
      <c r="C3881" s="9"/>
    </row>
    <row r="3882" spans="1:3" ht="15" x14ac:dyDescent="0.25">
      <c r="A3882" s="2">
        <v>5901</v>
      </c>
      <c r="B3882" s="3" t="s">
        <v>965</v>
      </c>
      <c r="C3882" s="9"/>
    </row>
    <row r="3883" spans="1:3" ht="15" x14ac:dyDescent="0.25">
      <c r="A3883" s="2">
        <v>6</v>
      </c>
      <c r="B3883" s="3" t="s">
        <v>966</v>
      </c>
      <c r="C3883" s="9"/>
    </row>
    <row r="3884" spans="1:3" ht="15" x14ac:dyDescent="0.25">
      <c r="A3884" s="2">
        <v>61</v>
      </c>
      <c r="B3884" s="3" t="s">
        <v>967</v>
      </c>
      <c r="C3884" s="9"/>
    </row>
    <row r="3885" spans="1:3" ht="15" x14ac:dyDescent="0.25">
      <c r="A3885" s="2">
        <v>6101</v>
      </c>
      <c r="B3885" s="3" t="s">
        <v>968</v>
      </c>
      <c r="C3885" s="9"/>
    </row>
    <row r="3886" spans="1:3" ht="15" x14ac:dyDescent="0.25">
      <c r="A3886" s="2">
        <v>66</v>
      </c>
      <c r="B3886" s="3" t="s">
        <v>969</v>
      </c>
      <c r="C3886" s="9"/>
    </row>
    <row r="3887" spans="1:3" ht="15" x14ac:dyDescent="0.25">
      <c r="A3887" s="2">
        <v>6601</v>
      </c>
      <c r="B3887" s="3" t="s">
        <v>970</v>
      </c>
      <c r="C3887" s="9"/>
    </row>
    <row r="3888" spans="1:3" ht="15" x14ac:dyDescent="0.25">
      <c r="A3888" s="2">
        <v>68</v>
      </c>
      <c r="B3888" s="3" t="s">
        <v>971</v>
      </c>
      <c r="C3888" s="9"/>
    </row>
    <row r="3889" spans="1:3" ht="15" x14ac:dyDescent="0.25">
      <c r="A3889" s="2">
        <v>6801</v>
      </c>
      <c r="B3889" s="3" t="s">
        <v>972</v>
      </c>
      <c r="C3889" s="9"/>
    </row>
    <row r="3890" spans="1:3" ht="15" x14ac:dyDescent="0.25">
      <c r="A3890" s="2">
        <v>69</v>
      </c>
      <c r="B3890" s="3" t="s">
        <v>631</v>
      </c>
      <c r="C3890" s="9"/>
    </row>
    <row r="3891" spans="1:3" ht="15" x14ac:dyDescent="0.25">
      <c r="A3891" s="2">
        <v>6901</v>
      </c>
      <c r="B3891" s="3" t="s">
        <v>973</v>
      </c>
      <c r="C3891" s="9"/>
    </row>
    <row r="3892" spans="1:3" ht="15" x14ac:dyDescent="0.25">
      <c r="A3892" s="2">
        <v>7</v>
      </c>
      <c r="B3892" s="3" t="s">
        <v>974</v>
      </c>
      <c r="C3892" s="9"/>
    </row>
    <row r="3893" spans="1:3" ht="15" x14ac:dyDescent="0.25">
      <c r="A3893" s="2">
        <v>71</v>
      </c>
      <c r="B3893" s="3" t="s">
        <v>975</v>
      </c>
      <c r="C3893" s="9"/>
    </row>
    <row r="3894" spans="1:3" ht="15" x14ac:dyDescent="0.25">
      <c r="A3894" s="2">
        <v>7101</v>
      </c>
      <c r="B3894" s="3" t="s">
        <v>976</v>
      </c>
      <c r="C3894" s="9"/>
    </row>
    <row r="3895" spans="1:3" ht="15" x14ac:dyDescent="0.25">
      <c r="A3895" s="2">
        <v>7102</v>
      </c>
      <c r="B3895" s="3" t="s">
        <v>977</v>
      </c>
      <c r="C3895" s="9"/>
    </row>
    <row r="3896" spans="1:3" ht="30" x14ac:dyDescent="0.25">
      <c r="A3896" s="2">
        <v>7105</v>
      </c>
      <c r="B3896" s="4" t="s">
        <v>978</v>
      </c>
      <c r="C3896" s="11"/>
    </row>
    <row r="3897" spans="1:3" ht="15" x14ac:dyDescent="0.25">
      <c r="A3897" s="2">
        <v>7106</v>
      </c>
      <c r="B3897" s="3" t="s">
        <v>979</v>
      </c>
      <c r="C3897" s="9"/>
    </row>
    <row r="3898" spans="1:3" ht="15" x14ac:dyDescent="0.25">
      <c r="A3898" s="2">
        <v>710601</v>
      </c>
      <c r="B3898" s="3" t="s">
        <v>234</v>
      </c>
      <c r="C3898" s="9"/>
    </row>
    <row r="3899" spans="1:3" ht="13.8" x14ac:dyDescent="0.25">
      <c r="A3899" s="5">
        <v>71060101</v>
      </c>
      <c r="B3899" s="6" t="s">
        <v>980</v>
      </c>
      <c r="C3899" s="12"/>
    </row>
    <row r="3900" spans="1:3" ht="15" x14ac:dyDescent="0.25">
      <c r="A3900" s="2">
        <v>71060102</v>
      </c>
      <c r="B3900" s="3" t="s">
        <v>981</v>
      </c>
      <c r="C3900" s="9"/>
    </row>
    <row r="3901" spans="1:3" ht="13.8" x14ac:dyDescent="0.25">
      <c r="A3901" s="5">
        <v>71060104</v>
      </c>
      <c r="B3901" s="6" t="s">
        <v>982</v>
      </c>
      <c r="C3901" s="12"/>
    </row>
    <row r="3902" spans="1:3" ht="13.8" x14ac:dyDescent="0.25">
      <c r="A3902" s="5">
        <v>71060105</v>
      </c>
      <c r="B3902" s="6" t="s">
        <v>983</v>
      </c>
      <c r="C3902" s="12"/>
    </row>
    <row r="3903" spans="1:3" ht="13.8" x14ac:dyDescent="0.25">
      <c r="A3903" s="5">
        <v>71060109</v>
      </c>
      <c r="B3903" s="6" t="s">
        <v>984</v>
      </c>
      <c r="C3903" s="12"/>
    </row>
    <row r="3904" spans="1:3" ht="13.8" x14ac:dyDescent="0.25">
      <c r="A3904" s="5">
        <v>710602</v>
      </c>
      <c r="B3904" s="6" t="s">
        <v>228</v>
      </c>
      <c r="C3904" s="12"/>
    </row>
    <row r="3905" spans="1:3" ht="13.8" x14ac:dyDescent="0.25">
      <c r="A3905" s="5">
        <v>710603</v>
      </c>
      <c r="B3905" s="6" t="s">
        <v>229</v>
      </c>
      <c r="C3905" s="12"/>
    </row>
    <row r="3906" spans="1:3" ht="13.8" x14ac:dyDescent="0.25">
      <c r="A3906" s="5">
        <v>710609</v>
      </c>
      <c r="B3906" s="6" t="s">
        <v>231</v>
      </c>
      <c r="C3906" s="12"/>
    </row>
    <row r="3907" spans="1:3" ht="15" x14ac:dyDescent="0.25">
      <c r="A3907" s="2">
        <v>7109</v>
      </c>
      <c r="B3907" s="3" t="s">
        <v>985</v>
      </c>
      <c r="C3907" s="9"/>
    </row>
    <row r="3908" spans="1:3" ht="15" x14ac:dyDescent="0.25">
      <c r="A3908" s="2">
        <v>72</v>
      </c>
      <c r="B3908" s="3" t="s">
        <v>986</v>
      </c>
      <c r="C3908" s="9"/>
    </row>
    <row r="3909" spans="1:3" ht="15" x14ac:dyDescent="0.25">
      <c r="A3909" s="2">
        <v>7201</v>
      </c>
      <c r="B3909" s="3" t="s">
        <v>987</v>
      </c>
      <c r="C3909" s="9"/>
    </row>
    <row r="3910" spans="1:3" ht="15" x14ac:dyDescent="0.25">
      <c r="A3910" s="2">
        <v>7202</v>
      </c>
      <c r="B3910" s="3" t="s">
        <v>988</v>
      </c>
      <c r="C3910" s="9"/>
    </row>
    <row r="3911" spans="1:3" ht="30" x14ac:dyDescent="0.25">
      <c r="A3911" s="2">
        <v>7205</v>
      </c>
      <c r="B3911" s="4" t="s">
        <v>989</v>
      </c>
      <c r="C3911" s="11"/>
    </row>
    <row r="3912" spans="1:3" ht="15" x14ac:dyDescent="0.25">
      <c r="A3912" s="2">
        <v>720501</v>
      </c>
      <c r="B3912" s="3" t="s">
        <v>990</v>
      </c>
      <c r="C3912" s="9"/>
    </row>
    <row r="3913" spans="1:3" ht="15" x14ac:dyDescent="0.25">
      <c r="A3913" s="2">
        <v>720502</v>
      </c>
      <c r="B3913" s="3" t="s">
        <v>991</v>
      </c>
      <c r="C3913" s="9"/>
    </row>
    <row r="3914" spans="1:3" ht="30" x14ac:dyDescent="0.25">
      <c r="A3914" s="2">
        <v>72050202</v>
      </c>
      <c r="B3914" s="4" t="s">
        <v>992</v>
      </c>
      <c r="C3914" s="11"/>
    </row>
    <row r="3915" spans="1:3" ht="15" x14ac:dyDescent="0.25">
      <c r="A3915" s="2">
        <v>7205020201</v>
      </c>
      <c r="B3915" s="3" t="s">
        <v>993</v>
      </c>
      <c r="C3915" s="9"/>
    </row>
    <row r="3916" spans="1:3" ht="15" x14ac:dyDescent="0.25">
      <c r="A3916" s="2">
        <v>7205020202</v>
      </c>
      <c r="B3916" s="3" t="s">
        <v>994</v>
      </c>
      <c r="C3916" s="9"/>
    </row>
    <row r="3917" spans="1:3" ht="13.8" x14ac:dyDescent="0.25">
      <c r="A3917" s="5">
        <v>72050207</v>
      </c>
      <c r="B3917" s="6" t="s">
        <v>995</v>
      </c>
      <c r="C3917" s="12"/>
    </row>
    <row r="3918" spans="1:3" ht="15" x14ac:dyDescent="0.25">
      <c r="A3918" s="2">
        <v>72050209</v>
      </c>
      <c r="B3918" s="3" t="s">
        <v>996</v>
      </c>
      <c r="C3918" s="9"/>
    </row>
    <row r="3919" spans="1:3" ht="30" x14ac:dyDescent="0.25">
      <c r="A3919" s="2">
        <v>72050210</v>
      </c>
      <c r="B3919" s="4" t="s">
        <v>997</v>
      </c>
      <c r="C3919" s="11"/>
    </row>
    <row r="3920" spans="1:3" ht="15" x14ac:dyDescent="0.25">
      <c r="A3920" s="2">
        <v>72050211</v>
      </c>
      <c r="B3920" s="3" t="s">
        <v>998</v>
      </c>
      <c r="C3920" s="9"/>
    </row>
    <row r="3921" spans="1:3" ht="15" x14ac:dyDescent="0.25">
      <c r="A3921" s="2">
        <v>72050212</v>
      </c>
      <c r="B3921" s="3" t="s">
        <v>999</v>
      </c>
      <c r="C3921" s="9"/>
    </row>
    <row r="3922" spans="1:3" ht="15" x14ac:dyDescent="0.25">
      <c r="A3922" s="2">
        <v>72050213</v>
      </c>
      <c r="B3922" s="3" t="s">
        <v>1000</v>
      </c>
      <c r="C3922" s="9"/>
    </row>
    <row r="3923" spans="1:3" ht="15" x14ac:dyDescent="0.25">
      <c r="A3923" s="2">
        <v>720503</v>
      </c>
      <c r="B3923" s="3" t="s">
        <v>1001</v>
      </c>
      <c r="C3923" s="9"/>
    </row>
    <row r="3924" spans="1:3" ht="15" x14ac:dyDescent="0.25">
      <c r="A3924" s="2">
        <v>72050302</v>
      </c>
      <c r="B3924" s="3" t="s">
        <v>1002</v>
      </c>
      <c r="C3924" s="9"/>
    </row>
    <row r="3925" spans="1:3" ht="15" x14ac:dyDescent="0.25">
      <c r="A3925" s="2">
        <v>7205030201</v>
      </c>
      <c r="B3925" s="3" t="s">
        <v>993</v>
      </c>
      <c r="C3925" s="9"/>
    </row>
    <row r="3926" spans="1:3" ht="15" x14ac:dyDescent="0.25">
      <c r="A3926" s="2">
        <v>7205030202</v>
      </c>
      <c r="B3926" s="3" t="s">
        <v>994</v>
      </c>
      <c r="C3926" s="9"/>
    </row>
    <row r="3927" spans="1:3" ht="15" x14ac:dyDescent="0.25">
      <c r="A3927" s="2">
        <v>72050303</v>
      </c>
      <c r="B3927" s="3" t="s">
        <v>1003</v>
      </c>
      <c r="C3927" s="9"/>
    </row>
    <row r="3928" spans="1:3" ht="15" x14ac:dyDescent="0.25">
      <c r="A3928" s="2">
        <v>7205030301</v>
      </c>
      <c r="B3928" s="3" t="s">
        <v>993</v>
      </c>
      <c r="C3928" s="9"/>
    </row>
    <row r="3929" spans="1:3" ht="15" x14ac:dyDescent="0.25">
      <c r="A3929" s="2">
        <v>7205030302</v>
      </c>
      <c r="B3929" s="3" t="s">
        <v>994</v>
      </c>
      <c r="C3929" s="9"/>
    </row>
    <row r="3930" spans="1:3" ht="13.8" x14ac:dyDescent="0.25">
      <c r="A3930" s="5">
        <v>72050307</v>
      </c>
      <c r="B3930" s="6" t="s">
        <v>995</v>
      </c>
      <c r="C3930" s="12"/>
    </row>
    <row r="3931" spans="1:3" ht="15" x14ac:dyDescent="0.25">
      <c r="A3931" s="2">
        <v>72050309</v>
      </c>
      <c r="B3931" s="3" t="s">
        <v>996</v>
      </c>
      <c r="C3931" s="9"/>
    </row>
    <row r="3932" spans="1:3" ht="30" x14ac:dyDescent="0.25">
      <c r="A3932" s="2">
        <v>72050310</v>
      </c>
      <c r="B3932" s="4" t="s">
        <v>997</v>
      </c>
      <c r="C3932" s="11"/>
    </row>
    <row r="3933" spans="1:3" ht="15" x14ac:dyDescent="0.25">
      <c r="A3933" s="2">
        <v>72050311</v>
      </c>
      <c r="B3933" s="3" t="s">
        <v>998</v>
      </c>
      <c r="C3933" s="9"/>
    </row>
    <row r="3934" spans="1:3" ht="15" x14ac:dyDescent="0.25">
      <c r="A3934" s="2">
        <v>72050312</v>
      </c>
      <c r="B3934" s="3" t="s">
        <v>999</v>
      </c>
      <c r="C3934" s="9"/>
    </row>
    <row r="3935" spans="1:3" ht="15" x14ac:dyDescent="0.25">
      <c r="A3935" s="2">
        <v>72050313</v>
      </c>
      <c r="B3935" s="3" t="s">
        <v>1000</v>
      </c>
      <c r="C3935" s="9"/>
    </row>
    <row r="3936" spans="1:3" ht="15" x14ac:dyDescent="0.25">
      <c r="A3936" s="2">
        <v>720504</v>
      </c>
      <c r="B3936" s="3" t="s">
        <v>1004</v>
      </c>
      <c r="C3936" s="9"/>
    </row>
    <row r="3937" spans="1:3" ht="30" x14ac:dyDescent="0.25">
      <c r="A3937" s="2">
        <v>72050402</v>
      </c>
      <c r="B3937" s="4" t="s">
        <v>1005</v>
      </c>
      <c r="C3937" s="11"/>
    </row>
    <row r="3938" spans="1:3" ht="15" x14ac:dyDescent="0.25">
      <c r="A3938" s="2">
        <v>7205040201</v>
      </c>
      <c r="B3938" s="3" t="s">
        <v>993</v>
      </c>
      <c r="C3938" s="9"/>
    </row>
    <row r="3939" spans="1:3" ht="15" x14ac:dyDescent="0.25">
      <c r="A3939" s="2">
        <v>7205040202</v>
      </c>
      <c r="B3939" s="3" t="s">
        <v>994</v>
      </c>
      <c r="C3939" s="9"/>
    </row>
    <row r="3940" spans="1:3" ht="30" x14ac:dyDescent="0.25">
      <c r="A3940" s="2">
        <v>72050403</v>
      </c>
      <c r="B3940" s="4" t="s">
        <v>1006</v>
      </c>
      <c r="C3940" s="11"/>
    </row>
    <row r="3941" spans="1:3" ht="15" x14ac:dyDescent="0.25">
      <c r="A3941" s="2">
        <v>7205040301</v>
      </c>
      <c r="B3941" s="3" t="s">
        <v>993</v>
      </c>
      <c r="C3941" s="9"/>
    </row>
    <row r="3942" spans="1:3" ht="15" x14ac:dyDescent="0.25">
      <c r="A3942" s="2">
        <v>7205040302</v>
      </c>
      <c r="B3942" s="3" t="s">
        <v>994</v>
      </c>
      <c r="C3942" s="9"/>
    </row>
    <row r="3943" spans="1:3" ht="27.6" x14ac:dyDescent="0.25">
      <c r="A3943" s="5">
        <v>72050407</v>
      </c>
      <c r="B3943" s="4" t="s">
        <v>1007</v>
      </c>
      <c r="C3943" s="11"/>
    </row>
    <row r="3944" spans="1:3" ht="15" x14ac:dyDescent="0.25">
      <c r="A3944" s="2">
        <v>72050409</v>
      </c>
      <c r="B3944" s="3" t="s">
        <v>1008</v>
      </c>
      <c r="C3944" s="9"/>
    </row>
    <row r="3945" spans="1:3" ht="30" x14ac:dyDescent="0.25">
      <c r="A3945" s="2">
        <v>72050410</v>
      </c>
      <c r="B3945" s="4" t="s">
        <v>1009</v>
      </c>
      <c r="C3945" s="11"/>
    </row>
    <row r="3946" spans="1:3" ht="30" x14ac:dyDescent="0.25">
      <c r="A3946" s="2">
        <v>72050411</v>
      </c>
      <c r="B3946" s="4" t="s">
        <v>1010</v>
      </c>
      <c r="C3946" s="11"/>
    </row>
    <row r="3947" spans="1:3" ht="30" x14ac:dyDescent="0.25">
      <c r="A3947" s="2">
        <v>72050412</v>
      </c>
      <c r="B3947" s="4" t="s">
        <v>1011</v>
      </c>
      <c r="C3947" s="11"/>
    </row>
    <row r="3948" spans="1:3" ht="30" x14ac:dyDescent="0.25">
      <c r="A3948" s="2">
        <v>72050413</v>
      </c>
      <c r="B3948" s="4" t="s">
        <v>1012</v>
      </c>
      <c r="C3948" s="11"/>
    </row>
    <row r="3949" spans="1:3" ht="15" x14ac:dyDescent="0.25">
      <c r="A3949" s="2">
        <v>720506</v>
      </c>
      <c r="B3949" s="3" t="s">
        <v>1013</v>
      </c>
      <c r="C3949" s="9"/>
    </row>
    <row r="3950" spans="1:3" ht="15" x14ac:dyDescent="0.25">
      <c r="A3950" s="2">
        <v>720507</v>
      </c>
      <c r="B3950" s="3" t="s">
        <v>1014</v>
      </c>
      <c r="C3950" s="9"/>
    </row>
    <row r="3951" spans="1:3" ht="30" x14ac:dyDescent="0.25">
      <c r="A3951" s="2">
        <v>72050702</v>
      </c>
      <c r="B3951" s="4" t="s">
        <v>1015</v>
      </c>
      <c r="C3951" s="11"/>
    </row>
    <row r="3952" spans="1:3" ht="30" x14ac:dyDescent="0.25">
      <c r="A3952" s="2">
        <v>72050703</v>
      </c>
      <c r="B3952" s="4" t="s">
        <v>1016</v>
      </c>
      <c r="C3952" s="11"/>
    </row>
    <row r="3953" spans="1:3" ht="30" x14ac:dyDescent="0.25">
      <c r="A3953" s="2">
        <v>72050704</v>
      </c>
      <c r="B3953" s="4" t="s">
        <v>1017</v>
      </c>
      <c r="C3953" s="11"/>
    </row>
    <row r="3954" spans="1:3" ht="27.6" x14ac:dyDescent="0.25">
      <c r="A3954" s="5">
        <v>72050707</v>
      </c>
      <c r="B3954" s="4" t="s">
        <v>1018</v>
      </c>
      <c r="C3954" s="11"/>
    </row>
    <row r="3955" spans="1:3" ht="30" x14ac:dyDescent="0.25">
      <c r="A3955" s="2">
        <v>72050709</v>
      </c>
      <c r="B3955" s="4" t="s">
        <v>1019</v>
      </c>
      <c r="C3955" s="11"/>
    </row>
    <row r="3956" spans="1:3" ht="30" x14ac:dyDescent="0.25">
      <c r="A3956" s="2">
        <v>72050710</v>
      </c>
      <c r="B3956" s="4" t="s">
        <v>1020</v>
      </c>
      <c r="C3956" s="11"/>
    </row>
    <row r="3957" spans="1:3" ht="30" x14ac:dyDescent="0.25">
      <c r="A3957" s="2">
        <v>72050711</v>
      </c>
      <c r="B3957" s="4" t="s">
        <v>1021</v>
      </c>
      <c r="C3957" s="11"/>
    </row>
    <row r="3958" spans="1:3" ht="30" x14ac:dyDescent="0.25">
      <c r="A3958" s="2">
        <v>72050712</v>
      </c>
      <c r="B3958" s="4" t="s">
        <v>1022</v>
      </c>
      <c r="C3958" s="11"/>
    </row>
    <row r="3959" spans="1:3" ht="30" x14ac:dyDescent="0.25">
      <c r="A3959" s="2">
        <v>72050713</v>
      </c>
      <c r="B3959" s="4" t="s">
        <v>1023</v>
      </c>
      <c r="C3959" s="11"/>
    </row>
    <row r="3960" spans="1:3" ht="15" x14ac:dyDescent="0.25">
      <c r="A3960" s="2">
        <v>7206</v>
      </c>
      <c r="B3960" s="3" t="s">
        <v>979</v>
      </c>
      <c r="C3960" s="9"/>
    </row>
    <row r="3961" spans="1:3" ht="15" x14ac:dyDescent="0.25">
      <c r="A3961" s="2">
        <v>720601</v>
      </c>
      <c r="B3961" s="3" t="s">
        <v>234</v>
      </c>
      <c r="C3961" s="9"/>
    </row>
    <row r="3962" spans="1:3" ht="13.8" x14ac:dyDescent="0.25">
      <c r="A3962" s="5">
        <v>72060101</v>
      </c>
      <c r="B3962" s="6" t="s">
        <v>980</v>
      </c>
      <c r="C3962" s="12"/>
    </row>
    <row r="3963" spans="1:3" ht="15" x14ac:dyDescent="0.25">
      <c r="A3963" s="2">
        <v>72060102</v>
      </c>
      <c r="B3963" s="3" t="s">
        <v>981</v>
      </c>
      <c r="C3963" s="9"/>
    </row>
    <row r="3964" spans="1:3" ht="13.8" x14ac:dyDescent="0.25">
      <c r="A3964" s="5">
        <v>72060104</v>
      </c>
      <c r="B3964" s="6" t="s">
        <v>982</v>
      </c>
      <c r="C3964" s="12"/>
    </row>
    <row r="3965" spans="1:3" ht="13.8" x14ac:dyDescent="0.25">
      <c r="A3965" s="5">
        <v>72060105</v>
      </c>
      <c r="B3965" s="6" t="s">
        <v>983</v>
      </c>
      <c r="C3965" s="12"/>
    </row>
    <row r="3966" spans="1:3" ht="13.8" x14ac:dyDescent="0.25">
      <c r="A3966" s="5">
        <v>72060109</v>
      </c>
      <c r="B3966" s="6" t="s">
        <v>984</v>
      </c>
      <c r="C3966" s="12"/>
    </row>
    <row r="3967" spans="1:3" ht="13.8" x14ac:dyDescent="0.25">
      <c r="A3967" s="5">
        <v>720602</v>
      </c>
      <c r="B3967" s="6" t="s">
        <v>228</v>
      </c>
      <c r="C3967" s="12"/>
    </row>
    <row r="3968" spans="1:3" ht="13.8" x14ac:dyDescent="0.25">
      <c r="A3968" s="5">
        <v>720603</v>
      </c>
      <c r="B3968" s="6" t="s">
        <v>229</v>
      </c>
      <c r="C3968" s="12"/>
    </row>
    <row r="3969" spans="1:3" ht="13.8" x14ac:dyDescent="0.25">
      <c r="A3969" s="5">
        <v>720609</v>
      </c>
      <c r="B3969" s="6" t="s">
        <v>231</v>
      </c>
      <c r="C3969" s="12"/>
    </row>
    <row r="3970" spans="1:3" ht="15" x14ac:dyDescent="0.25">
      <c r="A3970" s="2">
        <v>7209</v>
      </c>
      <c r="B3970" s="3" t="s">
        <v>985</v>
      </c>
      <c r="C3970" s="9"/>
    </row>
    <row r="3971" spans="1:3" ht="15" x14ac:dyDescent="0.25">
      <c r="A3971" s="2">
        <v>720902</v>
      </c>
      <c r="B3971" s="3" t="s">
        <v>1024</v>
      </c>
      <c r="C3971" s="9"/>
    </row>
    <row r="3972" spans="1:3" ht="15" x14ac:dyDescent="0.25">
      <c r="A3972" s="2">
        <v>72090201</v>
      </c>
      <c r="B3972" s="3" t="s">
        <v>1025</v>
      </c>
      <c r="C3972" s="9"/>
    </row>
    <row r="3973" spans="1:3" ht="15" x14ac:dyDescent="0.25">
      <c r="A3973" s="2">
        <v>72090202</v>
      </c>
      <c r="B3973" s="3" t="s">
        <v>1026</v>
      </c>
      <c r="C3973" s="9"/>
    </row>
    <row r="3974" spans="1:3" ht="30" x14ac:dyDescent="0.25">
      <c r="A3974" s="2">
        <v>72090203</v>
      </c>
      <c r="B3974" s="4" t="s">
        <v>1027</v>
      </c>
      <c r="C3974" s="11"/>
    </row>
    <row r="3975" spans="1:3" ht="15" x14ac:dyDescent="0.25">
      <c r="A3975" s="2">
        <v>72090209</v>
      </c>
      <c r="B3975" s="3" t="s">
        <v>1028</v>
      </c>
      <c r="C3975" s="9"/>
    </row>
    <row r="3976" spans="1:3" ht="15" x14ac:dyDescent="0.25">
      <c r="A3976" s="2">
        <v>8</v>
      </c>
      <c r="B3976" s="3" t="s">
        <v>1029</v>
      </c>
      <c r="C3976" s="20" t="e">
        <f>#REF!+C3977+C4135+C4139+C4142</f>
        <v>#REF!</v>
      </c>
    </row>
    <row r="3977" spans="1:3" ht="15" x14ac:dyDescent="0.25">
      <c r="A3977" s="2">
        <v>81</v>
      </c>
      <c r="B3977" s="3" t="s">
        <v>1030</v>
      </c>
      <c r="C3977" s="20">
        <f t="shared" ref="C3977" si="97">+C3984+C3996+C4036+C4055+C4131+C4132+C4133+C4134</f>
        <v>138799946.44999999</v>
      </c>
    </row>
    <row r="3978" spans="1:3" ht="15" x14ac:dyDescent="0.25">
      <c r="A3978" s="2">
        <v>8101</v>
      </c>
      <c r="B3978" s="3" t="s">
        <v>1031</v>
      </c>
      <c r="C3978" s="9"/>
    </row>
    <row r="3979" spans="1:3" ht="15" x14ac:dyDescent="0.25">
      <c r="A3979" s="2">
        <v>810101</v>
      </c>
      <c r="B3979" s="3" t="s">
        <v>1032</v>
      </c>
      <c r="C3979" s="9"/>
    </row>
    <row r="3980" spans="1:3" ht="15" x14ac:dyDescent="0.25">
      <c r="A3980" s="2">
        <v>810102</v>
      </c>
      <c r="B3980" s="3" t="s">
        <v>1033</v>
      </c>
      <c r="C3980" s="9"/>
    </row>
    <row r="3981" spans="1:3" ht="15" x14ac:dyDescent="0.25">
      <c r="A3981" s="2">
        <v>810103</v>
      </c>
      <c r="B3981" s="3" t="s">
        <v>1034</v>
      </c>
      <c r="C3981" s="9"/>
    </row>
    <row r="3982" spans="1:3" ht="15" x14ac:dyDescent="0.25">
      <c r="A3982" s="2">
        <v>8102</v>
      </c>
      <c r="B3982" s="3" t="s">
        <v>1035</v>
      </c>
      <c r="C3982" s="9"/>
    </row>
    <row r="3983" spans="1:3" ht="15" x14ac:dyDescent="0.25">
      <c r="A3983" s="2">
        <v>810201</v>
      </c>
      <c r="B3983" s="3" t="s">
        <v>1036</v>
      </c>
      <c r="C3983" s="9"/>
    </row>
    <row r="3984" spans="1:3" s="15" customFormat="1" ht="15" x14ac:dyDescent="0.25">
      <c r="A3984" s="18" t="s">
        <v>2120</v>
      </c>
      <c r="B3984" s="19" t="s">
        <v>2121</v>
      </c>
      <c r="C3984" s="20">
        <v>95097246.909999996</v>
      </c>
    </row>
    <row r="3985" spans="1:3" ht="15" x14ac:dyDescent="0.25">
      <c r="A3985" s="2">
        <v>810202</v>
      </c>
      <c r="B3985" s="3" t="s">
        <v>1037</v>
      </c>
      <c r="C3985" s="9"/>
    </row>
    <row r="3986" spans="1:3" ht="15" x14ac:dyDescent="0.25">
      <c r="A3986" s="2">
        <v>8103</v>
      </c>
      <c r="B3986" s="3" t="s">
        <v>1038</v>
      </c>
      <c r="C3986" s="9"/>
    </row>
    <row r="3987" spans="1:3" ht="15" x14ac:dyDescent="0.25">
      <c r="A3987" s="2">
        <v>810301</v>
      </c>
      <c r="B3987" s="3" t="s">
        <v>1039</v>
      </c>
      <c r="C3987" s="9"/>
    </row>
    <row r="3988" spans="1:3" ht="15" x14ac:dyDescent="0.25">
      <c r="A3988" s="2">
        <v>810302</v>
      </c>
      <c r="B3988" s="3" t="s">
        <v>1040</v>
      </c>
      <c r="C3988" s="9"/>
    </row>
    <row r="3989" spans="1:3" ht="15" x14ac:dyDescent="0.25">
      <c r="A3989" s="2">
        <v>810303</v>
      </c>
      <c r="B3989" s="3" t="s">
        <v>1041</v>
      </c>
      <c r="C3989" s="9"/>
    </row>
    <row r="3990" spans="1:3" ht="15" x14ac:dyDescent="0.25">
      <c r="A3990" s="2">
        <v>810304</v>
      </c>
      <c r="B3990" s="3" t="s">
        <v>1042</v>
      </c>
      <c r="C3990" s="9"/>
    </row>
    <row r="3991" spans="1:3" ht="15" x14ac:dyDescent="0.25">
      <c r="A3991" s="2">
        <v>810305</v>
      </c>
      <c r="B3991" s="3" t="s">
        <v>1043</v>
      </c>
      <c r="C3991" s="9"/>
    </row>
    <row r="3992" spans="1:3" ht="15" x14ac:dyDescent="0.25">
      <c r="A3992" s="2">
        <v>810309</v>
      </c>
      <c r="B3992" s="3" t="s">
        <v>266</v>
      </c>
      <c r="C3992" s="9"/>
    </row>
    <row r="3993" spans="1:3" ht="15" x14ac:dyDescent="0.25">
      <c r="A3993" s="2">
        <v>8104</v>
      </c>
      <c r="B3993" s="3" t="s">
        <v>1044</v>
      </c>
      <c r="C3993" s="9"/>
    </row>
    <row r="3994" spans="1:3" ht="15" x14ac:dyDescent="0.25">
      <c r="A3994" s="2">
        <v>810401</v>
      </c>
      <c r="B3994" s="3" t="s">
        <v>1045</v>
      </c>
      <c r="C3994" s="9"/>
    </row>
    <row r="3995" spans="1:3" s="15" customFormat="1" ht="15" x14ac:dyDescent="0.25">
      <c r="A3995" s="18" t="s">
        <v>2122</v>
      </c>
      <c r="B3995" s="19" t="s">
        <v>2123</v>
      </c>
      <c r="C3995" s="20"/>
    </row>
    <row r="3996" spans="1:3" s="15" customFormat="1" ht="15" x14ac:dyDescent="0.25">
      <c r="A3996" s="18" t="s">
        <v>2124</v>
      </c>
      <c r="B3996" s="19" t="s">
        <v>2125</v>
      </c>
      <c r="C3996" s="20">
        <v>7735077.6900000004</v>
      </c>
    </row>
    <row r="3997" spans="1:3" ht="15" x14ac:dyDescent="0.25">
      <c r="A3997" s="2">
        <v>810403</v>
      </c>
      <c r="B3997" s="3" t="s">
        <v>1046</v>
      </c>
      <c r="C3997" s="9"/>
    </row>
    <row r="3998" spans="1:3" ht="15" x14ac:dyDescent="0.25">
      <c r="A3998" s="2">
        <v>810404</v>
      </c>
      <c r="B3998" s="3" t="s">
        <v>1047</v>
      </c>
      <c r="C3998" s="9"/>
    </row>
    <row r="3999" spans="1:3" ht="15" x14ac:dyDescent="0.25">
      <c r="A3999" s="2">
        <v>810405</v>
      </c>
      <c r="B3999" s="3" t="s">
        <v>1048</v>
      </c>
      <c r="C3999" s="9"/>
    </row>
    <row r="4000" spans="1:3" ht="15" x14ac:dyDescent="0.25">
      <c r="A4000" s="2">
        <v>810409</v>
      </c>
      <c r="B4000" s="3" t="s">
        <v>1049</v>
      </c>
      <c r="C4000" s="9"/>
    </row>
    <row r="4001" spans="1:3" ht="15" x14ac:dyDescent="0.25">
      <c r="A4001" s="2">
        <v>8105</v>
      </c>
      <c r="B4001" s="3" t="s">
        <v>1050</v>
      </c>
      <c r="C4001" s="9"/>
    </row>
    <row r="4002" spans="1:3" ht="15" x14ac:dyDescent="0.25">
      <c r="A4002" s="2">
        <v>810501</v>
      </c>
      <c r="B4002" s="3" t="s">
        <v>1051</v>
      </c>
      <c r="C4002" s="9"/>
    </row>
    <row r="4003" spans="1:3" ht="15" x14ac:dyDescent="0.25">
      <c r="A4003" s="2">
        <v>810502</v>
      </c>
      <c r="B4003" s="3" t="s">
        <v>940</v>
      </c>
      <c r="C4003" s="9"/>
    </row>
    <row r="4004" spans="1:3" ht="15" x14ac:dyDescent="0.25">
      <c r="A4004" s="2">
        <v>810503</v>
      </c>
      <c r="B4004" s="3" t="s">
        <v>1052</v>
      </c>
      <c r="C4004" s="9"/>
    </row>
    <row r="4005" spans="1:3" ht="15" x14ac:dyDescent="0.25">
      <c r="A4005" s="2">
        <v>810504</v>
      </c>
      <c r="B4005" s="3" t="s">
        <v>1053</v>
      </c>
      <c r="C4005" s="9"/>
    </row>
    <row r="4006" spans="1:3" ht="15" x14ac:dyDescent="0.25">
      <c r="A4006" s="2">
        <v>810506</v>
      </c>
      <c r="B4006" s="3" t="s">
        <v>1054</v>
      </c>
      <c r="C4006" s="9"/>
    </row>
    <row r="4007" spans="1:3" ht="15" x14ac:dyDescent="0.25">
      <c r="A4007" s="2">
        <v>81050601</v>
      </c>
      <c r="B4007" s="3" t="s">
        <v>907</v>
      </c>
      <c r="C4007" s="9"/>
    </row>
    <row r="4008" spans="1:3" ht="15" x14ac:dyDescent="0.25">
      <c r="A4008" s="2">
        <v>8105060102</v>
      </c>
      <c r="B4008" s="3" t="s">
        <v>94</v>
      </c>
      <c r="C4008" s="9"/>
    </row>
    <row r="4009" spans="1:3" ht="15" x14ac:dyDescent="0.25">
      <c r="A4009" s="2">
        <v>8105060103</v>
      </c>
      <c r="B4009" s="3" t="s">
        <v>120</v>
      </c>
      <c r="C4009" s="9"/>
    </row>
    <row r="4010" spans="1:3" ht="15" x14ac:dyDescent="0.25">
      <c r="A4010" s="2">
        <v>8105060104</v>
      </c>
      <c r="B4010" s="3" t="s">
        <v>130</v>
      </c>
      <c r="C4010" s="9"/>
    </row>
    <row r="4011" spans="1:3" ht="13.8" x14ac:dyDescent="0.25">
      <c r="A4011" s="5">
        <v>8105060107</v>
      </c>
      <c r="B4011" s="6" t="s">
        <v>138</v>
      </c>
      <c r="C4011" s="12"/>
    </row>
    <row r="4012" spans="1:3" ht="15" x14ac:dyDescent="0.25">
      <c r="A4012" s="2">
        <v>8105060109</v>
      </c>
      <c r="B4012" s="3" t="s">
        <v>1055</v>
      </c>
      <c r="C4012" s="9"/>
    </row>
    <row r="4013" spans="1:3" ht="15" x14ac:dyDescent="0.25">
      <c r="A4013" s="2">
        <v>8105060110</v>
      </c>
      <c r="B4013" s="3" t="s">
        <v>162</v>
      </c>
      <c r="C4013" s="9"/>
    </row>
    <row r="4014" spans="1:3" ht="15" x14ac:dyDescent="0.25">
      <c r="A4014" s="2">
        <v>8105060111</v>
      </c>
      <c r="B4014" s="3" t="s">
        <v>172</v>
      </c>
      <c r="C4014" s="9"/>
    </row>
    <row r="4015" spans="1:3" ht="15" x14ac:dyDescent="0.25">
      <c r="A4015" s="2">
        <v>8105060112</v>
      </c>
      <c r="B4015" s="3" t="s">
        <v>174</v>
      </c>
      <c r="C4015" s="9"/>
    </row>
    <row r="4016" spans="1:3" ht="15" x14ac:dyDescent="0.25">
      <c r="A4016" s="2">
        <v>8105060113</v>
      </c>
      <c r="B4016" s="3" t="s">
        <v>175</v>
      </c>
      <c r="C4016" s="9"/>
    </row>
    <row r="4017" spans="1:3" ht="15" x14ac:dyDescent="0.25">
      <c r="A4017" s="2">
        <v>81050602</v>
      </c>
      <c r="B4017" s="3" t="s">
        <v>1056</v>
      </c>
      <c r="C4017" s="9"/>
    </row>
    <row r="4018" spans="1:3" ht="15" x14ac:dyDescent="0.25">
      <c r="A4018" s="2">
        <v>8105060202</v>
      </c>
      <c r="B4018" s="3" t="s">
        <v>94</v>
      </c>
      <c r="C4018" s="9"/>
    </row>
    <row r="4019" spans="1:3" ht="15" x14ac:dyDescent="0.25">
      <c r="A4019" s="2">
        <v>8105060203</v>
      </c>
      <c r="B4019" s="3" t="s">
        <v>120</v>
      </c>
      <c r="C4019" s="9"/>
    </row>
    <row r="4020" spans="1:3" ht="15" x14ac:dyDescent="0.25">
      <c r="A4020" s="2">
        <v>8105060204</v>
      </c>
      <c r="B4020" s="3" t="s">
        <v>130</v>
      </c>
      <c r="C4020" s="9"/>
    </row>
    <row r="4021" spans="1:3" ht="13.8" x14ac:dyDescent="0.25">
      <c r="A4021" s="5">
        <v>8105060207</v>
      </c>
      <c r="B4021" s="6" t="s">
        <v>138</v>
      </c>
      <c r="C4021" s="12"/>
    </row>
    <row r="4022" spans="1:3" ht="15" x14ac:dyDescent="0.25">
      <c r="A4022" s="2">
        <v>8105060209</v>
      </c>
      <c r="B4022" s="3" t="s">
        <v>1055</v>
      </c>
      <c r="C4022" s="9"/>
    </row>
    <row r="4023" spans="1:3" ht="15" x14ac:dyDescent="0.25">
      <c r="A4023" s="2">
        <v>8105060210</v>
      </c>
      <c r="B4023" s="3" t="s">
        <v>162</v>
      </c>
      <c r="C4023" s="9"/>
    </row>
    <row r="4024" spans="1:3" ht="15" x14ac:dyDescent="0.25">
      <c r="A4024" s="2">
        <v>8105060211</v>
      </c>
      <c r="B4024" s="3" t="s">
        <v>172</v>
      </c>
      <c r="C4024" s="9"/>
    </row>
    <row r="4025" spans="1:3" ht="15" x14ac:dyDescent="0.25">
      <c r="A4025" s="2">
        <v>8105060212</v>
      </c>
      <c r="B4025" s="3" t="s">
        <v>174</v>
      </c>
      <c r="C4025" s="9"/>
    </row>
    <row r="4026" spans="1:3" ht="15" x14ac:dyDescent="0.25">
      <c r="A4026" s="2">
        <v>8105060213</v>
      </c>
      <c r="B4026" s="3" t="s">
        <v>175</v>
      </c>
      <c r="C4026" s="9"/>
    </row>
    <row r="4027" spans="1:3" ht="15" x14ac:dyDescent="0.25">
      <c r="A4027" s="2">
        <v>810509</v>
      </c>
      <c r="B4027" s="3" t="s">
        <v>1057</v>
      </c>
      <c r="C4027" s="9"/>
    </row>
    <row r="4028" spans="1:3" ht="15" x14ac:dyDescent="0.25">
      <c r="A4028" s="2">
        <v>8107</v>
      </c>
      <c r="B4028" s="3" t="s">
        <v>1058</v>
      </c>
      <c r="C4028" s="9"/>
    </row>
    <row r="4029" spans="1:3" ht="15" x14ac:dyDescent="0.25">
      <c r="A4029" s="2">
        <v>810701</v>
      </c>
      <c r="B4029" s="3" t="s">
        <v>1059</v>
      </c>
      <c r="C4029" s="9"/>
    </row>
    <row r="4030" spans="1:3" ht="15" x14ac:dyDescent="0.25">
      <c r="A4030" s="2">
        <v>810703</v>
      </c>
      <c r="B4030" s="3" t="s">
        <v>685</v>
      </c>
      <c r="C4030" s="9"/>
    </row>
    <row r="4031" spans="1:3" ht="15" x14ac:dyDescent="0.25">
      <c r="A4031" s="2">
        <v>810704</v>
      </c>
      <c r="B4031" s="3" t="s">
        <v>907</v>
      </c>
      <c r="C4031" s="9"/>
    </row>
    <row r="4032" spans="1:3" ht="15" x14ac:dyDescent="0.25">
      <c r="A4032" s="2">
        <v>810709</v>
      </c>
      <c r="B4032" s="3" t="s">
        <v>1060</v>
      </c>
      <c r="C4032" s="9"/>
    </row>
    <row r="4033" spans="1:3" ht="15" x14ac:dyDescent="0.25">
      <c r="A4033" s="2">
        <v>8109</v>
      </c>
      <c r="B4033" s="3" t="s">
        <v>1061</v>
      </c>
      <c r="C4033" s="9"/>
    </row>
    <row r="4034" spans="1:3" ht="15" x14ac:dyDescent="0.25">
      <c r="A4034" s="2">
        <v>810901</v>
      </c>
      <c r="B4034" s="3" t="s">
        <v>1062</v>
      </c>
      <c r="C4034" s="9"/>
    </row>
    <row r="4035" spans="1:3" ht="15" x14ac:dyDescent="0.25">
      <c r="A4035" s="2">
        <v>810902</v>
      </c>
      <c r="B4035" s="3" t="s">
        <v>1063</v>
      </c>
      <c r="C4035" s="9"/>
    </row>
    <row r="4036" spans="1:3" s="15" customFormat="1" ht="15" x14ac:dyDescent="0.25">
      <c r="A4036" s="18" t="s">
        <v>2126</v>
      </c>
      <c r="B4036" s="19" t="s">
        <v>2127</v>
      </c>
      <c r="C4036" s="20"/>
    </row>
    <row r="4037" spans="1:3" ht="15" x14ac:dyDescent="0.25">
      <c r="A4037" s="2">
        <v>810903</v>
      </c>
      <c r="B4037" s="3" t="s">
        <v>1064</v>
      </c>
      <c r="C4037" s="9"/>
    </row>
    <row r="4038" spans="1:3" ht="15" x14ac:dyDescent="0.25">
      <c r="A4038" s="2">
        <v>810904</v>
      </c>
      <c r="B4038" s="3" t="s">
        <v>1065</v>
      </c>
      <c r="C4038" s="9"/>
    </row>
    <row r="4039" spans="1:3" ht="15" x14ac:dyDescent="0.25">
      <c r="A4039" s="2">
        <v>810905</v>
      </c>
      <c r="B4039" s="3" t="s">
        <v>1066</v>
      </c>
      <c r="C4039" s="9"/>
    </row>
    <row r="4040" spans="1:3" ht="15" x14ac:dyDescent="0.25">
      <c r="A4040" s="2">
        <v>810906</v>
      </c>
      <c r="B4040" s="3" t="s">
        <v>1067</v>
      </c>
      <c r="C4040" s="9"/>
    </row>
    <row r="4041" spans="1:3" ht="15" x14ac:dyDescent="0.25">
      <c r="A4041" s="2">
        <v>810908</v>
      </c>
      <c r="B4041" s="3" t="s">
        <v>1068</v>
      </c>
      <c r="C4041" s="9"/>
    </row>
    <row r="4042" spans="1:3" ht="15" x14ac:dyDescent="0.25">
      <c r="A4042" s="2">
        <v>810913</v>
      </c>
      <c r="B4042" s="3" t="s">
        <v>1069</v>
      </c>
      <c r="C4042" s="9"/>
    </row>
    <row r="4043" spans="1:3" ht="30" x14ac:dyDescent="0.25">
      <c r="A4043" s="2">
        <v>810919</v>
      </c>
      <c r="B4043" s="4" t="s">
        <v>577</v>
      </c>
      <c r="C4043" s="11"/>
    </row>
    <row r="4044" spans="1:3" ht="15" x14ac:dyDescent="0.25">
      <c r="A4044" s="2">
        <v>81091902</v>
      </c>
      <c r="B4044" s="3" t="s">
        <v>94</v>
      </c>
      <c r="C4044" s="9"/>
    </row>
    <row r="4045" spans="1:3" ht="15" x14ac:dyDescent="0.25">
      <c r="A4045" s="2">
        <v>81091903</v>
      </c>
      <c r="B4045" s="3" t="s">
        <v>120</v>
      </c>
      <c r="C4045" s="9"/>
    </row>
    <row r="4046" spans="1:3" ht="15" x14ac:dyDescent="0.25">
      <c r="A4046" s="2">
        <v>81091904</v>
      </c>
      <c r="B4046" s="3" t="s">
        <v>130</v>
      </c>
      <c r="C4046" s="9"/>
    </row>
    <row r="4047" spans="1:3" ht="13.8" x14ac:dyDescent="0.25">
      <c r="A4047" s="5">
        <v>81091907</v>
      </c>
      <c r="B4047" s="6" t="s">
        <v>138</v>
      </c>
      <c r="C4047" s="12"/>
    </row>
    <row r="4048" spans="1:3" ht="15" x14ac:dyDescent="0.25">
      <c r="A4048" s="2">
        <v>81091909</v>
      </c>
      <c r="B4048" s="3" t="s">
        <v>159</v>
      </c>
      <c r="C4048" s="9"/>
    </row>
    <row r="4049" spans="1:3" ht="15" x14ac:dyDescent="0.25">
      <c r="A4049" s="2">
        <v>81091910</v>
      </c>
      <c r="B4049" s="3" t="s">
        <v>162</v>
      </c>
      <c r="C4049" s="9"/>
    </row>
    <row r="4050" spans="1:3" ht="15" x14ac:dyDescent="0.25">
      <c r="A4050" s="2">
        <v>81091911</v>
      </c>
      <c r="B4050" s="3" t="s">
        <v>172</v>
      </c>
      <c r="C4050" s="9"/>
    </row>
    <row r="4051" spans="1:3" ht="15" x14ac:dyDescent="0.25">
      <c r="A4051" s="2">
        <v>81091912</v>
      </c>
      <c r="B4051" s="3" t="s">
        <v>174</v>
      </c>
      <c r="C4051" s="9"/>
    </row>
    <row r="4052" spans="1:3" ht="15" x14ac:dyDescent="0.25">
      <c r="A4052" s="2">
        <v>81091913</v>
      </c>
      <c r="B4052" s="3" t="s">
        <v>175</v>
      </c>
      <c r="C4052" s="9"/>
    </row>
    <row r="4053" spans="1:3" ht="15" x14ac:dyDescent="0.25">
      <c r="A4053" s="2">
        <v>810922</v>
      </c>
      <c r="B4053" s="3" t="s">
        <v>1070</v>
      </c>
      <c r="C4053" s="9"/>
    </row>
    <row r="4054" spans="1:3" ht="15" x14ac:dyDescent="0.25">
      <c r="A4054" s="2">
        <v>810923</v>
      </c>
      <c r="B4054" s="3" t="s">
        <v>1071</v>
      </c>
      <c r="C4054" s="9"/>
    </row>
    <row r="4055" spans="1:3" s="15" customFormat="1" ht="15" x14ac:dyDescent="0.25">
      <c r="A4055" s="18" t="s">
        <v>2128</v>
      </c>
      <c r="B4055" s="19" t="s">
        <v>2129</v>
      </c>
      <c r="C4055" s="20">
        <v>410137.59</v>
      </c>
    </row>
    <row r="4056" spans="1:3" ht="15" x14ac:dyDescent="0.25">
      <c r="A4056" s="2">
        <v>810925</v>
      </c>
      <c r="B4056" s="3" t="s">
        <v>1072</v>
      </c>
      <c r="C4056" s="9"/>
    </row>
    <row r="4057" spans="1:3" ht="15" x14ac:dyDescent="0.25">
      <c r="A4057" s="2">
        <v>81092501</v>
      </c>
      <c r="B4057" s="3" t="s">
        <v>1073</v>
      </c>
      <c r="C4057" s="9"/>
    </row>
    <row r="4058" spans="1:3" ht="15" x14ac:dyDescent="0.25">
      <c r="A4058" s="2">
        <v>8109250101</v>
      </c>
      <c r="B4058" s="3" t="s">
        <v>1074</v>
      </c>
      <c r="C4058" s="9"/>
    </row>
    <row r="4059" spans="1:3" ht="15" x14ac:dyDescent="0.25">
      <c r="A4059" s="2">
        <v>8109250102</v>
      </c>
      <c r="B4059" s="3" t="s">
        <v>1075</v>
      </c>
      <c r="C4059" s="9"/>
    </row>
    <row r="4060" spans="1:3" ht="15" x14ac:dyDescent="0.25">
      <c r="A4060" s="2">
        <v>81092502</v>
      </c>
      <c r="B4060" s="3" t="s">
        <v>1076</v>
      </c>
      <c r="C4060" s="9"/>
    </row>
    <row r="4061" spans="1:3" ht="15" x14ac:dyDescent="0.25">
      <c r="A4061" s="2">
        <v>8109250201</v>
      </c>
      <c r="B4061" s="3" t="s">
        <v>1074</v>
      </c>
      <c r="C4061" s="9"/>
    </row>
    <row r="4062" spans="1:3" ht="15" x14ac:dyDescent="0.25">
      <c r="A4062" s="2">
        <v>8109250202</v>
      </c>
      <c r="B4062" s="3" t="s">
        <v>1075</v>
      </c>
      <c r="C4062" s="9"/>
    </row>
    <row r="4063" spans="1:3" ht="15" x14ac:dyDescent="0.25">
      <c r="A4063" s="2">
        <v>81092503</v>
      </c>
      <c r="B4063" s="3" t="s">
        <v>1077</v>
      </c>
      <c r="C4063" s="9"/>
    </row>
    <row r="4064" spans="1:3" ht="15" x14ac:dyDescent="0.25">
      <c r="A4064" s="2">
        <v>8109250301</v>
      </c>
      <c r="B4064" s="3" t="s">
        <v>1074</v>
      </c>
      <c r="C4064" s="9"/>
    </row>
    <row r="4065" spans="1:3" ht="15" x14ac:dyDescent="0.25">
      <c r="A4065" s="2">
        <v>8109250302</v>
      </c>
      <c r="B4065" s="3" t="s">
        <v>1075</v>
      </c>
      <c r="C4065" s="9"/>
    </row>
    <row r="4066" spans="1:3" ht="15" x14ac:dyDescent="0.25">
      <c r="A4066" s="2">
        <v>81092504</v>
      </c>
      <c r="B4066" s="3" t="s">
        <v>1078</v>
      </c>
      <c r="C4066" s="9"/>
    </row>
    <row r="4067" spans="1:3" ht="15" x14ac:dyDescent="0.25">
      <c r="A4067" s="2">
        <v>8109250401</v>
      </c>
      <c r="B4067" s="3" t="s">
        <v>1074</v>
      </c>
      <c r="C4067" s="9"/>
    </row>
    <row r="4068" spans="1:3" ht="15" x14ac:dyDescent="0.25">
      <c r="A4068" s="2">
        <v>8109250402</v>
      </c>
      <c r="B4068" s="3" t="s">
        <v>1075</v>
      </c>
      <c r="C4068" s="9"/>
    </row>
    <row r="4069" spans="1:3" ht="15" x14ac:dyDescent="0.25">
      <c r="A4069" s="2">
        <v>81092505</v>
      </c>
      <c r="B4069" s="3" t="s">
        <v>1079</v>
      </c>
      <c r="C4069" s="9"/>
    </row>
    <row r="4070" spans="1:3" ht="15" x14ac:dyDescent="0.25">
      <c r="A4070" s="2">
        <v>8109250501</v>
      </c>
      <c r="B4070" s="3" t="s">
        <v>1074</v>
      </c>
      <c r="C4070" s="9"/>
    </row>
    <row r="4071" spans="1:3" ht="15" x14ac:dyDescent="0.25">
      <c r="A4071" s="2">
        <v>8109250502</v>
      </c>
      <c r="B4071" s="3" t="s">
        <v>1075</v>
      </c>
      <c r="C4071" s="9"/>
    </row>
    <row r="4072" spans="1:3" ht="15" x14ac:dyDescent="0.25">
      <c r="A4072" s="2">
        <v>81092506</v>
      </c>
      <c r="B4072" s="3" t="s">
        <v>1080</v>
      </c>
      <c r="C4072" s="9"/>
    </row>
    <row r="4073" spans="1:3" ht="15" x14ac:dyDescent="0.25">
      <c r="A4073" s="2">
        <v>8109250601</v>
      </c>
      <c r="B4073" s="3" t="s">
        <v>1074</v>
      </c>
      <c r="C4073" s="9"/>
    </row>
    <row r="4074" spans="1:3" ht="15" x14ac:dyDescent="0.25">
      <c r="A4074" s="2">
        <v>8109250602</v>
      </c>
      <c r="B4074" s="3" t="s">
        <v>1075</v>
      </c>
      <c r="C4074" s="9"/>
    </row>
    <row r="4075" spans="1:3" ht="15" x14ac:dyDescent="0.25">
      <c r="A4075" s="2">
        <v>81092507</v>
      </c>
      <c r="B4075" s="3" t="s">
        <v>1081</v>
      </c>
      <c r="C4075" s="9"/>
    </row>
    <row r="4076" spans="1:3" ht="15" x14ac:dyDescent="0.25">
      <c r="A4076" s="2">
        <v>8109250701</v>
      </c>
      <c r="B4076" s="3" t="s">
        <v>1074</v>
      </c>
      <c r="C4076" s="9"/>
    </row>
    <row r="4077" spans="1:3" ht="15" x14ac:dyDescent="0.25">
      <c r="A4077" s="2">
        <v>8109250702</v>
      </c>
      <c r="B4077" s="3" t="s">
        <v>1075</v>
      </c>
      <c r="C4077" s="9"/>
    </row>
    <row r="4078" spans="1:3" ht="15" x14ac:dyDescent="0.25">
      <c r="A4078" s="2">
        <v>81092508</v>
      </c>
      <c r="B4078" s="3" t="s">
        <v>1082</v>
      </c>
      <c r="C4078" s="9"/>
    </row>
    <row r="4079" spans="1:3" ht="15" x14ac:dyDescent="0.25">
      <c r="A4079" s="2">
        <v>8109250801</v>
      </c>
      <c r="B4079" s="3" t="s">
        <v>1074</v>
      </c>
      <c r="C4079" s="9"/>
    </row>
    <row r="4080" spans="1:3" ht="15" x14ac:dyDescent="0.25">
      <c r="A4080" s="2">
        <v>8109250802</v>
      </c>
      <c r="B4080" s="3" t="s">
        <v>1075</v>
      </c>
      <c r="C4080" s="9"/>
    </row>
    <row r="4081" spans="1:3" ht="15" x14ac:dyDescent="0.25">
      <c r="A4081" s="2">
        <v>81092509</v>
      </c>
      <c r="B4081" s="3" t="s">
        <v>1083</v>
      </c>
      <c r="C4081" s="9"/>
    </row>
    <row r="4082" spans="1:3" ht="15" x14ac:dyDescent="0.25">
      <c r="A4082" s="2">
        <v>8109250901</v>
      </c>
      <c r="B4082" s="3" t="s">
        <v>1074</v>
      </c>
      <c r="C4082" s="9"/>
    </row>
    <row r="4083" spans="1:3" ht="15" x14ac:dyDescent="0.25">
      <c r="A4083" s="2">
        <v>8109250902</v>
      </c>
      <c r="B4083" s="3" t="s">
        <v>1075</v>
      </c>
      <c r="C4083" s="9"/>
    </row>
    <row r="4084" spans="1:3" ht="15" x14ac:dyDescent="0.25">
      <c r="A4084" s="2">
        <v>81092511</v>
      </c>
      <c r="B4084" s="3" t="s">
        <v>1084</v>
      </c>
      <c r="C4084" s="9"/>
    </row>
    <row r="4085" spans="1:3" ht="15" x14ac:dyDescent="0.25">
      <c r="A4085" s="2">
        <v>8109251101</v>
      </c>
      <c r="B4085" s="3" t="s">
        <v>1085</v>
      </c>
      <c r="C4085" s="9"/>
    </row>
    <row r="4086" spans="1:3" ht="15" x14ac:dyDescent="0.25">
      <c r="A4086" s="2">
        <v>8109251102</v>
      </c>
      <c r="B4086" s="3" t="s">
        <v>1086</v>
      </c>
      <c r="C4086" s="9"/>
    </row>
    <row r="4087" spans="1:3" ht="15" x14ac:dyDescent="0.25">
      <c r="A4087" s="2">
        <v>81092512</v>
      </c>
      <c r="B4087" s="3" t="s">
        <v>1087</v>
      </c>
      <c r="C4087" s="9"/>
    </row>
    <row r="4088" spans="1:3" ht="15" x14ac:dyDescent="0.25">
      <c r="A4088" s="2">
        <v>8109251201</v>
      </c>
      <c r="B4088" s="3" t="s">
        <v>1085</v>
      </c>
      <c r="C4088" s="9"/>
    </row>
    <row r="4089" spans="1:3" ht="15" x14ac:dyDescent="0.25">
      <c r="A4089" s="2">
        <v>8109251202</v>
      </c>
      <c r="B4089" s="3" t="s">
        <v>1086</v>
      </c>
      <c r="C4089" s="9"/>
    </row>
    <row r="4090" spans="1:3" ht="15" x14ac:dyDescent="0.25">
      <c r="A4090" s="2">
        <v>81092513</v>
      </c>
      <c r="B4090" s="3" t="s">
        <v>1088</v>
      </c>
      <c r="C4090" s="9"/>
    </row>
    <row r="4091" spans="1:3" ht="15" x14ac:dyDescent="0.25">
      <c r="A4091" s="2">
        <v>8109251301</v>
      </c>
      <c r="B4091" s="3" t="s">
        <v>1085</v>
      </c>
      <c r="C4091" s="9"/>
    </row>
    <row r="4092" spans="1:3" ht="15" x14ac:dyDescent="0.25">
      <c r="A4092" s="2">
        <v>8109251302</v>
      </c>
      <c r="B4092" s="3" t="s">
        <v>1086</v>
      </c>
      <c r="C4092" s="9"/>
    </row>
    <row r="4093" spans="1:3" ht="15" x14ac:dyDescent="0.25">
      <c r="A4093" s="2">
        <v>810926</v>
      </c>
      <c r="B4093" s="3" t="s">
        <v>1089</v>
      </c>
      <c r="C4093" s="9"/>
    </row>
    <row r="4094" spans="1:3" ht="15" x14ac:dyDescent="0.25">
      <c r="A4094" s="2">
        <v>81092601</v>
      </c>
      <c r="B4094" s="3" t="s">
        <v>1073</v>
      </c>
      <c r="C4094" s="9"/>
    </row>
    <row r="4095" spans="1:3" ht="15" x14ac:dyDescent="0.25">
      <c r="A4095" s="2">
        <v>8109260101</v>
      </c>
      <c r="B4095" s="3" t="s">
        <v>1074</v>
      </c>
      <c r="C4095" s="9"/>
    </row>
    <row r="4096" spans="1:3" ht="15" x14ac:dyDescent="0.25">
      <c r="A4096" s="2">
        <v>8109260102</v>
      </c>
      <c r="B4096" s="3" t="s">
        <v>1075</v>
      </c>
      <c r="C4096" s="9"/>
    </row>
    <row r="4097" spans="1:3" ht="15" x14ac:dyDescent="0.25">
      <c r="A4097" s="2">
        <v>81092602</v>
      </c>
      <c r="B4097" s="3" t="s">
        <v>1076</v>
      </c>
      <c r="C4097" s="9"/>
    </row>
    <row r="4098" spans="1:3" ht="15" x14ac:dyDescent="0.25">
      <c r="A4098" s="2">
        <v>8109260201</v>
      </c>
      <c r="B4098" s="3" t="s">
        <v>1074</v>
      </c>
      <c r="C4098" s="9"/>
    </row>
    <row r="4099" spans="1:3" ht="15" x14ac:dyDescent="0.25">
      <c r="A4099" s="2">
        <v>8109260202</v>
      </c>
      <c r="B4099" s="3" t="s">
        <v>1075</v>
      </c>
      <c r="C4099" s="9"/>
    </row>
    <row r="4100" spans="1:3" ht="15" x14ac:dyDescent="0.25">
      <c r="A4100" s="2">
        <v>81092603</v>
      </c>
      <c r="B4100" s="3" t="s">
        <v>1077</v>
      </c>
      <c r="C4100" s="9"/>
    </row>
    <row r="4101" spans="1:3" ht="15" x14ac:dyDescent="0.25">
      <c r="A4101" s="2">
        <v>8109260301</v>
      </c>
      <c r="B4101" s="3" t="s">
        <v>1074</v>
      </c>
      <c r="C4101" s="9"/>
    </row>
    <row r="4102" spans="1:3" ht="15" x14ac:dyDescent="0.25">
      <c r="A4102" s="2">
        <v>8109260302</v>
      </c>
      <c r="B4102" s="3" t="s">
        <v>1075</v>
      </c>
      <c r="C4102" s="9"/>
    </row>
    <row r="4103" spans="1:3" ht="15" x14ac:dyDescent="0.25">
      <c r="A4103" s="2">
        <v>81092604</v>
      </c>
      <c r="B4103" s="3" t="s">
        <v>1078</v>
      </c>
      <c r="C4103" s="9"/>
    </row>
    <row r="4104" spans="1:3" ht="15" x14ac:dyDescent="0.25">
      <c r="A4104" s="2">
        <v>8109260401</v>
      </c>
      <c r="B4104" s="3" t="s">
        <v>1074</v>
      </c>
      <c r="C4104" s="9"/>
    </row>
    <row r="4105" spans="1:3" ht="15" x14ac:dyDescent="0.25">
      <c r="A4105" s="2">
        <v>8109260402</v>
      </c>
      <c r="B4105" s="3" t="s">
        <v>1075</v>
      </c>
      <c r="C4105" s="9"/>
    </row>
    <row r="4106" spans="1:3" ht="15" x14ac:dyDescent="0.25">
      <c r="A4106" s="2">
        <v>81092605</v>
      </c>
      <c r="B4106" s="3" t="s">
        <v>1079</v>
      </c>
      <c r="C4106" s="9"/>
    </row>
    <row r="4107" spans="1:3" ht="15" x14ac:dyDescent="0.25">
      <c r="A4107" s="2">
        <v>8109260501</v>
      </c>
      <c r="B4107" s="3" t="s">
        <v>1074</v>
      </c>
      <c r="C4107" s="9"/>
    </row>
    <row r="4108" spans="1:3" ht="15" x14ac:dyDescent="0.25">
      <c r="A4108" s="2">
        <v>8109260502</v>
      </c>
      <c r="B4108" s="3" t="s">
        <v>1075</v>
      </c>
      <c r="C4108" s="9"/>
    </row>
    <row r="4109" spans="1:3" ht="15" x14ac:dyDescent="0.25">
      <c r="A4109" s="2">
        <v>81092606</v>
      </c>
      <c r="B4109" s="3" t="s">
        <v>1080</v>
      </c>
      <c r="C4109" s="9"/>
    </row>
    <row r="4110" spans="1:3" ht="15" x14ac:dyDescent="0.25">
      <c r="A4110" s="2">
        <v>8109260601</v>
      </c>
      <c r="B4110" s="3" t="s">
        <v>1074</v>
      </c>
      <c r="C4110" s="9"/>
    </row>
    <row r="4111" spans="1:3" ht="15" x14ac:dyDescent="0.25">
      <c r="A4111" s="2">
        <v>8109260602</v>
      </c>
      <c r="B4111" s="3" t="s">
        <v>1075</v>
      </c>
      <c r="C4111" s="9"/>
    </row>
    <row r="4112" spans="1:3" ht="15" x14ac:dyDescent="0.25">
      <c r="A4112" s="2">
        <v>81092607</v>
      </c>
      <c r="B4112" s="3" t="s">
        <v>1081</v>
      </c>
      <c r="C4112" s="9"/>
    </row>
    <row r="4113" spans="1:3" ht="15" x14ac:dyDescent="0.25">
      <c r="A4113" s="2">
        <v>8109260701</v>
      </c>
      <c r="B4113" s="3" t="s">
        <v>1074</v>
      </c>
      <c r="C4113" s="9"/>
    </row>
    <row r="4114" spans="1:3" ht="15" x14ac:dyDescent="0.25">
      <c r="A4114" s="2">
        <v>8109260702</v>
      </c>
      <c r="B4114" s="3" t="s">
        <v>1075</v>
      </c>
      <c r="C4114" s="9"/>
    </row>
    <row r="4115" spans="1:3" ht="15" x14ac:dyDescent="0.25">
      <c r="A4115" s="2">
        <v>81092608</v>
      </c>
      <c r="B4115" s="3" t="s">
        <v>1082</v>
      </c>
      <c r="C4115" s="9"/>
    </row>
    <row r="4116" spans="1:3" ht="15" x14ac:dyDescent="0.25">
      <c r="A4116" s="2">
        <v>8109260801</v>
      </c>
      <c r="B4116" s="3" t="s">
        <v>1074</v>
      </c>
      <c r="C4116" s="9"/>
    </row>
    <row r="4117" spans="1:3" ht="15" x14ac:dyDescent="0.25">
      <c r="A4117" s="2">
        <v>8109260802</v>
      </c>
      <c r="B4117" s="3" t="s">
        <v>1075</v>
      </c>
      <c r="C4117" s="9"/>
    </row>
    <row r="4118" spans="1:3" ht="15" x14ac:dyDescent="0.25">
      <c r="A4118" s="2">
        <v>81092609</v>
      </c>
      <c r="B4118" s="3" t="s">
        <v>1083</v>
      </c>
      <c r="C4118" s="9"/>
    </row>
    <row r="4119" spans="1:3" ht="15" x14ac:dyDescent="0.25">
      <c r="A4119" s="2">
        <v>8109260901</v>
      </c>
      <c r="B4119" s="3" t="s">
        <v>1074</v>
      </c>
      <c r="C4119" s="9"/>
    </row>
    <row r="4120" spans="1:3" ht="15" x14ac:dyDescent="0.25">
      <c r="A4120" s="2">
        <v>8109260902</v>
      </c>
      <c r="B4120" s="3" t="s">
        <v>1075</v>
      </c>
      <c r="C4120" s="9"/>
    </row>
    <row r="4121" spans="1:3" ht="15" x14ac:dyDescent="0.25">
      <c r="A4121" s="2">
        <v>81092611</v>
      </c>
      <c r="B4121" s="3" t="s">
        <v>1084</v>
      </c>
      <c r="C4121" s="9"/>
    </row>
    <row r="4122" spans="1:3" ht="15" x14ac:dyDescent="0.25">
      <c r="A4122" s="2">
        <v>8109261101</v>
      </c>
      <c r="B4122" s="3" t="s">
        <v>1085</v>
      </c>
      <c r="C4122" s="9"/>
    </row>
    <row r="4123" spans="1:3" ht="15" x14ac:dyDescent="0.25">
      <c r="A4123" s="2">
        <v>8109261102</v>
      </c>
      <c r="B4123" s="3" t="s">
        <v>1086</v>
      </c>
      <c r="C4123" s="9"/>
    </row>
    <row r="4124" spans="1:3" ht="15" x14ac:dyDescent="0.25">
      <c r="A4124" s="2">
        <v>81092612</v>
      </c>
      <c r="B4124" s="3" t="s">
        <v>1087</v>
      </c>
      <c r="C4124" s="9"/>
    </row>
    <row r="4125" spans="1:3" ht="15" x14ac:dyDescent="0.25">
      <c r="A4125" s="2">
        <v>8109261201</v>
      </c>
      <c r="B4125" s="3" t="s">
        <v>1085</v>
      </c>
      <c r="C4125" s="9"/>
    </row>
    <row r="4126" spans="1:3" ht="15" x14ac:dyDescent="0.25">
      <c r="A4126" s="2">
        <v>8109261202</v>
      </c>
      <c r="B4126" s="3" t="s">
        <v>1086</v>
      </c>
      <c r="C4126" s="9"/>
    </row>
    <row r="4127" spans="1:3" ht="15" x14ac:dyDescent="0.25">
      <c r="A4127" s="2">
        <v>81092613</v>
      </c>
      <c r="B4127" s="3" t="s">
        <v>1088</v>
      </c>
      <c r="C4127" s="9"/>
    </row>
    <row r="4128" spans="1:3" ht="15" x14ac:dyDescent="0.25">
      <c r="A4128" s="2">
        <v>8109261301</v>
      </c>
      <c r="B4128" s="3" t="s">
        <v>1085</v>
      </c>
      <c r="C4128" s="9"/>
    </row>
    <row r="4129" spans="1:3" ht="15" x14ac:dyDescent="0.25">
      <c r="A4129" s="2">
        <v>8109261302</v>
      </c>
      <c r="B4129" s="3" t="s">
        <v>1086</v>
      </c>
      <c r="C4129" s="9"/>
    </row>
    <row r="4130" spans="1:3" ht="15" x14ac:dyDescent="0.25">
      <c r="A4130" s="2">
        <v>810929</v>
      </c>
      <c r="B4130" s="3" t="s">
        <v>266</v>
      </c>
      <c r="C4130" s="9"/>
    </row>
    <row r="4131" spans="1:3" s="15" customFormat="1" ht="15" x14ac:dyDescent="0.25">
      <c r="A4131" s="18" t="s">
        <v>2130</v>
      </c>
      <c r="B4131" s="19" t="s">
        <v>2131</v>
      </c>
      <c r="C4131" s="20">
        <v>319362.2</v>
      </c>
    </row>
    <row r="4132" spans="1:3" s="15" customFormat="1" ht="15" x14ac:dyDescent="0.25">
      <c r="A4132" s="18" t="s">
        <v>2132</v>
      </c>
      <c r="B4132" s="19" t="s">
        <v>2133</v>
      </c>
      <c r="C4132" s="20">
        <v>28281026.75</v>
      </c>
    </row>
    <row r="4133" spans="1:3" s="15" customFormat="1" ht="15" x14ac:dyDescent="0.25">
      <c r="A4133" s="18" t="s">
        <v>2134</v>
      </c>
      <c r="B4133" s="19" t="s">
        <v>2135</v>
      </c>
      <c r="C4133" s="20">
        <v>5961940</v>
      </c>
    </row>
    <row r="4134" spans="1:3" s="15" customFormat="1" ht="15" x14ac:dyDescent="0.25">
      <c r="A4134" s="18" t="s">
        <v>2136</v>
      </c>
      <c r="B4134" s="19" t="s">
        <v>2137</v>
      </c>
      <c r="C4134" s="20">
        <v>995155.31</v>
      </c>
    </row>
    <row r="4135" spans="1:3" ht="15" x14ac:dyDescent="0.25">
      <c r="A4135" s="2">
        <v>82</v>
      </c>
      <c r="B4135" s="3" t="s">
        <v>1090</v>
      </c>
      <c r="C4135" s="20">
        <f t="shared" ref="C4135" si="98">+C4136+C4137+C4138</f>
        <v>-138799946.44999999</v>
      </c>
    </row>
    <row r="4136" spans="1:3" s="15" customFormat="1" ht="15" x14ac:dyDescent="0.25">
      <c r="A4136" s="18" t="s">
        <v>2138</v>
      </c>
      <c r="B4136" s="19" t="s">
        <v>2139</v>
      </c>
      <c r="C4136" s="20">
        <v>-95097246.909999996</v>
      </c>
    </row>
    <row r="4137" spans="1:3" s="15" customFormat="1" ht="15" x14ac:dyDescent="0.25">
      <c r="A4137" s="18" t="s">
        <v>2140</v>
      </c>
      <c r="B4137" s="19" t="s">
        <v>2141</v>
      </c>
      <c r="C4137" s="20">
        <v>-7735077.6900000004</v>
      </c>
    </row>
    <row r="4138" spans="1:3" s="15" customFormat="1" ht="15" x14ac:dyDescent="0.25">
      <c r="A4138" s="18" t="s">
        <v>2142</v>
      </c>
      <c r="B4138" s="19" t="s">
        <v>2143</v>
      </c>
      <c r="C4138" s="20">
        <v>-35967621.850000001</v>
      </c>
    </row>
    <row r="4139" spans="1:3" ht="15" x14ac:dyDescent="0.25">
      <c r="A4139" s="2">
        <v>83</v>
      </c>
      <c r="B4139" s="3" t="s">
        <v>1091</v>
      </c>
      <c r="C4139" s="20">
        <f t="shared" ref="C4139" si="99">+C4140+C4141</f>
        <v>1025768.9299999999</v>
      </c>
    </row>
    <row r="4140" spans="1:3" s="15" customFormat="1" ht="15" x14ac:dyDescent="0.25">
      <c r="A4140" s="18" t="s">
        <v>2144</v>
      </c>
      <c r="B4140" s="19" t="s">
        <v>2145</v>
      </c>
      <c r="C4140" s="20">
        <v>300854.74</v>
      </c>
    </row>
    <row r="4141" spans="1:3" s="15" customFormat="1" ht="15" x14ac:dyDescent="0.25">
      <c r="A4141" s="18" t="s">
        <v>2146</v>
      </c>
      <c r="B4141" s="19" t="s">
        <v>2147</v>
      </c>
      <c r="C4141" s="20">
        <v>724914.19</v>
      </c>
    </row>
    <row r="4142" spans="1:3" ht="15" x14ac:dyDescent="0.25">
      <c r="A4142" s="2">
        <v>84</v>
      </c>
      <c r="B4142" s="3" t="s">
        <v>1092</v>
      </c>
      <c r="C4142" s="20">
        <f t="shared" ref="C4142" si="100">+C4157+C4217+C4218</f>
        <v>-1025768.9299999999</v>
      </c>
    </row>
    <row r="4143" spans="1:3" ht="15" x14ac:dyDescent="0.25">
      <c r="A4143" s="2">
        <v>8401</v>
      </c>
      <c r="B4143" s="3" t="s">
        <v>1093</v>
      </c>
      <c r="C4143" s="9"/>
    </row>
    <row r="4144" spans="1:3" ht="15" x14ac:dyDescent="0.25">
      <c r="A4144" s="2">
        <v>840101</v>
      </c>
      <c r="B4144" s="3" t="s">
        <v>1094</v>
      </c>
      <c r="C4144" s="9"/>
    </row>
    <row r="4145" spans="1:3" ht="15" x14ac:dyDescent="0.25">
      <c r="A4145" s="2">
        <v>8402</v>
      </c>
      <c r="B4145" s="3" t="s">
        <v>1095</v>
      </c>
      <c r="C4145" s="9"/>
    </row>
    <row r="4146" spans="1:3" ht="15" x14ac:dyDescent="0.25">
      <c r="A4146" s="2">
        <v>840201</v>
      </c>
      <c r="B4146" s="3" t="s">
        <v>1096</v>
      </c>
      <c r="C4146" s="9"/>
    </row>
    <row r="4147" spans="1:3" ht="15" x14ac:dyDescent="0.25">
      <c r="A4147" s="2">
        <v>840202</v>
      </c>
      <c r="B4147" s="3" t="s">
        <v>1097</v>
      </c>
      <c r="C4147" s="9"/>
    </row>
    <row r="4148" spans="1:3" ht="15" x14ac:dyDescent="0.25">
      <c r="A4148" s="2">
        <v>8404</v>
      </c>
      <c r="B4148" s="3" t="s">
        <v>1098</v>
      </c>
      <c r="C4148" s="9"/>
    </row>
    <row r="4149" spans="1:3" ht="15" x14ac:dyDescent="0.25">
      <c r="A4149" s="2">
        <v>840401</v>
      </c>
      <c r="B4149" s="3" t="s">
        <v>1099</v>
      </c>
      <c r="C4149" s="9"/>
    </row>
    <row r="4150" spans="1:3" ht="30" x14ac:dyDescent="0.25">
      <c r="A4150" s="2">
        <v>84040102</v>
      </c>
      <c r="B4150" s="4" t="s">
        <v>1100</v>
      </c>
      <c r="C4150" s="11"/>
    </row>
    <row r="4151" spans="1:3" ht="27.6" x14ac:dyDescent="0.25">
      <c r="A4151" s="5">
        <v>84040103</v>
      </c>
      <c r="B4151" s="4" t="s">
        <v>1101</v>
      </c>
      <c r="C4151" s="11"/>
    </row>
    <row r="4152" spans="1:3" ht="27.6" x14ac:dyDescent="0.25">
      <c r="A4152" s="5">
        <v>84040104</v>
      </c>
      <c r="B4152" s="4" t="s">
        <v>1102</v>
      </c>
      <c r="C4152" s="11"/>
    </row>
    <row r="4153" spans="1:3" ht="15" x14ac:dyDescent="0.25">
      <c r="A4153" s="2">
        <v>84040105</v>
      </c>
      <c r="B4153" s="3" t="s">
        <v>1103</v>
      </c>
      <c r="C4153" s="9"/>
    </row>
    <row r="4154" spans="1:3" ht="30" x14ac:dyDescent="0.25">
      <c r="A4154" s="2">
        <v>84040106</v>
      </c>
      <c r="B4154" s="4" t="s">
        <v>1104</v>
      </c>
      <c r="C4154" s="11"/>
    </row>
    <row r="4155" spans="1:3" ht="30" x14ac:dyDescent="0.25">
      <c r="A4155" s="2">
        <v>84040107</v>
      </c>
      <c r="B4155" s="4" t="s">
        <v>1105</v>
      </c>
      <c r="C4155" s="11"/>
    </row>
    <row r="4156" spans="1:3" ht="15" x14ac:dyDescent="0.25">
      <c r="A4156" s="2">
        <v>840402</v>
      </c>
      <c r="B4156" s="3" t="s">
        <v>1106</v>
      </c>
      <c r="C4156" s="9"/>
    </row>
    <row r="4157" spans="1:3" s="15" customFormat="1" ht="15" x14ac:dyDescent="0.25">
      <c r="A4157" s="18" t="s">
        <v>2148</v>
      </c>
      <c r="B4157" s="19" t="s">
        <v>2149</v>
      </c>
      <c r="C4157" s="20">
        <v>-325680.11</v>
      </c>
    </row>
    <row r="4158" spans="1:3" ht="30" x14ac:dyDescent="0.25">
      <c r="A4158" s="2">
        <v>84040202</v>
      </c>
      <c r="B4158" s="4" t="s">
        <v>1107</v>
      </c>
      <c r="C4158" s="11"/>
    </row>
    <row r="4159" spans="1:3" ht="15" x14ac:dyDescent="0.25">
      <c r="A4159" s="2">
        <v>8404020201</v>
      </c>
      <c r="B4159" s="3" t="s">
        <v>1108</v>
      </c>
      <c r="C4159" s="9"/>
    </row>
    <row r="4160" spans="1:3" ht="30" x14ac:dyDescent="0.25">
      <c r="A4160" s="2">
        <v>8404020202</v>
      </c>
      <c r="B4160" s="4" t="s">
        <v>1109</v>
      </c>
      <c r="C4160" s="11"/>
    </row>
    <row r="4161" spans="1:3" ht="15" x14ac:dyDescent="0.25">
      <c r="A4161" s="2">
        <v>8404020203</v>
      </c>
      <c r="B4161" s="3" t="s">
        <v>1110</v>
      </c>
      <c r="C4161" s="9"/>
    </row>
    <row r="4162" spans="1:3" ht="15" x14ac:dyDescent="0.25">
      <c r="A4162" s="2">
        <v>8404020204</v>
      </c>
      <c r="B4162" s="3" t="s">
        <v>35</v>
      </c>
      <c r="C4162" s="9"/>
    </row>
    <row r="4163" spans="1:3" ht="30" x14ac:dyDescent="0.25">
      <c r="A4163" s="2">
        <v>84040203</v>
      </c>
      <c r="B4163" s="4" t="s">
        <v>1111</v>
      </c>
      <c r="C4163" s="11"/>
    </row>
    <row r="4164" spans="1:3" ht="15" x14ac:dyDescent="0.25">
      <c r="A4164" s="2">
        <v>8404020301</v>
      </c>
      <c r="B4164" s="3" t="s">
        <v>1112</v>
      </c>
      <c r="C4164" s="9"/>
    </row>
    <row r="4165" spans="1:3" ht="15" x14ac:dyDescent="0.25">
      <c r="A4165" s="2">
        <v>8404020302</v>
      </c>
      <c r="B4165" s="3" t="s">
        <v>1113</v>
      </c>
      <c r="C4165" s="9"/>
    </row>
    <row r="4166" spans="1:3" ht="30" x14ac:dyDescent="0.25">
      <c r="A4166" s="2">
        <v>84040204</v>
      </c>
      <c r="B4166" s="4" t="s">
        <v>1114</v>
      </c>
      <c r="C4166" s="11"/>
    </row>
    <row r="4167" spans="1:3" ht="15" x14ac:dyDescent="0.25">
      <c r="A4167" s="2">
        <v>8404020401</v>
      </c>
      <c r="B4167" s="3" t="s">
        <v>1115</v>
      </c>
      <c r="C4167" s="9"/>
    </row>
    <row r="4168" spans="1:3" ht="30" x14ac:dyDescent="0.25">
      <c r="A4168" s="2">
        <v>8404020402</v>
      </c>
      <c r="B4168" s="4" t="s">
        <v>1116</v>
      </c>
      <c r="C4168" s="11"/>
    </row>
    <row r="4169" spans="1:3" ht="15" x14ac:dyDescent="0.25">
      <c r="A4169" s="2">
        <v>84040205</v>
      </c>
      <c r="B4169" s="3" t="s">
        <v>1117</v>
      </c>
      <c r="C4169" s="9"/>
    </row>
    <row r="4170" spans="1:3" ht="15" x14ac:dyDescent="0.25">
      <c r="A4170" s="2">
        <v>8404020501</v>
      </c>
      <c r="B4170" s="3" t="s">
        <v>1118</v>
      </c>
      <c r="C4170" s="9"/>
    </row>
    <row r="4171" spans="1:3" ht="15" x14ac:dyDescent="0.25">
      <c r="A4171" s="2">
        <v>8404020502</v>
      </c>
      <c r="B4171" s="3" t="s">
        <v>1119</v>
      </c>
      <c r="C4171" s="9"/>
    </row>
    <row r="4172" spans="1:3" ht="15" x14ac:dyDescent="0.25">
      <c r="A4172" s="2">
        <v>84040206</v>
      </c>
      <c r="B4172" s="3" t="s">
        <v>1120</v>
      </c>
      <c r="C4172" s="9"/>
    </row>
    <row r="4173" spans="1:3" ht="30" x14ac:dyDescent="0.25">
      <c r="A4173" s="2">
        <v>84040207</v>
      </c>
      <c r="B4173" s="4" t="s">
        <v>1121</v>
      </c>
      <c r="C4173" s="11"/>
    </row>
    <row r="4174" spans="1:3" ht="30" x14ac:dyDescent="0.25">
      <c r="A4174" s="2">
        <v>84040208</v>
      </c>
      <c r="B4174" s="4" t="s">
        <v>1122</v>
      </c>
      <c r="C4174" s="11"/>
    </row>
    <row r="4175" spans="1:3" ht="30" x14ac:dyDescent="0.25">
      <c r="A4175" s="2">
        <v>84040209</v>
      </c>
      <c r="B4175" s="4" t="s">
        <v>1123</v>
      </c>
      <c r="C4175" s="11"/>
    </row>
    <row r="4176" spans="1:3" ht="30" x14ac:dyDescent="0.25">
      <c r="A4176" s="2">
        <v>84040210</v>
      </c>
      <c r="B4176" s="4" t="s">
        <v>1124</v>
      </c>
      <c r="C4176" s="11"/>
    </row>
    <row r="4177" spans="1:3" ht="15" x14ac:dyDescent="0.25">
      <c r="A4177" s="2">
        <v>84040214</v>
      </c>
      <c r="B4177" s="3" t="s">
        <v>1125</v>
      </c>
      <c r="C4177" s="9"/>
    </row>
    <row r="4178" spans="1:3" ht="15" x14ac:dyDescent="0.25">
      <c r="A4178" s="2">
        <v>84040222</v>
      </c>
      <c r="B4178" s="3" t="s">
        <v>1126</v>
      </c>
      <c r="C4178" s="9"/>
    </row>
    <row r="4179" spans="1:3" ht="15" x14ac:dyDescent="0.25">
      <c r="A4179" s="2">
        <v>84040229</v>
      </c>
      <c r="B4179" s="3" t="s">
        <v>1127</v>
      </c>
      <c r="C4179" s="9"/>
    </row>
    <row r="4180" spans="1:3" ht="13.8" x14ac:dyDescent="0.25">
      <c r="A4180" s="5">
        <v>840403</v>
      </c>
      <c r="B4180" s="6" t="s">
        <v>1128</v>
      </c>
      <c r="C4180" s="12"/>
    </row>
    <row r="4181" spans="1:3" ht="15" x14ac:dyDescent="0.25">
      <c r="A4181" s="2">
        <v>840404</v>
      </c>
      <c r="B4181" s="3" t="s">
        <v>1129</v>
      </c>
      <c r="C4181" s="9"/>
    </row>
    <row r="4182" spans="1:3" ht="30" x14ac:dyDescent="0.25">
      <c r="A4182" s="2">
        <v>84040401</v>
      </c>
      <c r="B4182" s="4" t="s">
        <v>1130</v>
      </c>
      <c r="C4182" s="11"/>
    </row>
    <row r="4183" spans="1:3" ht="45" x14ac:dyDescent="0.25">
      <c r="A4183" s="2">
        <v>84040402</v>
      </c>
      <c r="B4183" s="4" t="s">
        <v>1131</v>
      </c>
      <c r="C4183" s="11"/>
    </row>
    <row r="4184" spans="1:3" ht="13.8" x14ac:dyDescent="0.25">
      <c r="A4184" s="5">
        <v>84040403</v>
      </c>
      <c r="B4184" s="6" t="s">
        <v>1132</v>
      </c>
      <c r="C4184" s="12"/>
    </row>
    <row r="4185" spans="1:3" ht="15" x14ac:dyDescent="0.25">
      <c r="A4185" s="2">
        <v>84040404</v>
      </c>
      <c r="B4185" s="3" t="s">
        <v>1133</v>
      </c>
      <c r="C4185" s="9"/>
    </row>
    <row r="4186" spans="1:3" ht="15" x14ac:dyDescent="0.25">
      <c r="A4186" s="2">
        <v>840405</v>
      </c>
      <c r="B4186" s="3" t="s">
        <v>1134</v>
      </c>
      <c r="C4186" s="9"/>
    </row>
    <row r="4187" spans="1:3" ht="15" x14ac:dyDescent="0.25">
      <c r="A4187" s="2">
        <v>84040501</v>
      </c>
      <c r="B4187" s="3" t="s">
        <v>1135</v>
      </c>
      <c r="C4187" s="9"/>
    </row>
    <row r="4188" spans="1:3" ht="13.8" x14ac:dyDescent="0.25">
      <c r="A4188" s="5">
        <v>84040502</v>
      </c>
      <c r="B4188" s="6" t="s">
        <v>1136</v>
      </c>
      <c r="C4188" s="12"/>
    </row>
    <row r="4189" spans="1:3" ht="15" x14ac:dyDescent="0.25">
      <c r="A4189" s="2">
        <v>84040504</v>
      </c>
      <c r="B4189" s="3" t="s">
        <v>1137</v>
      </c>
      <c r="C4189" s="9"/>
    </row>
    <row r="4190" spans="1:3" ht="13.8" x14ac:dyDescent="0.25">
      <c r="A4190" s="5">
        <v>84040505</v>
      </c>
      <c r="B4190" s="6" t="s">
        <v>1138</v>
      </c>
      <c r="C4190" s="12"/>
    </row>
    <row r="4191" spans="1:3" ht="13.8" x14ac:dyDescent="0.25">
      <c r="A4191" s="5">
        <v>84040506</v>
      </c>
      <c r="B4191" s="6" t="s">
        <v>1139</v>
      </c>
      <c r="C4191" s="12"/>
    </row>
    <row r="4192" spans="1:3" ht="13.8" x14ac:dyDescent="0.25">
      <c r="A4192" s="5">
        <v>84040507</v>
      </c>
      <c r="B4192" s="6" t="s">
        <v>1140</v>
      </c>
      <c r="C4192" s="12"/>
    </row>
    <row r="4193" spans="1:3" ht="13.8" x14ac:dyDescent="0.25">
      <c r="A4193" s="5">
        <v>84040508</v>
      </c>
      <c r="B4193" s="6" t="s">
        <v>1141</v>
      </c>
      <c r="C4193" s="12"/>
    </row>
    <row r="4194" spans="1:3" ht="15" x14ac:dyDescent="0.25">
      <c r="A4194" s="2">
        <v>84040509</v>
      </c>
      <c r="B4194" s="3" t="s">
        <v>1142</v>
      </c>
      <c r="C4194" s="9"/>
    </row>
    <row r="4195" spans="1:3" ht="15" x14ac:dyDescent="0.25">
      <c r="A4195" s="2">
        <v>84040510</v>
      </c>
      <c r="B4195" s="3" t="s">
        <v>1143</v>
      </c>
      <c r="C4195" s="9"/>
    </row>
    <row r="4196" spans="1:3" ht="15" x14ac:dyDescent="0.25">
      <c r="A4196" s="2">
        <v>84040511</v>
      </c>
      <c r="B4196" s="3" t="s">
        <v>1144</v>
      </c>
      <c r="C4196" s="9"/>
    </row>
    <row r="4197" spans="1:3" ht="15" x14ac:dyDescent="0.25">
      <c r="A4197" s="2">
        <v>84040512</v>
      </c>
      <c r="B4197" s="3" t="s">
        <v>1145</v>
      </c>
      <c r="C4197" s="9"/>
    </row>
    <row r="4198" spans="1:3" ht="15" x14ac:dyDescent="0.25">
      <c r="A4198" s="2">
        <v>840409</v>
      </c>
      <c r="B4198" s="3" t="s">
        <v>1146</v>
      </c>
      <c r="C4198" s="9"/>
    </row>
    <row r="4199" spans="1:3" ht="15" x14ac:dyDescent="0.25">
      <c r="A4199" s="2">
        <v>8405</v>
      </c>
      <c r="B4199" s="3" t="s">
        <v>1147</v>
      </c>
      <c r="C4199" s="9"/>
    </row>
    <row r="4200" spans="1:3" ht="15" x14ac:dyDescent="0.25">
      <c r="A4200" s="2">
        <v>840501</v>
      </c>
      <c r="B4200" s="3" t="s">
        <v>1148</v>
      </c>
      <c r="C4200" s="9"/>
    </row>
    <row r="4201" spans="1:3" ht="15" x14ac:dyDescent="0.25">
      <c r="A4201" s="2">
        <v>840502</v>
      </c>
      <c r="B4201" s="3" t="s">
        <v>1149</v>
      </c>
      <c r="C4201" s="9"/>
    </row>
    <row r="4202" spans="1:3" ht="30" x14ac:dyDescent="0.25">
      <c r="A4202" s="2">
        <v>840503</v>
      </c>
      <c r="B4202" s="4" t="s">
        <v>1124</v>
      </c>
      <c r="C4202" s="11"/>
    </row>
    <row r="4203" spans="1:3" ht="30" x14ac:dyDescent="0.25">
      <c r="A4203" s="2">
        <v>840504</v>
      </c>
      <c r="B4203" s="4" t="s">
        <v>1150</v>
      </c>
      <c r="C4203" s="11"/>
    </row>
    <row r="4204" spans="1:3" ht="30" x14ac:dyDescent="0.25">
      <c r="A4204" s="2">
        <v>840505</v>
      </c>
      <c r="B4204" s="4" t="s">
        <v>1151</v>
      </c>
      <c r="C4204" s="11"/>
    </row>
    <row r="4205" spans="1:3" ht="30" x14ac:dyDescent="0.25">
      <c r="A4205" s="2">
        <v>840506</v>
      </c>
      <c r="B4205" s="4" t="s">
        <v>1152</v>
      </c>
      <c r="C4205" s="11"/>
    </row>
    <row r="4206" spans="1:3" ht="15" x14ac:dyDescent="0.25">
      <c r="A4206" s="2">
        <v>840507</v>
      </c>
      <c r="B4206" s="3" t="s">
        <v>1153</v>
      </c>
      <c r="C4206" s="9"/>
    </row>
    <row r="4207" spans="1:3" ht="15" x14ac:dyDescent="0.25">
      <c r="A4207" s="2">
        <v>840509</v>
      </c>
      <c r="B4207" s="3" t="s">
        <v>1154</v>
      </c>
      <c r="C4207" s="9"/>
    </row>
    <row r="4208" spans="1:3" ht="15" x14ac:dyDescent="0.25">
      <c r="A4208" s="2">
        <v>8407</v>
      </c>
      <c r="B4208" s="3" t="s">
        <v>1155</v>
      </c>
      <c r="C4208" s="9"/>
    </row>
    <row r="4209" spans="1:3" ht="15" x14ac:dyDescent="0.25">
      <c r="A4209" s="2">
        <v>840701</v>
      </c>
      <c r="B4209" s="3" t="s">
        <v>1156</v>
      </c>
      <c r="C4209" s="9"/>
    </row>
    <row r="4210" spans="1:3" ht="15" x14ac:dyDescent="0.25">
      <c r="A4210" s="2">
        <v>840702</v>
      </c>
      <c r="B4210" s="3" t="s">
        <v>1157</v>
      </c>
      <c r="C4210" s="9"/>
    </row>
    <row r="4211" spans="1:3" ht="15" x14ac:dyDescent="0.25">
      <c r="A4211" s="2">
        <v>840703</v>
      </c>
      <c r="B4211" s="3" t="s">
        <v>1158</v>
      </c>
      <c r="C4211" s="9"/>
    </row>
    <row r="4212" spans="1:3" ht="15" x14ac:dyDescent="0.25">
      <c r="A4212" s="2">
        <v>8409</v>
      </c>
      <c r="B4212" s="3" t="s">
        <v>1159</v>
      </c>
      <c r="C4212" s="9"/>
    </row>
    <row r="4213" spans="1:3" ht="15" x14ac:dyDescent="0.25">
      <c r="A4213" s="2">
        <v>840901</v>
      </c>
      <c r="B4213" s="3" t="s">
        <v>1160</v>
      </c>
      <c r="C4213" s="9"/>
    </row>
    <row r="4214" spans="1:3" ht="15" x14ac:dyDescent="0.25">
      <c r="A4214" s="2">
        <v>840902</v>
      </c>
      <c r="B4214" s="3" t="s">
        <v>1161</v>
      </c>
      <c r="C4214" s="9"/>
    </row>
    <row r="4215" spans="1:3" ht="15" x14ac:dyDescent="0.25">
      <c r="A4215" s="2">
        <v>840903</v>
      </c>
      <c r="B4215" s="3" t="s">
        <v>1162</v>
      </c>
      <c r="C4215" s="9"/>
    </row>
    <row r="4216" spans="1:3" ht="15" x14ac:dyDescent="0.25">
      <c r="A4216" s="2">
        <v>840919</v>
      </c>
      <c r="B4216" s="3" t="s">
        <v>266</v>
      </c>
      <c r="C4216" s="9"/>
    </row>
    <row r="4217" spans="1:3" s="15" customFormat="1" ht="15" x14ac:dyDescent="0.25">
      <c r="A4217" s="18" t="s">
        <v>2150</v>
      </c>
      <c r="B4217" s="19" t="s">
        <v>2151</v>
      </c>
      <c r="C4217" s="20">
        <v>-699470.82</v>
      </c>
    </row>
    <row r="4218" spans="1:3" s="15" customFormat="1" ht="15" x14ac:dyDescent="0.25">
      <c r="A4218" s="18" t="s">
        <v>2152</v>
      </c>
      <c r="B4218" s="19" t="s">
        <v>2153</v>
      </c>
      <c r="C4218" s="20">
        <v>-618</v>
      </c>
    </row>
    <row r="4219" spans="1:3" ht="13.8" x14ac:dyDescent="0.25">
      <c r="A4219" s="5">
        <v>85</v>
      </c>
      <c r="B4219" s="6" t="s">
        <v>1163</v>
      </c>
      <c r="C4219" s="12"/>
    </row>
    <row r="4220" spans="1:3" ht="13.8" x14ac:dyDescent="0.25">
      <c r="A4220" s="5">
        <v>8501</v>
      </c>
      <c r="B4220" s="6" t="s">
        <v>1164</v>
      </c>
      <c r="C4220" s="12"/>
    </row>
    <row r="4221" spans="1:3" ht="13.8" x14ac:dyDescent="0.25">
      <c r="A4221" s="5">
        <v>8503</v>
      </c>
      <c r="B4221" s="6" t="s">
        <v>1165</v>
      </c>
      <c r="C4221" s="12"/>
    </row>
    <row r="4222" spans="1:3" ht="13.8" x14ac:dyDescent="0.25">
      <c r="A4222" s="5">
        <v>8508</v>
      </c>
      <c r="B4222" s="6" t="s">
        <v>1166</v>
      </c>
      <c r="C4222" s="12"/>
    </row>
    <row r="4223" spans="1:3" ht="13.8" x14ac:dyDescent="0.25">
      <c r="A4223" s="5">
        <v>8509</v>
      </c>
      <c r="B4223" s="6" t="s">
        <v>1167</v>
      </c>
      <c r="C4223" s="12"/>
    </row>
    <row r="4224" spans="1:3" ht="13.8" x14ac:dyDescent="0.25">
      <c r="A4224" s="5">
        <v>850901</v>
      </c>
      <c r="B4224" s="6" t="s">
        <v>1168</v>
      </c>
      <c r="C4224" s="12"/>
    </row>
    <row r="4225" spans="1:3" ht="13.8" x14ac:dyDescent="0.25">
      <c r="A4225" s="5">
        <v>850902</v>
      </c>
      <c r="B4225" s="6" t="s">
        <v>1169</v>
      </c>
      <c r="C4225" s="12"/>
    </row>
    <row r="4226" spans="1:3" ht="13.8" x14ac:dyDescent="0.25">
      <c r="A4226" s="5">
        <v>850903</v>
      </c>
      <c r="B4226" s="6" t="s">
        <v>1170</v>
      </c>
      <c r="C4226" s="12"/>
    </row>
    <row r="4227" spans="1:3" ht="13.8" x14ac:dyDescent="0.25">
      <c r="A4227" s="5">
        <v>86</v>
      </c>
      <c r="B4227" s="6" t="s">
        <v>1171</v>
      </c>
      <c r="C4227" s="12"/>
    </row>
    <row r="4228" spans="1:3" ht="13.8" x14ac:dyDescent="0.25">
      <c r="A4228" s="5">
        <v>8601</v>
      </c>
      <c r="B4228" s="6" t="s">
        <v>1172</v>
      </c>
      <c r="C4228" s="12"/>
    </row>
    <row r="4229" spans="1:3" ht="13.8" x14ac:dyDescent="0.25">
      <c r="A4229" s="5">
        <v>8602</v>
      </c>
      <c r="B4229" s="6" t="s">
        <v>1173</v>
      </c>
      <c r="C4229" s="12"/>
    </row>
    <row r="4230" spans="1:3" ht="13.8" x14ac:dyDescent="0.25">
      <c r="A4230" s="5">
        <v>8603</v>
      </c>
      <c r="B4230" s="6" t="s">
        <v>1174</v>
      </c>
      <c r="C4230" s="12"/>
    </row>
    <row r="4231" spans="1:3" ht="13.8" x14ac:dyDescent="0.25">
      <c r="A4231" s="5">
        <v>8608</v>
      </c>
      <c r="B4231" s="6" t="s">
        <v>1166</v>
      </c>
      <c r="C4231" s="12"/>
    </row>
    <row r="4232" spans="1:3" ht="13.8" x14ac:dyDescent="0.25">
      <c r="A4232" s="5">
        <v>8609</v>
      </c>
      <c r="B4232" s="6" t="s">
        <v>1175</v>
      </c>
      <c r="C4232" s="12"/>
    </row>
    <row r="4233" spans="1:3" ht="13.8" x14ac:dyDescent="0.25">
      <c r="A4233" s="5">
        <v>860901</v>
      </c>
      <c r="B4233" s="6" t="s">
        <v>1176</v>
      </c>
      <c r="C4233" s="12"/>
    </row>
    <row r="4234" spans="1:3" ht="13.8" x14ac:dyDescent="0.25">
      <c r="A4234" s="5">
        <v>860903</v>
      </c>
      <c r="B4234" s="6" t="s">
        <v>1177</v>
      </c>
      <c r="C4234" s="12"/>
    </row>
    <row r="4235" spans="1:3" ht="15" x14ac:dyDescent="0.25">
      <c r="A4235" s="2">
        <v>87</v>
      </c>
      <c r="B4235" s="3" t="s">
        <v>1178</v>
      </c>
      <c r="C4235" s="9"/>
    </row>
    <row r="4236" spans="1:3" ht="15" x14ac:dyDescent="0.25">
      <c r="A4236" s="2">
        <v>8701</v>
      </c>
      <c r="B4236" s="3" t="s">
        <v>1179</v>
      </c>
      <c r="C4236" s="9"/>
    </row>
    <row r="4237" spans="1:3" ht="15" x14ac:dyDescent="0.25">
      <c r="A4237" s="2">
        <v>8703</v>
      </c>
      <c r="B4237" s="3" t="s">
        <v>1180</v>
      </c>
      <c r="C4237" s="9"/>
    </row>
    <row r="4238" spans="1:3" ht="15" x14ac:dyDescent="0.25">
      <c r="A4238" s="2">
        <v>8709</v>
      </c>
      <c r="B4238" s="3" t="s">
        <v>1181</v>
      </c>
      <c r="C4238" s="9"/>
    </row>
    <row r="4239" spans="1:3" ht="15" x14ac:dyDescent="0.25">
      <c r="A4239" s="2">
        <v>870901</v>
      </c>
      <c r="B4239" s="3" t="s">
        <v>1182</v>
      </c>
      <c r="C4239" s="9"/>
    </row>
    <row r="4240" spans="1:3" ht="15" x14ac:dyDescent="0.25">
      <c r="A4240" s="2">
        <v>870902</v>
      </c>
      <c r="B4240" s="3" t="s">
        <v>1183</v>
      </c>
      <c r="C4240" s="9"/>
    </row>
    <row r="4241" spans="1:3" ht="15" x14ac:dyDescent="0.25">
      <c r="A4241" s="2">
        <v>870903</v>
      </c>
      <c r="B4241" s="3" t="s">
        <v>1184</v>
      </c>
      <c r="C4241" s="9"/>
    </row>
    <row r="4242" spans="1:3" ht="15" x14ac:dyDescent="0.25">
      <c r="A4242" s="2">
        <v>88</v>
      </c>
      <c r="B4242" s="3" t="s">
        <v>1185</v>
      </c>
      <c r="C4242" s="9"/>
    </row>
    <row r="4243" spans="1:3" ht="15" x14ac:dyDescent="0.25">
      <c r="A4243" s="2">
        <v>8801</v>
      </c>
      <c r="B4243" s="3" t="s">
        <v>1186</v>
      </c>
      <c r="C4243" s="9"/>
    </row>
    <row r="4244" spans="1:3" ht="15" x14ac:dyDescent="0.25">
      <c r="A4244" s="2">
        <v>8802</v>
      </c>
      <c r="B4244" s="3" t="s">
        <v>1187</v>
      </c>
      <c r="C4244" s="9"/>
    </row>
    <row r="4245" spans="1:3" ht="15" x14ac:dyDescent="0.25">
      <c r="A4245" s="2">
        <v>8803</v>
      </c>
      <c r="B4245" s="3" t="s">
        <v>1188</v>
      </c>
      <c r="C4245" s="9"/>
    </row>
    <row r="4246" spans="1:3" ht="15" x14ac:dyDescent="0.25">
      <c r="A4246" s="2">
        <v>8809</v>
      </c>
      <c r="B4246" s="3" t="s">
        <v>1189</v>
      </c>
      <c r="C4246" s="9"/>
    </row>
    <row r="4247" spans="1:3" ht="15" x14ac:dyDescent="0.25">
      <c r="A4247" s="2">
        <v>880901</v>
      </c>
      <c r="B4247" s="3" t="s">
        <v>1190</v>
      </c>
      <c r="C4247" s="9"/>
    </row>
    <row r="4248" spans="1:3" ht="15" x14ac:dyDescent="0.25">
      <c r="A4248" s="2">
        <v>880903</v>
      </c>
      <c r="B4248" s="3" t="s">
        <v>1191</v>
      </c>
      <c r="C4248" s="9"/>
    </row>
    <row r="4250" spans="1:3" x14ac:dyDescent="0.25">
      <c r="C4250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Regina Villar Gutierrez</dc:creator>
  <cp:lastModifiedBy>oo</cp:lastModifiedBy>
  <dcterms:created xsi:type="dcterms:W3CDTF">2026-04-23T15:31:17Z</dcterms:created>
  <dcterms:modified xsi:type="dcterms:W3CDTF">2026-05-14T06:52:19Z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2020-07-14T00:00:00Z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2026-04-23T00:00:00Z</vt:filetime>
  </property>
  <property fmtid="{D5CDD505-2E9C-101B-9397-08002B2CF9AE}" pid="5" name="Producer">
    <vt:lpwstr>3-Heights(TM) PDF Security Shell 4.8.25.2 (http://www.pdf-tools.com)</vt:lpwstr>
  </property>
  <property fmtid="{D5CDD505-2E9C-101B-9397-08002B2CF9AE}" pid="6" name="MSIP_Label_defa4170-0d19-0005-0004-bc88714345d2_Enabled">
    <vt:lpwstr>true</vt:lpwstr>
  </property>
  <property fmtid="{D5CDD505-2E9C-101B-9397-08002B2CF9AE}" pid="7" name="MSIP_Label_defa4170-0d19-0005-0004-bc88714345d2_SetDate">
    <vt:lpwstr>2026-04-23T15:38:18Z</vt:lpwstr>
  </property>
  <property fmtid="{D5CDD505-2E9C-101B-9397-08002B2CF9AE}" pid="8" name="MSIP_Label_defa4170-0d19-0005-0004-bc88714345d2_Method">
    <vt:lpwstr>Standard</vt:lpwstr>
  </property>
  <property fmtid="{D5CDD505-2E9C-101B-9397-08002B2CF9AE}" pid="9" name="MSIP_Label_defa4170-0d19-0005-0004-bc88714345d2_Name">
    <vt:lpwstr>defa4170-0d19-0005-0004-bc88714345d2</vt:lpwstr>
  </property>
  <property fmtid="{D5CDD505-2E9C-101B-9397-08002B2CF9AE}" pid="10" name="MSIP_Label_defa4170-0d19-0005-0004-bc88714345d2_SiteId">
    <vt:lpwstr>ec481844-b697-4fde-b93b-f687829b610c</vt:lpwstr>
  </property>
  <property fmtid="{D5CDD505-2E9C-101B-9397-08002B2CF9AE}" pid="11" name="MSIP_Label_defa4170-0d19-0005-0004-bc88714345d2_ActionId">
    <vt:lpwstr>7a109843-70c2-4f1b-abe8-4afd61310af2</vt:lpwstr>
  </property>
  <property fmtid="{D5CDD505-2E9C-101B-9397-08002B2CF9AE}" pid="12" name="MSIP_Label_defa4170-0d19-0005-0004-bc88714345d2_ContentBits">
    <vt:lpwstr>0</vt:lpwstr>
  </property>
</Properties>
</file>