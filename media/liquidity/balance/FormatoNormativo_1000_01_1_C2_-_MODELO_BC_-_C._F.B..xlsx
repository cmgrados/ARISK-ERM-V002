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bilidad04\Desktop\HTA\BS-ENE.2023-MAR.2026\"/>
    </mc:Choice>
  </mc:AlternateContent>
  <xr:revisionPtr revIDLastSave="0" documentId="13_ncr:1_{57804DE4-E234-437E-A74E-EE2E5F6432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81029"/>
</workbook>
</file>

<file path=xl/calcChain.xml><?xml version="1.0" encoding="utf-8"?>
<calcChain xmlns="http://schemas.openxmlformats.org/spreadsheetml/2006/main">
  <c r="D2376" i="1" l="1"/>
  <c r="E2376" i="1"/>
  <c r="F2376" i="1"/>
  <c r="G2376" i="1"/>
  <c r="H2376" i="1"/>
  <c r="I2376" i="1"/>
  <c r="J2376" i="1"/>
  <c r="K2376" i="1"/>
  <c r="L2376" i="1"/>
  <c r="M2376" i="1"/>
  <c r="N2376" i="1"/>
  <c r="O2376" i="1"/>
  <c r="P2376" i="1"/>
  <c r="Q2376" i="1"/>
  <c r="R2376" i="1"/>
  <c r="S2376" i="1"/>
  <c r="T2376" i="1"/>
  <c r="U2376" i="1"/>
  <c r="V2376" i="1"/>
  <c r="W2376" i="1"/>
  <c r="X2376" i="1"/>
  <c r="Y2376" i="1"/>
  <c r="Z2376" i="1"/>
  <c r="AA2376" i="1"/>
  <c r="AB2376" i="1"/>
  <c r="AC2376" i="1"/>
  <c r="AD2376" i="1"/>
  <c r="AE2376" i="1"/>
  <c r="AF2376" i="1"/>
  <c r="AG2376" i="1"/>
  <c r="AH2376" i="1"/>
  <c r="AI2376" i="1"/>
  <c r="AJ2376" i="1"/>
  <c r="AK2376" i="1"/>
  <c r="AL2376" i="1"/>
  <c r="AM2376" i="1"/>
  <c r="AN2376" i="1"/>
  <c r="AO2376" i="1"/>
  <c r="C2376" i="1"/>
  <c r="D3116" i="1"/>
  <c r="E3116" i="1"/>
  <c r="F3116" i="1"/>
  <c r="G3116" i="1"/>
  <c r="H3116" i="1"/>
  <c r="I3116" i="1"/>
  <c r="J3116" i="1"/>
  <c r="K3116" i="1"/>
  <c r="L3116" i="1"/>
  <c r="M3116" i="1"/>
  <c r="N3116" i="1"/>
  <c r="O3116" i="1"/>
  <c r="P3116" i="1"/>
  <c r="Q3116" i="1"/>
  <c r="R3116" i="1"/>
  <c r="S3116" i="1"/>
  <c r="T3116" i="1"/>
  <c r="U3116" i="1"/>
  <c r="V3116" i="1"/>
  <c r="W3116" i="1"/>
  <c r="X3116" i="1"/>
  <c r="Y3116" i="1"/>
  <c r="Z3116" i="1"/>
  <c r="AA3116" i="1"/>
  <c r="AB3116" i="1"/>
  <c r="AC3116" i="1"/>
  <c r="AD3116" i="1"/>
  <c r="AE3116" i="1"/>
  <c r="AF3116" i="1"/>
  <c r="AG3116" i="1"/>
  <c r="AH3116" i="1"/>
  <c r="AI3116" i="1"/>
  <c r="AJ3116" i="1"/>
  <c r="AK3116" i="1"/>
  <c r="AL3116" i="1"/>
  <c r="AM3116" i="1"/>
  <c r="AN3116" i="1"/>
  <c r="AO3116" i="1"/>
  <c r="C3116" i="1"/>
  <c r="C2888" i="1"/>
  <c r="C3101" i="1"/>
  <c r="D3101" i="1"/>
  <c r="E3101" i="1"/>
  <c r="F3101" i="1"/>
  <c r="G3101" i="1"/>
  <c r="H3101" i="1"/>
  <c r="I3101" i="1"/>
  <c r="J3101" i="1"/>
  <c r="K3101" i="1"/>
  <c r="L3101" i="1"/>
  <c r="M3101" i="1"/>
  <c r="N3101" i="1"/>
  <c r="O3101" i="1"/>
  <c r="P3101" i="1"/>
  <c r="Q3101" i="1"/>
  <c r="R3101" i="1"/>
  <c r="S3101" i="1"/>
  <c r="T3101" i="1"/>
  <c r="U3101" i="1"/>
  <c r="V3101" i="1"/>
  <c r="W3101" i="1"/>
  <c r="X3101" i="1"/>
  <c r="Y3101" i="1"/>
  <c r="Z3101" i="1"/>
  <c r="AA3101" i="1"/>
  <c r="AB3101" i="1"/>
  <c r="AC3101" i="1"/>
  <c r="AD3101" i="1"/>
  <c r="AE3101" i="1"/>
  <c r="AF3101" i="1"/>
  <c r="AG3101" i="1"/>
  <c r="AH3101" i="1"/>
  <c r="AI3101" i="1"/>
  <c r="AJ3101" i="1"/>
  <c r="AK3101" i="1"/>
  <c r="AL3101" i="1"/>
  <c r="AL2888" i="1" s="1"/>
  <c r="AM3101" i="1"/>
  <c r="AM2888" i="1" s="1"/>
  <c r="AN3101" i="1"/>
  <c r="AN2888" i="1" s="1"/>
  <c r="AO3101" i="1"/>
  <c r="AO2888" i="1" s="1"/>
  <c r="D3082" i="1"/>
  <c r="E3082" i="1"/>
  <c r="F3082" i="1"/>
  <c r="G3082" i="1"/>
  <c r="H3082" i="1"/>
  <c r="I3082" i="1"/>
  <c r="J3082" i="1"/>
  <c r="K3082" i="1"/>
  <c r="L3082" i="1"/>
  <c r="M3082" i="1"/>
  <c r="N3082" i="1"/>
  <c r="O3082" i="1"/>
  <c r="P3082" i="1"/>
  <c r="Q3082" i="1"/>
  <c r="R3082" i="1"/>
  <c r="S3082" i="1"/>
  <c r="T3082" i="1"/>
  <c r="U3082" i="1"/>
  <c r="V3082" i="1"/>
  <c r="W3082" i="1"/>
  <c r="X3082" i="1"/>
  <c r="Y3082" i="1"/>
  <c r="Z3082" i="1"/>
  <c r="AA3082" i="1"/>
  <c r="AB3082" i="1"/>
  <c r="AC3082" i="1"/>
  <c r="AD3082" i="1"/>
  <c r="AE3082" i="1"/>
  <c r="AF3082" i="1"/>
  <c r="AG3082" i="1"/>
  <c r="AH3082" i="1"/>
  <c r="AI3082" i="1"/>
  <c r="AJ3082" i="1"/>
  <c r="AK3082" i="1"/>
  <c r="AL3082" i="1"/>
  <c r="AM3082" i="1"/>
  <c r="AN3082" i="1"/>
  <c r="AO3082" i="1"/>
  <c r="C3082" i="1"/>
  <c r="D2960" i="1"/>
  <c r="E2960" i="1"/>
  <c r="F2960" i="1"/>
  <c r="G2960" i="1"/>
  <c r="H2960" i="1"/>
  <c r="I2960" i="1"/>
  <c r="J2960" i="1"/>
  <c r="K2960" i="1"/>
  <c r="L2960" i="1"/>
  <c r="M2960" i="1"/>
  <c r="N2960" i="1"/>
  <c r="O2960" i="1"/>
  <c r="P2960" i="1"/>
  <c r="Q2960" i="1"/>
  <c r="R2960" i="1"/>
  <c r="S2960" i="1"/>
  <c r="T2960" i="1"/>
  <c r="U2960" i="1"/>
  <c r="V2960" i="1"/>
  <c r="W2960" i="1"/>
  <c r="X2960" i="1"/>
  <c r="Y2960" i="1"/>
  <c r="Z2960" i="1"/>
  <c r="AA2960" i="1"/>
  <c r="AB2960" i="1"/>
  <c r="AC2960" i="1"/>
  <c r="AD2960" i="1"/>
  <c r="AE2960" i="1"/>
  <c r="AF2960" i="1"/>
  <c r="AG2960" i="1"/>
  <c r="AH2960" i="1"/>
  <c r="AI2960" i="1"/>
  <c r="AJ2960" i="1"/>
  <c r="AK2960" i="1"/>
  <c r="AL2960" i="1"/>
  <c r="AM2960" i="1"/>
  <c r="AN2960" i="1"/>
  <c r="AO2960" i="1"/>
  <c r="C2960" i="1"/>
  <c r="D2927" i="1"/>
  <c r="E2927" i="1"/>
  <c r="F2927" i="1"/>
  <c r="G2927" i="1"/>
  <c r="H2927" i="1"/>
  <c r="I2927" i="1"/>
  <c r="J2927" i="1"/>
  <c r="K2927" i="1"/>
  <c r="L2927" i="1"/>
  <c r="M2927" i="1"/>
  <c r="N2927" i="1"/>
  <c r="O2927" i="1"/>
  <c r="P2927" i="1"/>
  <c r="Q2927" i="1"/>
  <c r="R2927" i="1"/>
  <c r="S2927" i="1"/>
  <c r="T2927" i="1"/>
  <c r="U2927" i="1"/>
  <c r="V2927" i="1"/>
  <c r="W2927" i="1"/>
  <c r="X2927" i="1"/>
  <c r="Y2927" i="1"/>
  <c r="Z2927" i="1"/>
  <c r="AA2927" i="1"/>
  <c r="AB2927" i="1"/>
  <c r="AC2927" i="1"/>
  <c r="AD2927" i="1"/>
  <c r="AE2927" i="1"/>
  <c r="AF2927" i="1"/>
  <c r="AG2927" i="1"/>
  <c r="AH2927" i="1"/>
  <c r="AI2927" i="1"/>
  <c r="AJ2927" i="1"/>
  <c r="AK2927" i="1"/>
  <c r="AL2927" i="1"/>
  <c r="AM2927" i="1"/>
  <c r="AN2927" i="1"/>
  <c r="AO2927" i="1"/>
  <c r="C2927" i="1"/>
  <c r="D2889" i="1"/>
  <c r="E2889" i="1"/>
  <c r="F2889" i="1"/>
  <c r="G2889" i="1"/>
  <c r="H2889" i="1"/>
  <c r="I2889" i="1"/>
  <c r="J2889" i="1"/>
  <c r="K2889" i="1"/>
  <c r="L2889" i="1"/>
  <c r="M2889" i="1"/>
  <c r="N2889" i="1"/>
  <c r="O2889" i="1"/>
  <c r="P2889" i="1"/>
  <c r="Q2889" i="1"/>
  <c r="R2889" i="1"/>
  <c r="S2889" i="1"/>
  <c r="T2889" i="1"/>
  <c r="U2889" i="1"/>
  <c r="V2889" i="1"/>
  <c r="W2889" i="1"/>
  <c r="X2889" i="1"/>
  <c r="Y2889" i="1"/>
  <c r="Z2889" i="1"/>
  <c r="AA2889" i="1"/>
  <c r="AB2889" i="1"/>
  <c r="AC2889" i="1"/>
  <c r="AD2889" i="1"/>
  <c r="AE2889" i="1"/>
  <c r="AF2889" i="1"/>
  <c r="AG2889" i="1"/>
  <c r="AH2889" i="1"/>
  <c r="AI2889" i="1"/>
  <c r="AJ2889" i="1"/>
  <c r="AK2889" i="1"/>
  <c r="AL2889" i="1"/>
  <c r="AM2889" i="1"/>
  <c r="AN2889" i="1"/>
  <c r="AO2889" i="1"/>
  <c r="C2889" i="1"/>
  <c r="D2888" i="1"/>
  <c r="E2888" i="1"/>
  <c r="I2888" i="1"/>
  <c r="J2888" i="1"/>
  <c r="T2888" i="1"/>
  <c r="U2888" i="1"/>
  <c r="V2888" i="1"/>
  <c r="W2888" i="1"/>
  <c r="X2888" i="1"/>
  <c r="Y2888" i="1"/>
  <c r="Z2888" i="1"/>
  <c r="AJ2888" i="1"/>
  <c r="AK2888" i="1"/>
  <c r="E2846" i="1"/>
  <c r="F2846" i="1"/>
  <c r="G2846" i="1"/>
  <c r="H2846" i="1"/>
  <c r="I2846" i="1"/>
  <c r="J2846" i="1"/>
  <c r="K2846" i="1"/>
  <c r="L2846" i="1"/>
  <c r="M2846" i="1"/>
  <c r="N2846" i="1"/>
  <c r="O2846" i="1"/>
  <c r="P2846" i="1"/>
  <c r="Q2846" i="1"/>
  <c r="R2846" i="1"/>
  <c r="S2846" i="1"/>
  <c r="T2846" i="1"/>
  <c r="U2846" i="1"/>
  <c r="V2846" i="1"/>
  <c r="W2846" i="1"/>
  <c r="X2846" i="1"/>
  <c r="Y2846" i="1"/>
  <c r="Z2846" i="1"/>
  <c r="AA2846" i="1"/>
  <c r="AB2846" i="1"/>
  <c r="AC2846" i="1"/>
  <c r="AD2846" i="1"/>
  <c r="AE2846" i="1"/>
  <c r="AF2846" i="1"/>
  <c r="AG2846" i="1"/>
  <c r="AH2846" i="1"/>
  <c r="AI2846" i="1"/>
  <c r="AJ2846" i="1"/>
  <c r="AK2846" i="1"/>
  <c r="AL2846" i="1"/>
  <c r="AM2846" i="1"/>
  <c r="AN2846" i="1"/>
  <c r="AO2846" i="1"/>
  <c r="C2846" i="1"/>
  <c r="D2846" i="1"/>
  <c r="D2702" i="1"/>
  <c r="E2702" i="1"/>
  <c r="F2702" i="1"/>
  <c r="G2702" i="1"/>
  <c r="H2702" i="1"/>
  <c r="I2702" i="1"/>
  <c r="J2702" i="1"/>
  <c r="K2702" i="1"/>
  <c r="L2702" i="1"/>
  <c r="M2702" i="1"/>
  <c r="N2702" i="1"/>
  <c r="O2702" i="1"/>
  <c r="P2702" i="1"/>
  <c r="Q2702" i="1"/>
  <c r="R2702" i="1"/>
  <c r="S2702" i="1"/>
  <c r="T2702" i="1"/>
  <c r="U2702" i="1"/>
  <c r="V2702" i="1"/>
  <c r="W2702" i="1"/>
  <c r="X2702" i="1"/>
  <c r="Y2702" i="1"/>
  <c r="Z2702" i="1"/>
  <c r="AA2702" i="1"/>
  <c r="AB2702" i="1"/>
  <c r="AC2702" i="1"/>
  <c r="AD2702" i="1"/>
  <c r="AE2702" i="1"/>
  <c r="AF2702" i="1"/>
  <c r="AG2702" i="1"/>
  <c r="AH2702" i="1"/>
  <c r="AI2702" i="1"/>
  <c r="AJ2702" i="1"/>
  <c r="AK2702" i="1"/>
  <c r="AL2702" i="1"/>
  <c r="AM2702" i="1"/>
  <c r="AN2702" i="1"/>
  <c r="AO2702" i="1"/>
  <c r="C2702" i="1"/>
  <c r="C2679" i="1"/>
  <c r="D2679" i="1"/>
  <c r="E2679" i="1"/>
  <c r="F2679" i="1"/>
  <c r="G2679" i="1"/>
  <c r="H2679" i="1"/>
  <c r="I2679" i="1"/>
  <c r="J2679" i="1"/>
  <c r="K2679" i="1"/>
  <c r="L2679" i="1"/>
  <c r="M2679" i="1"/>
  <c r="N2679" i="1"/>
  <c r="O2679" i="1"/>
  <c r="P2679" i="1"/>
  <c r="Q2679" i="1"/>
  <c r="R2679" i="1"/>
  <c r="S2679" i="1"/>
  <c r="T2679" i="1"/>
  <c r="U2679" i="1"/>
  <c r="V2679" i="1"/>
  <c r="W2679" i="1"/>
  <c r="X2679" i="1"/>
  <c r="Y2679" i="1"/>
  <c r="Z2679" i="1"/>
  <c r="AA2679" i="1"/>
  <c r="AB2679" i="1"/>
  <c r="AC2679" i="1"/>
  <c r="AD2679" i="1"/>
  <c r="AF2679" i="1"/>
  <c r="AG2679" i="1"/>
  <c r="AH2679" i="1"/>
  <c r="AI2679" i="1"/>
  <c r="AJ2679" i="1"/>
  <c r="AK2679" i="1"/>
  <c r="AL2679" i="1"/>
  <c r="AM2679" i="1"/>
  <c r="AN2679" i="1"/>
  <c r="AO2679" i="1"/>
  <c r="AE2679" i="1"/>
  <c r="D2377" i="1"/>
  <c r="E2377" i="1"/>
  <c r="F2377" i="1"/>
  <c r="G2377" i="1"/>
  <c r="H2377" i="1"/>
  <c r="I2377" i="1"/>
  <c r="J2377" i="1"/>
  <c r="K2377" i="1"/>
  <c r="L2377" i="1"/>
  <c r="M2377" i="1"/>
  <c r="N2377" i="1"/>
  <c r="O2377" i="1"/>
  <c r="P2377" i="1"/>
  <c r="Q2377" i="1"/>
  <c r="R2377" i="1"/>
  <c r="S2377" i="1"/>
  <c r="T2377" i="1"/>
  <c r="U2377" i="1"/>
  <c r="V2377" i="1"/>
  <c r="W2377" i="1"/>
  <c r="X2377" i="1"/>
  <c r="Y2377" i="1"/>
  <c r="Z2377" i="1"/>
  <c r="AA2377" i="1"/>
  <c r="AB2377" i="1"/>
  <c r="AC2377" i="1"/>
  <c r="AD2377" i="1"/>
  <c r="AE2377" i="1"/>
  <c r="AF2377" i="1"/>
  <c r="AG2377" i="1"/>
  <c r="AH2377" i="1"/>
  <c r="AI2377" i="1"/>
  <c r="AJ2377" i="1"/>
  <c r="AK2377" i="1"/>
  <c r="AL2377" i="1"/>
  <c r="AM2377" i="1"/>
  <c r="AN2377" i="1"/>
  <c r="AO2377" i="1"/>
  <c r="C2377" i="1"/>
  <c r="D3138" i="1"/>
  <c r="E3138" i="1"/>
  <c r="F3138" i="1"/>
  <c r="G3138" i="1"/>
  <c r="H3138" i="1"/>
  <c r="I3138" i="1"/>
  <c r="J3138" i="1"/>
  <c r="K3138" i="1"/>
  <c r="L3138" i="1"/>
  <c r="L3137" i="1" s="1"/>
  <c r="M3138" i="1"/>
  <c r="M3137" i="1" s="1"/>
  <c r="N3138" i="1"/>
  <c r="N3137" i="1" s="1"/>
  <c r="O3138" i="1"/>
  <c r="O3137" i="1" s="1"/>
  <c r="P3138" i="1"/>
  <c r="P3137" i="1" s="1"/>
  <c r="Q3138" i="1"/>
  <c r="Q3137" i="1" s="1"/>
  <c r="R3138" i="1"/>
  <c r="R3137" i="1" s="1"/>
  <c r="S3138" i="1"/>
  <c r="S3137" i="1" s="1"/>
  <c r="T3138" i="1"/>
  <c r="U3138" i="1"/>
  <c r="V3138" i="1"/>
  <c r="W3138" i="1"/>
  <c r="X3138" i="1"/>
  <c r="Y3138" i="1"/>
  <c r="Z3138" i="1"/>
  <c r="AA3138" i="1"/>
  <c r="AB3138" i="1"/>
  <c r="AB3137" i="1" s="1"/>
  <c r="AC3138" i="1"/>
  <c r="AC3137" i="1" s="1"/>
  <c r="AD3138" i="1"/>
  <c r="AD3137" i="1" s="1"/>
  <c r="AE3138" i="1"/>
  <c r="AE3137" i="1" s="1"/>
  <c r="AF3138" i="1"/>
  <c r="AF3137" i="1" s="1"/>
  <c r="AG3138" i="1"/>
  <c r="AG3137" i="1" s="1"/>
  <c r="AH3138" i="1"/>
  <c r="AH3137" i="1" s="1"/>
  <c r="AI3138" i="1"/>
  <c r="AI3137" i="1" s="1"/>
  <c r="AJ3138" i="1"/>
  <c r="AK3138" i="1"/>
  <c r="AL3138" i="1"/>
  <c r="AM3138" i="1"/>
  <c r="AN3138" i="1"/>
  <c r="AO3138" i="1"/>
  <c r="C3138" i="1"/>
  <c r="C3137" i="1" s="1"/>
  <c r="D3137" i="1"/>
  <c r="E3137" i="1"/>
  <c r="F3137" i="1"/>
  <c r="G3137" i="1"/>
  <c r="H3137" i="1"/>
  <c r="I3137" i="1"/>
  <c r="J3137" i="1"/>
  <c r="K3137" i="1"/>
  <c r="T3137" i="1"/>
  <c r="U3137" i="1"/>
  <c r="V3137" i="1"/>
  <c r="W3137" i="1"/>
  <c r="X3137" i="1"/>
  <c r="Y3137" i="1"/>
  <c r="Z3137" i="1"/>
  <c r="AA3137" i="1"/>
  <c r="AJ3137" i="1"/>
  <c r="AK3137" i="1"/>
  <c r="AL3137" i="1"/>
  <c r="AM3137" i="1"/>
  <c r="AN3137" i="1"/>
  <c r="AO3137" i="1"/>
  <c r="D3586" i="1"/>
  <c r="E3586" i="1"/>
  <c r="F3586" i="1"/>
  <c r="G3586" i="1"/>
  <c r="H3586" i="1"/>
  <c r="I3586" i="1"/>
  <c r="J3586" i="1"/>
  <c r="K3586" i="1"/>
  <c r="L3586" i="1"/>
  <c r="M3586" i="1"/>
  <c r="N3586" i="1"/>
  <c r="O3586" i="1"/>
  <c r="P3586" i="1"/>
  <c r="Q3586" i="1"/>
  <c r="R3586" i="1"/>
  <c r="S3586" i="1"/>
  <c r="T3586" i="1"/>
  <c r="U3586" i="1"/>
  <c r="V3586" i="1"/>
  <c r="W3586" i="1"/>
  <c r="X3586" i="1"/>
  <c r="Y3586" i="1"/>
  <c r="Z3586" i="1"/>
  <c r="AA3586" i="1"/>
  <c r="AB3586" i="1"/>
  <c r="AC3586" i="1"/>
  <c r="AD3586" i="1"/>
  <c r="AE3586" i="1"/>
  <c r="AF3586" i="1"/>
  <c r="AG3586" i="1"/>
  <c r="AH3586" i="1"/>
  <c r="AI3586" i="1"/>
  <c r="AJ3586" i="1"/>
  <c r="AK3586" i="1"/>
  <c r="AL3586" i="1"/>
  <c r="AM3586" i="1"/>
  <c r="AN3586" i="1"/>
  <c r="AO3586" i="1"/>
  <c r="C3586" i="1"/>
  <c r="D3807" i="1"/>
  <c r="E3807" i="1"/>
  <c r="F3807" i="1"/>
  <c r="G3807" i="1"/>
  <c r="H3807" i="1"/>
  <c r="I3807" i="1"/>
  <c r="J3807" i="1"/>
  <c r="K3807" i="1"/>
  <c r="L3807" i="1"/>
  <c r="M3807" i="1"/>
  <c r="N3807" i="1"/>
  <c r="O3807" i="1"/>
  <c r="P3807" i="1"/>
  <c r="Q3807" i="1"/>
  <c r="R3807" i="1"/>
  <c r="S3807" i="1"/>
  <c r="T3807" i="1"/>
  <c r="U3807" i="1"/>
  <c r="V3807" i="1"/>
  <c r="W3807" i="1"/>
  <c r="X3807" i="1"/>
  <c r="Y3807" i="1"/>
  <c r="Z3807" i="1"/>
  <c r="AA3807" i="1"/>
  <c r="AB3807" i="1"/>
  <c r="AC3807" i="1"/>
  <c r="AD3807" i="1"/>
  <c r="AE3807" i="1"/>
  <c r="AF3807" i="1"/>
  <c r="AG3807" i="1"/>
  <c r="AH3807" i="1"/>
  <c r="AI3807" i="1"/>
  <c r="AJ3807" i="1"/>
  <c r="AK3807" i="1"/>
  <c r="AL3807" i="1"/>
  <c r="AM3807" i="1"/>
  <c r="AN3807" i="1"/>
  <c r="AO3807" i="1"/>
  <c r="C3807" i="1"/>
  <c r="D3812" i="1"/>
  <c r="E3812" i="1"/>
  <c r="F3812" i="1"/>
  <c r="G3812" i="1"/>
  <c r="H3812" i="1"/>
  <c r="I3812" i="1"/>
  <c r="J3812" i="1"/>
  <c r="K3812" i="1"/>
  <c r="L3812" i="1"/>
  <c r="M3812" i="1"/>
  <c r="N3812" i="1"/>
  <c r="O3812" i="1"/>
  <c r="P3812" i="1"/>
  <c r="Q3812" i="1"/>
  <c r="R3812" i="1"/>
  <c r="S3812" i="1"/>
  <c r="T3812" i="1"/>
  <c r="U3812" i="1"/>
  <c r="V3812" i="1"/>
  <c r="W3812" i="1"/>
  <c r="X3812" i="1"/>
  <c r="Y3812" i="1"/>
  <c r="Z3812" i="1"/>
  <c r="AA3812" i="1"/>
  <c r="AB3812" i="1"/>
  <c r="AC3812" i="1"/>
  <c r="AD3812" i="1"/>
  <c r="AE3812" i="1"/>
  <c r="AF3812" i="1"/>
  <c r="AG3812" i="1"/>
  <c r="AH3812" i="1"/>
  <c r="AI3812" i="1"/>
  <c r="AJ3812" i="1"/>
  <c r="AK3812" i="1"/>
  <c r="AL3812" i="1"/>
  <c r="AM3812" i="1"/>
  <c r="AN3812" i="1"/>
  <c r="AO3812" i="1"/>
  <c r="C3812" i="1"/>
  <c r="D3859" i="1"/>
  <c r="E3859" i="1"/>
  <c r="F3859" i="1"/>
  <c r="G3859" i="1"/>
  <c r="H3859" i="1"/>
  <c r="I3859" i="1"/>
  <c r="J3859" i="1"/>
  <c r="K3859" i="1"/>
  <c r="L3859" i="1"/>
  <c r="M3859" i="1"/>
  <c r="N3859" i="1"/>
  <c r="O3859" i="1"/>
  <c r="P3859" i="1"/>
  <c r="Q3859" i="1"/>
  <c r="R3859" i="1"/>
  <c r="S3859" i="1"/>
  <c r="T3859" i="1"/>
  <c r="U3859" i="1"/>
  <c r="V3859" i="1"/>
  <c r="W3859" i="1"/>
  <c r="X3859" i="1"/>
  <c r="Y3859" i="1"/>
  <c r="Z3859" i="1"/>
  <c r="AA3859" i="1"/>
  <c r="AB3859" i="1"/>
  <c r="AC3859" i="1"/>
  <c r="AD3859" i="1"/>
  <c r="AE3859" i="1"/>
  <c r="AF3859" i="1"/>
  <c r="AG3859" i="1"/>
  <c r="AH3859" i="1"/>
  <c r="AI3859" i="1"/>
  <c r="AJ3859" i="1"/>
  <c r="AK3859" i="1"/>
  <c r="AL3859" i="1"/>
  <c r="AM3859" i="1"/>
  <c r="AN3859" i="1"/>
  <c r="AO3859" i="1"/>
  <c r="C3859" i="1"/>
  <c r="D3860" i="1"/>
  <c r="E3860" i="1"/>
  <c r="F3860" i="1"/>
  <c r="G3860" i="1"/>
  <c r="H3860" i="1"/>
  <c r="I3860" i="1"/>
  <c r="J3860" i="1"/>
  <c r="K3860" i="1"/>
  <c r="L3860" i="1"/>
  <c r="M3860" i="1"/>
  <c r="N3860" i="1"/>
  <c r="O3860" i="1"/>
  <c r="P3860" i="1"/>
  <c r="Q3860" i="1"/>
  <c r="R3860" i="1"/>
  <c r="S3860" i="1"/>
  <c r="T3860" i="1"/>
  <c r="U3860" i="1"/>
  <c r="V3860" i="1"/>
  <c r="W3860" i="1"/>
  <c r="X3860" i="1"/>
  <c r="Y3860" i="1"/>
  <c r="Z3860" i="1"/>
  <c r="AA3860" i="1"/>
  <c r="AB3860" i="1"/>
  <c r="AC3860" i="1"/>
  <c r="AD3860" i="1"/>
  <c r="AE3860" i="1"/>
  <c r="AF3860" i="1"/>
  <c r="AG3860" i="1"/>
  <c r="AH3860" i="1"/>
  <c r="AI3860" i="1"/>
  <c r="AJ3860" i="1"/>
  <c r="AK3860" i="1"/>
  <c r="AL3860" i="1"/>
  <c r="AM3860" i="1"/>
  <c r="AN3860" i="1"/>
  <c r="AO3860" i="1"/>
  <c r="D3864" i="1"/>
  <c r="E3864" i="1"/>
  <c r="F3864" i="1"/>
  <c r="G3864" i="1"/>
  <c r="H3864" i="1"/>
  <c r="I3864" i="1"/>
  <c r="J3864" i="1"/>
  <c r="K3864" i="1"/>
  <c r="L3864" i="1"/>
  <c r="M3864" i="1"/>
  <c r="N3864" i="1"/>
  <c r="O3864" i="1"/>
  <c r="P3864" i="1"/>
  <c r="Q3864" i="1"/>
  <c r="R3864" i="1"/>
  <c r="S3864" i="1"/>
  <c r="T3864" i="1"/>
  <c r="U3864" i="1"/>
  <c r="V3864" i="1"/>
  <c r="W3864" i="1"/>
  <c r="X3864" i="1"/>
  <c r="Y3864" i="1"/>
  <c r="Z3864" i="1"/>
  <c r="AA3864" i="1"/>
  <c r="AB3864" i="1"/>
  <c r="AC3864" i="1"/>
  <c r="AD3864" i="1"/>
  <c r="AE3864" i="1"/>
  <c r="AF3864" i="1"/>
  <c r="AG3864" i="1"/>
  <c r="AH3864" i="1"/>
  <c r="AI3864" i="1"/>
  <c r="AJ3864" i="1"/>
  <c r="AK3864" i="1"/>
  <c r="AL3864" i="1"/>
  <c r="AM3864" i="1"/>
  <c r="AN3864" i="1"/>
  <c r="AO3864" i="1"/>
  <c r="C3864" i="1"/>
  <c r="C3860" i="1"/>
  <c r="D3874" i="1"/>
  <c r="E3874" i="1"/>
  <c r="F3874" i="1"/>
  <c r="G3874" i="1"/>
  <c r="H3874" i="1"/>
  <c r="I3874" i="1"/>
  <c r="J3874" i="1"/>
  <c r="K3874" i="1"/>
  <c r="L3874" i="1"/>
  <c r="M3874" i="1"/>
  <c r="N3874" i="1"/>
  <c r="O3874" i="1"/>
  <c r="P3874" i="1"/>
  <c r="Q3874" i="1"/>
  <c r="R3874" i="1"/>
  <c r="S3874" i="1"/>
  <c r="T3874" i="1"/>
  <c r="U3874" i="1"/>
  <c r="V3874" i="1"/>
  <c r="W3874" i="1"/>
  <c r="X3874" i="1"/>
  <c r="Y3874" i="1"/>
  <c r="Z3874" i="1"/>
  <c r="AA3874" i="1"/>
  <c r="AB3874" i="1"/>
  <c r="AC3874" i="1"/>
  <c r="AD3874" i="1"/>
  <c r="AE3874" i="1"/>
  <c r="AF3874" i="1"/>
  <c r="AG3874" i="1"/>
  <c r="AH3874" i="1"/>
  <c r="AI3874" i="1"/>
  <c r="AJ3874" i="1"/>
  <c r="AK3874" i="1"/>
  <c r="AL3874" i="1"/>
  <c r="AM3874" i="1"/>
  <c r="AN3874" i="1"/>
  <c r="AO3874" i="1"/>
  <c r="C3874" i="1"/>
  <c r="D3876" i="1"/>
  <c r="E3876" i="1"/>
  <c r="F3876" i="1"/>
  <c r="G3876" i="1"/>
  <c r="H3876" i="1"/>
  <c r="I3876" i="1"/>
  <c r="J3876" i="1"/>
  <c r="K3876" i="1"/>
  <c r="L3876" i="1"/>
  <c r="M3876" i="1"/>
  <c r="N3876" i="1"/>
  <c r="O3876" i="1"/>
  <c r="P3876" i="1"/>
  <c r="Q3876" i="1"/>
  <c r="R3876" i="1"/>
  <c r="S3876" i="1"/>
  <c r="T3876" i="1"/>
  <c r="U3876" i="1"/>
  <c r="V3876" i="1"/>
  <c r="W3876" i="1"/>
  <c r="X3876" i="1"/>
  <c r="Y3876" i="1"/>
  <c r="Z3876" i="1"/>
  <c r="AA3876" i="1"/>
  <c r="AB3876" i="1"/>
  <c r="AC3876" i="1"/>
  <c r="AD3876" i="1"/>
  <c r="AE3876" i="1"/>
  <c r="AF3876" i="1"/>
  <c r="AG3876" i="1"/>
  <c r="AH3876" i="1"/>
  <c r="AI3876" i="1"/>
  <c r="AJ3876" i="1"/>
  <c r="AK3876" i="1"/>
  <c r="AL3876" i="1"/>
  <c r="AM3876" i="1"/>
  <c r="AN3876" i="1"/>
  <c r="AO3876" i="1"/>
  <c r="C3876" i="1"/>
  <c r="D3976" i="1"/>
  <c r="E3976" i="1"/>
  <c r="F3976" i="1"/>
  <c r="G3976" i="1"/>
  <c r="H3976" i="1"/>
  <c r="I3976" i="1"/>
  <c r="J3976" i="1"/>
  <c r="K3976" i="1"/>
  <c r="L3976" i="1"/>
  <c r="M3976" i="1"/>
  <c r="N3976" i="1"/>
  <c r="O3976" i="1"/>
  <c r="P3976" i="1"/>
  <c r="Q3976" i="1"/>
  <c r="R3976" i="1"/>
  <c r="S3976" i="1"/>
  <c r="T3976" i="1"/>
  <c r="U3976" i="1"/>
  <c r="V3976" i="1"/>
  <c r="W3976" i="1"/>
  <c r="X3976" i="1"/>
  <c r="Y3976" i="1"/>
  <c r="Z3976" i="1"/>
  <c r="AA3976" i="1"/>
  <c r="AB3976" i="1"/>
  <c r="AC3976" i="1"/>
  <c r="AM3976" i="1"/>
  <c r="AN3976" i="1"/>
  <c r="AO3976" i="1"/>
  <c r="C3976" i="1"/>
  <c r="D3977" i="1"/>
  <c r="E3977" i="1"/>
  <c r="F3977" i="1"/>
  <c r="G3977" i="1"/>
  <c r="H3977" i="1"/>
  <c r="I3977" i="1"/>
  <c r="J3977" i="1"/>
  <c r="K3977" i="1"/>
  <c r="L3977" i="1"/>
  <c r="M3977" i="1"/>
  <c r="N3977" i="1"/>
  <c r="O3977" i="1"/>
  <c r="P3977" i="1"/>
  <c r="Q3977" i="1"/>
  <c r="R3977" i="1"/>
  <c r="S3977" i="1"/>
  <c r="T3977" i="1"/>
  <c r="U3977" i="1"/>
  <c r="V3977" i="1"/>
  <c r="W3977" i="1"/>
  <c r="X3977" i="1"/>
  <c r="Y3977" i="1"/>
  <c r="Z3977" i="1"/>
  <c r="AA3977" i="1"/>
  <c r="AB3977" i="1"/>
  <c r="AC3977" i="1"/>
  <c r="AD3977" i="1"/>
  <c r="AE3977" i="1"/>
  <c r="AF3977" i="1"/>
  <c r="AG3977" i="1"/>
  <c r="AH3977" i="1"/>
  <c r="AI3977" i="1"/>
  <c r="AJ3977" i="1"/>
  <c r="AK3977" i="1"/>
  <c r="AL3977" i="1"/>
  <c r="AM3977" i="1"/>
  <c r="AN3977" i="1"/>
  <c r="AO3977" i="1"/>
  <c r="C3977" i="1"/>
  <c r="D4135" i="1"/>
  <c r="E4135" i="1"/>
  <c r="F4135" i="1"/>
  <c r="G4135" i="1"/>
  <c r="H4135" i="1"/>
  <c r="I4135" i="1"/>
  <c r="J4135" i="1"/>
  <c r="K4135" i="1"/>
  <c r="L4135" i="1"/>
  <c r="M4135" i="1"/>
  <c r="N4135" i="1"/>
  <c r="O4135" i="1"/>
  <c r="P4135" i="1"/>
  <c r="Q4135" i="1"/>
  <c r="R4135" i="1"/>
  <c r="S4135" i="1"/>
  <c r="T4135" i="1"/>
  <c r="U4135" i="1"/>
  <c r="V4135" i="1"/>
  <c r="W4135" i="1"/>
  <c r="X4135" i="1"/>
  <c r="Y4135" i="1"/>
  <c r="Z4135" i="1"/>
  <c r="AA4135" i="1"/>
  <c r="AB4135" i="1"/>
  <c r="AC4135" i="1"/>
  <c r="AD4135" i="1"/>
  <c r="AE4135" i="1"/>
  <c r="AF4135" i="1"/>
  <c r="AG4135" i="1"/>
  <c r="AH4135" i="1"/>
  <c r="AI4135" i="1"/>
  <c r="AJ4135" i="1"/>
  <c r="AK4135" i="1"/>
  <c r="AL4135" i="1"/>
  <c r="AM4135" i="1"/>
  <c r="AN4135" i="1"/>
  <c r="AO4135" i="1"/>
  <c r="C4135" i="1"/>
  <c r="D4139" i="1"/>
  <c r="E4139" i="1"/>
  <c r="F4139" i="1"/>
  <c r="G4139" i="1"/>
  <c r="H4139" i="1"/>
  <c r="I4139" i="1"/>
  <c r="J4139" i="1"/>
  <c r="K4139" i="1"/>
  <c r="L4139" i="1"/>
  <c r="M4139" i="1"/>
  <c r="N4139" i="1"/>
  <c r="O4139" i="1"/>
  <c r="P4139" i="1"/>
  <c r="Q4139" i="1"/>
  <c r="R4139" i="1"/>
  <c r="S4139" i="1"/>
  <c r="T4139" i="1"/>
  <c r="U4139" i="1"/>
  <c r="V4139" i="1"/>
  <c r="W4139" i="1"/>
  <c r="X4139" i="1"/>
  <c r="Y4139" i="1"/>
  <c r="Z4139" i="1"/>
  <c r="AA4139" i="1"/>
  <c r="AB4139" i="1"/>
  <c r="AC4139" i="1"/>
  <c r="AD4139" i="1"/>
  <c r="AE4139" i="1"/>
  <c r="AF4139" i="1"/>
  <c r="AG4139" i="1"/>
  <c r="AH4139" i="1"/>
  <c r="AI4139" i="1"/>
  <c r="AJ4139" i="1"/>
  <c r="AK4139" i="1"/>
  <c r="AL4139" i="1"/>
  <c r="AM4139" i="1"/>
  <c r="AN4139" i="1"/>
  <c r="AO4139" i="1"/>
  <c r="C4139" i="1"/>
  <c r="D4142" i="1"/>
  <c r="E4142" i="1"/>
  <c r="F4142" i="1"/>
  <c r="G4142" i="1"/>
  <c r="H4142" i="1"/>
  <c r="I4142" i="1"/>
  <c r="J4142" i="1"/>
  <c r="K4142" i="1"/>
  <c r="L4142" i="1"/>
  <c r="M4142" i="1"/>
  <c r="N4142" i="1"/>
  <c r="O4142" i="1"/>
  <c r="P4142" i="1"/>
  <c r="Q4142" i="1"/>
  <c r="R4142" i="1"/>
  <c r="S4142" i="1"/>
  <c r="T4142" i="1"/>
  <c r="U4142" i="1"/>
  <c r="V4142" i="1"/>
  <c r="W4142" i="1"/>
  <c r="X4142" i="1"/>
  <c r="Y4142" i="1"/>
  <c r="Z4142" i="1"/>
  <c r="AA4142" i="1"/>
  <c r="AB4142" i="1"/>
  <c r="AC4142" i="1"/>
  <c r="AD4142" i="1"/>
  <c r="AE4142" i="1"/>
  <c r="AF4142" i="1"/>
  <c r="AG4142" i="1"/>
  <c r="AH4142" i="1"/>
  <c r="AI4142" i="1"/>
  <c r="AJ4142" i="1"/>
  <c r="AK4142" i="1"/>
  <c r="AL4142" i="1"/>
  <c r="AM4142" i="1"/>
  <c r="AN4142" i="1"/>
  <c r="AO4142" i="1"/>
  <c r="C4142" i="1"/>
  <c r="AQ2" i="1"/>
  <c r="AP2" i="1"/>
  <c r="AP1917" i="1"/>
  <c r="D1917" i="1"/>
  <c r="E1917" i="1"/>
  <c r="F1917" i="1"/>
  <c r="G1917" i="1"/>
  <c r="H1917" i="1"/>
  <c r="I1917" i="1"/>
  <c r="J1917" i="1"/>
  <c r="K1917" i="1"/>
  <c r="L1917" i="1"/>
  <c r="M1917" i="1"/>
  <c r="N1917" i="1"/>
  <c r="O1917" i="1"/>
  <c r="P1917" i="1"/>
  <c r="Q1917" i="1"/>
  <c r="R1917" i="1"/>
  <c r="S1917" i="1"/>
  <c r="T1917" i="1"/>
  <c r="U1917" i="1"/>
  <c r="V1917" i="1"/>
  <c r="W1917" i="1"/>
  <c r="X1917" i="1"/>
  <c r="Y1917" i="1"/>
  <c r="Z1917" i="1"/>
  <c r="AA1917" i="1"/>
  <c r="AB1917" i="1"/>
  <c r="AC1917" i="1"/>
  <c r="AD1917" i="1"/>
  <c r="AE1917" i="1"/>
  <c r="AF1917" i="1"/>
  <c r="AG1917" i="1"/>
  <c r="AH1917" i="1"/>
  <c r="AI1917" i="1"/>
  <c r="AJ1917" i="1"/>
  <c r="AK1917" i="1"/>
  <c r="AL1917" i="1"/>
  <c r="AM1917" i="1"/>
  <c r="AN1917" i="1"/>
  <c r="AO1917" i="1"/>
  <c r="C1917" i="1"/>
  <c r="C2269" i="1"/>
  <c r="D2269" i="1"/>
  <c r="E2269" i="1"/>
  <c r="F2269" i="1"/>
  <c r="G2269" i="1"/>
  <c r="H2269" i="1"/>
  <c r="I2269" i="1"/>
  <c r="J2269" i="1"/>
  <c r="K2269" i="1"/>
  <c r="L2269" i="1"/>
  <c r="M2269" i="1"/>
  <c r="N2269" i="1"/>
  <c r="O2269" i="1"/>
  <c r="P2269" i="1"/>
  <c r="Q2269" i="1"/>
  <c r="R2269" i="1"/>
  <c r="S2269" i="1"/>
  <c r="T2269" i="1"/>
  <c r="U2269" i="1"/>
  <c r="V2269" i="1"/>
  <c r="W2269" i="1"/>
  <c r="X2269" i="1"/>
  <c r="Y2269" i="1"/>
  <c r="Z2269" i="1"/>
  <c r="AA2269" i="1"/>
  <c r="AB2269" i="1"/>
  <c r="AD2269" i="1"/>
  <c r="AE2269" i="1"/>
  <c r="AF2269" i="1"/>
  <c r="AG2269" i="1"/>
  <c r="AH2269" i="1"/>
  <c r="AI2269" i="1"/>
  <c r="AJ2269" i="1"/>
  <c r="AK2269" i="1"/>
  <c r="AL2269" i="1"/>
  <c r="AM2269" i="1"/>
  <c r="AN2269" i="1"/>
  <c r="AO2269" i="1"/>
  <c r="AC2269" i="1"/>
  <c r="D2305" i="1"/>
  <c r="E2305" i="1"/>
  <c r="F2305" i="1"/>
  <c r="G2305" i="1"/>
  <c r="H2305" i="1"/>
  <c r="I2305" i="1"/>
  <c r="J2305" i="1"/>
  <c r="K2305" i="1"/>
  <c r="L2305" i="1"/>
  <c r="M2305" i="1"/>
  <c r="N2305" i="1"/>
  <c r="O2305" i="1"/>
  <c r="P2305" i="1"/>
  <c r="Q2305" i="1"/>
  <c r="R2305" i="1"/>
  <c r="S2305" i="1"/>
  <c r="T2305" i="1"/>
  <c r="U2305" i="1"/>
  <c r="V2305" i="1"/>
  <c r="W2305" i="1"/>
  <c r="X2305" i="1"/>
  <c r="Y2305" i="1"/>
  <c r="Z2305" i="1"/>
  <c r="AA2305" i="1"/>
  <c r="AB2305" i="1"/>
  <c r="AC2305" i="1"/>
  <c r="AD2305" i="1"/>
  <c r="AE2305" i="1"/>
  <c r="AF2305" i="1"/>
  <c r="AG2305" i="1"/>
  <c r="AH2305" i="1"/>
  <c r="AI2305" i="1"/>
  <c r="AJ2305" i="1"/>
  <c r="AK2305" i="1"/>
  <c r="AL2305" i="1"/>
  <c r="AM2305" i="1"/>
  <c r="AN2305" i="1"/>
  <c r="AO2305" i="1"/>
  <c r="C2305" i="1"/>
  <c r="D2270" i="1"/>
  <c r="E2270" i="1"/>
  <c r="F2270" i="1"/>
  <c r="G2270" i="1"/>
  <c r="H2270" i="1"/>
  <c r="I2270" i="1"/>
  <c r="J2270" i="1"/>
  <c r="K2270" i="1"/>
  <c r="L2270" i="1"/>
  <c r="M2270" i="1"/>
  <c r="N2270" i="1"/>
  <c r="O2270" i="1"/>
  <c r="P2270" i="1"/>
  <c r="Q2270" i="1"/>
  <c r="R2270" i="1"/>
  <c r="S2270" i="1"/>
  <c r="T2270" i="1"/>
  <c r="U2270" i="1"/>
  <c r="V2270" i="1"/>
  <c r="W2270" i="1"/>
  <c r="X2270" i="1"/>
  <c r="Y2270" i="1"/>
  <c r="Z2270" i="1"/>
  <c r="AA2270" i="1"/>
  <c r="AB2270" i="1"/>
  <c r="AC2270" i="1"/>
  <c r="AD2270" i="1"/>
  <c r="AE2270" i="1"/>
  <c r="AF2270" i="1"/>
  <c r="AG2270" i="1"/>
  <c r="AH2270" i="1"/>
  <c r="AI2270" i="1"/>
  <c r="AJ2270" i="1"/>
  <c r="AK2270" i="1"/>
  <c r="AL2270" i="1"/>
  <c r="AM2270" i="1"/>
  <c r="AN2270" i="1"/>
  <c r="AO2270" i="1"/>
  <c r="C2270" i="1"/>
  <c r="D2208" i="1"/>
  <c r="E2208" i="1"/>
  <c r="F2208" i="1"/>
  <c r="G2208" i="1"/>
  <c r="H2208" i="1"/>
  <c r="I2208" i="1"/>
  <c r="J2208" i="1"/>
  <c r="K2208" i="1"/>
  <c r="L2208" i="1"/>
  <c r="M2208" i="1"/>
  <c r="N2208" i="1"/>
  <c r="O2208" i="1"/>
  <c r="P2208" i="1"/>
  <c r="Q2208" i="1"/>
  <c r="R2208" i="1"/>
  <c r="S2208" i="1"/>
  <c r="T2208" i="1"/>
  <c r="U2208" i="1"/>
  <c r="V2208" i="1"/>
  <c r="W2208" i="1"/>
  <c r="X2208" i="1"/>
  <c r="Y2208" i="1"/>
  <c r="Z2208" i="1"/>
  <c r="AA2208" i="1"/>
  <c r="AB2208" i="1"/>
  <c r="AC2208" i="1"/>
  <c r="AD2208" i="1"/>
  <c r="AE2208" i="1"/>
  <c r="AF2208" i="1"/>
  <c r="AG2208" i="1"/>
  <c r="AH2208" i="1"/>
  <c r="AI2208" i="1"/>
  <c r="AJ2208" i="1"/>
  <c r="AK2208" i="1"/>
  <c r="AL2208" i="1"/>
  <c r="AM2208" i="1"/>
  <c r="AN2208" i="1"/>
  <c r="AO2208" i="1"/>
  <c r="C2208" i="1"/>
  <c r="D2241" i="1"/>
  <c r="E2241" i="1"/>
  <c r="F2241" i="1"/>
  <c r="G2241" i="1"/>
  <c r="H2241" i="1"/>
  <c r="I2241" i="1"/>
  <c r="J2241" i="1"/>
  <c r="K2241" i="1"/>
  <c r="L2241" i="1"/>
  <c r="M2241" i="1"/>
  <c r="N2241" i="1"/>
  <c r="O2241" i="1"/>
  <c r="P2241" i="1"/>
  <c r="Q2241" i="1"/>
  <c r="R2241" i="1"/>
  <c r="S2241" i="1"/>
  <c r="T2241" i="1"/>
  <c r="U2241" i="1"/>
  <c r="V2241" i="1"/>
  <c r="W2241" i="1"/>
  <c r="X2241" i="1"/>
  <c r="Y2241" i="1"/>
  <c r="Z2241" i="1"/>
  <c r="AA2241" i="1"/>
  <c r="AB2241" i="1"/>
  <c r="AC2241" i="1"/>
  <c r="AD2241" i="1"/>
  <c r="AE2241" i="1"/>
  <c r="AF2241" i="1"/>
  <c r="AG2241" i="1"/>
  <c r="AH2241" i="1"/>
  <c r="AI2241" i="1"/>
  <c r="AJ2241" i="1"/>
  <c r="AK2241" i="1"/>
  <c r="AL2241" i="1"/>
  <c r="AM2241" i="1"/>
  <c r="AN2241" i="1"/>
  <c r="AO2241" i="1"/>
  <c r="C2241" i="1"/>
  <c r="C2145" i="1"/>
  <c r="D2145" i="1"/>
  <c r="E2145" i="1"/>
  <c r="F2145" i="1"/>
  <c r="G2145" i="1"/>
  <c r="H2145" i="1"/>
  <c r="I2145" i="1"/>
  <c r="J2145" i="1"/>
  <c r="K2145" i="1"/>
  <c r="L2145" i="1"/>
  <c r="M2145" i="1"/>
  <c r="N2145" i="1"/>
  <c r="O2145" i="1"/>
  <c r="P2145" i="1"/>
  <c r="Q2145" i="1"/>
  <c r="R2145" i="1"/>
  <c r="S2145" i="1"/>
  <c r="T2145" i="1"/>
  <c r="U2145" i="1"/>
  <c r="V2145" i="1"/>
  <c r="W2145" i="1"/>
  <c r="X2145" i="1"/>
  <c r="Y2145" i="1"/>
  <c r="Z2145" i="1"/>
  <c r="AA2145" i="1"/>
  <c r="AC2145" i="1"/>
  <c r="AD2145" i="1"/>
  <c r="AE2145" i="1"/>
  <c r="AF2145" i="1"/>
  <c r="AG2145" i="1"/>
  <c r="AH2145" i="1"/>
  <c r="AI2145" i="1"/>
  <c r="AJ2145" i="1"/>
  <c r="AK2145" i="1"/>
  <c r="AL2145" i="1"/>
  <c r="AM2145" i="1"/>
  <c r="AN2145" i="1"/>
  <c r="AO2145" i="1"/>
  <c r="AB2145" i="1"/>
  <c r="D2140" i="1"/>
  <c r="E2140" i="1"/>
  <c r="F2140" i="1"/>
  <c r="G2140" i="1"/>
  <c r="H2140" i="1"/>
  <c r="I2140" i="1"/>
  <c r="J2140" i="1"/>
  <c r="K2140" i="1"/>
  <c r="L2140" i="1"/>
  <c r="M2140" i="1"/>
  <c r="N2140" i="1"/>
  <c r="O2140" i="1"/>
  <c r="P2140" i="1"/>
  <c r="Q2140" i="1"/>
  <c r="R2140" i="1"/>
  <c r="S2140" i="1"/>
  <c r="T2140" i="1"/>
  <c r="T2075" i="1" s="1"/>
  <c r="U2140" i="1"/>
  <c r="V2140" i="1"/>
  <c r="W2140" i="1"/>
  <c r="X2140" i="1"/>
  <c r="Y2140" i="1"/>
  <c r="Z2140" i="1"/>
  <c r="AA2140" i="1"/>
  <c r="AB2140" i="1"/>
  <c r="AC2140" i="1"/>
  <c r="AD2140" i="1"/>
  <c r="AE2140" i="1"/>
  <c r="AF2140" i="1"/>
  <c r="AG2140" i="1"/>
  <c r="AH2140" i="1"/>
  <c r="AI2140" i="1"/>
  <c r="AJ2140" i="1"/>
  <c r="AJ2075" i="1" s="1"/>
  <c r="AK2140" i="1"/>
  <c r="AL2140" i="1"/>
  <c r="AM2140" i="1"/>
  <c r="AN2140" i="1"/>
  <c r="AO2140" i="1"/>
  <c r="C2140" i="1"/>
  <c r="C2075" i="1" s="1"/>
  <c r="D2127" i="1"/>
  <c r="E2127" i="1"/>
  <c r="F2127" i="1"/>
  <c r="G2127" i="1"/>
  <c r="H2127" i="1"/>
  <c r="I2127" i="1"/>
  <c r="J2127" i="1"/>
  <c r="K2127" i="1"/>
  <c r="L2127" i="1"/>
  <c r="M2127" i="1"/>
  <c r="N2127" i="1"/>
  <c r="O2127" i="1"/>
  <c r="P2127" i="1"/>
  <c r="Q2127" i="1"/>
  <c r="R2127" i="1"/>
  <c r="S2127" i="1"/>
  <c r="T2127" i="1"/>
  <c r="U2127" i="1"/>
  <c r="V2127" i="1"/>
  <c r="W2127" i="1"/>
  <c r="X2127" i="1"/>
  <c r="Y2127" i="1"/>
  <c r="Z2127" i="1"/>
  <c r="AA2127" i="1"/>
  <c r="AB2127" i="1"/>
  <c r="AC2127" i="1"/>
  <c r="AD2127" i="1"/>
  <c r="AE2127" i="1"/>
  <c r="AF2127" i="1"/>
  <c r="AG2127" i="1"/>
  <c r="AH2127" i="1"/>
  <c r="AI2127" i="1"/>
  <c r="AJ2127" i="1"/>
  <c r="AK2127" i="1"/>
  <c r="AL2127" i="1"/>
  <c r="AM2127" i="1"/>
  <c r="AN2127" i="1"/>
  <c r="AO2127" i="1"/>
  <c r="C2127" i="1"/>
  <c r="D2095" i="1"/>
  <c r="E2095" i="1"/>
  <c r="F2095" i="1"/>
  <c r="G2095" i="1"/>
  <c r="H2095" i="1"/>
  <c r="I2095" i="1"/>
  <c r="J2095" i="1"/>
  <c r="K2095" i="1"/>
  <c r="L2095" i="1"/>
  <c r="M2095" i="1"/>
  <c r="N2095" i="1"/>
  <c r="O2095" i="1"/>
  <c r="P2095" i="1"/>
  <c r="Q2095" i="1"/>
  <c r="R2095" i="1"/>
  <c r="S2095" i="1"/>
  <c r="T2095" i="1"/>
  <c r="U2095" i="1"/>
  <c r="V2095" i="1"/>
  <c r="W2095" i="1"/>
  <c r="X2095" i="1"/>
  <c r="Y2095" i="1"/>
  <c r="Z2095" i="1"/>
  <c r="AA2095" i="1"/>
  <c r="AB2095" i="1"/>
  <c r="AC2095" i="1"/>
  <c r="AD2095" i="1"/>
  <c r="AE2095" i="1"/>
  <c r="AF2095" i="1"/>
  <c r="AG2095" i="1"/>
  <c r="AH2095" i="1"/>
  <c r="AI2095" i="1"/>
  <c r="AJ2095" i="1"/>
  <c r="AK2095" i="1"/>
  <c r="AL2095" i="1"/>
  <c r="AM2095" i="1"/>
  <c r="AN2095" i="1"/>
  <c r="AO2095" i="1"/>
  <c r="C2095" i="1"/>
  <c r="D2108" i="1"/>
  <c r="E2108" i="1"/>
  <c r="F2108" i="1"/>
  <c r="G2108" i="1"/>
  <c r="H2108" i="1"/>
  <c r="I2108" i="1"/>
  <c r="J2108" i="1"/>
  <c r="K2108" i="1"/>
  <c r="L2108" i="1"/>
  <c r="M2108" i="1"/>
  <c r="N2108" i="1"/>
  <c r="O2108" i="1"/>
  <c r="P2108" i="1"/>
  <c r="Q2108" i="1"/>
  <c r="R2108" i="1"/>
  <c r="S2108" i="1"/>
  <c r="T2108" i="1"/>
  <c r="U2108" i="1"/>
  <c r="V2108" i="1"/>
  <c r="W2108" i="1"/>
  <c r="X2108" i="1"/>
  <c r="Y2108" i="1"/>
  <c r="Z2108" i="1"/>
  <c r="AA2108" i="1"/>
  <c r="AB2108" i="1"/>
  <c r="AC2108" i="1"/>
  <c r="AD2108" i="1"/>
  <c r="AE2108" i="1"/>
  <c r="AF2108" i="1"/>
  <c r="AG2108" i="1"/>
  <c r="AH2108" i="1"/>
  <c r="AI2108" i="1"/>
  <c r="AJ2108" i="1"/>
  <c r="AK2108" i="1"/>
  <c r="AL2108" i="1"/>
  <c r="AM2108" i="1"/>
  <c r="AN2108" i="1"/>
  <c r="AO2108" i="1"/>
  <c r="C2108" i="1"/>
  <c r="E2075" i="1"/>
  <c r="U2075" i="1"/>
  <c r="AK2075" i="1"/>
  <c r="D1918" i="1"/>
  <c r="E1918" i="1"/>
  <c r="F1918" i="1"/>
  <c r="G1918" i="1"/>
  <c r="H1918" i="1"/>
  <c r="I1918" i="1"/>
  <c r="J1918" i="1"/>
  <c r="K1918" i="1"/>
  <c r="L1918" i="1"/>
  <c r="M1918" i="1"/>
  <c r="N1918" i="1"/>
  <c r="O1918" i="1"/>
  <c r="P1918" i="1"/>
  <c r="Q1918" i="1"/>
  <c r="R1918" i="1"/>
  <c r="S1918" i="1"/>
  <c r="T1918" i="1"/>
  <c r="U1918" i="1"/>
  <c r="V1918" i="1"/>
  <c r="W1918" i="1"/>
  <c r="X1918" i="1"/>
  <c r="Y1918" i="1"/>
  <c r="Z1918" i="1"/>
  <c r="AA1918" i="1"/>
  <c r="AB1918" i="1"/>
  <c r="AC1918" i="1"/>
  <c r="AD1918" i="1"/>
  <c r="AE1918" i="1"/>
  <c r="AF1918" i="1"/>
  <c r="AG1918" i="1"/>
  <c r="AH1918" i="1"/>
  <c r="AI1918" i="1"/>
  <c r="AJ1918" i="1"/>
  <c r="AK1918" i="1"/>
  <c r="AL1918" i="1"/>
  <c r="AM1918" i="1"/>
  <c r="AN1918" i="1"/>
  <c r="AO1918" i="1"/>
  <c r="C1918" i="1"/>
  <c r="D1959" i="1"/>
  <c r="E1959" i="1"/>
  <c r="F1959" i="1"/>
  <c r="G1959" i="1"/>
  <c r="H1959" i="1"/>
  <c r="I1959" i="1"/>
  <c r="J1959" i="1"/>
  <c r="K1959" i="1"/>
  <c r="L1959" i="1"/>
  <c r="M1959" i="1"/>
  <c r="N1959" i="1"/>
  <c r="O1959" i="1"/>
  <c r="P1959" i="1"/>
  <c r="Q1959" i="1"/>
  <c r="R1959" i="1"/>
  <c r="S1959" i="1"/>
  <c r="T1959" i="1"/>
  <c r="U1959" i="1"/>
  <c r="V1959" i="1"/>
  <c r="W1959" i="1"/>
  <c r="X1959" i="1"/>
  <c r="Y1959" i="1"/>
  <c r="Z1959" i="1"/>
  <c r="AA1959" i="1"/>
  <c r="AB1959" i="1"/>
  <c r="AC1959" i="1"/>
  <c r="AD1959" i="1"/>
  <c r="AE1959" i="1"/>
  <c r="AF1959" i="1"/>
  <c r="AG1959" i="1"/>
  <c r="AH1959" i="1"/>
  <c r="AI1959" i="1"/>
  <c r="AJ1959" i="1"/>
  <c r="AK1959" i="1"/>
  <c r="AL1959" i="1"/>
  <c r="AM1959" i="1"/>
  <c r="AN1959" i="1"/>
  <c r="AO1959" i="1"/>
  <c r="C1959" i="1"/>
  <c r="D2000" i="1"/>
  <c r="E2000" i="1"/>
  <c r="F2000" i="1"/>
  <c r="G2000" i="1"/>
  <c r="H2000" i="1"/>
  <c r="I2000" i="1"/>
  <c r="J2000" i="1"/>
  <c r="K2000" i="1"/>
  <c r="L2000" i="1"/>
  <c r="M2000" i="1"/>
  <c r="N2000" i="1"/>
  <c r="O2000" i="1"/>
  <c r="P2000" i="1"/>
  <c r="Q2000" i="1"/>
  <c r="R2000" i="1"/>
  <c r="S2000" i="1"/>
  <c r="T2000" i="1"/>
  <c r="U2000" i="1"/>
  <c r="V2000" i="1"/>
  <c r="W2000" i="1"/>
  <c r="X2000" i="1"/>
  <c r="Y2000" i="1"/>
  <c r="Z2000" i="1"/>
  <c r="AA2000" i="1"/>
  <c r="AB2000" i="1"/>
  <c r="AC2000" i="1"/>
  <c r="AD2000" i="1"/>
  <c r="AE2000" i="1"/>
  <c r="AF2000" i="1"/>
  <c r="AG2000" i="1"/>
  <c r="AH2000" i="1"/>
  <c r="AI2000" i="1"/>
  <c r="AJ2000" i="1"/>
  <c r="AK2000" i="1"/>
  <c r="AL2000" i="1"/>
  <c r="AM2000" i="1"/>
  <c r="AN2000" i="1"/>
  <c r="AO2000" i="1"/>
  <c r="C2000" i="1"/>
  <c r="D1952" i="1"/>
  <c r="E1952" i="1"/>
  <c r="F1952" i="1"/>
  <c r="G1952" i="1"/>
  <c r="H1952" i="1"/>
  <c r="I1952" i="1"/>
  <c r="J1952" i="1"/>
  <c r="K1952" i="1"/>
  <c r="L1952" i="1"/>
  <c r="M1952" i="1"/>
  <c r="N1952" i="1"/>
  <c r="O1952" i="1"/>
  <c r="P1952" i="1"/>
  <c r="Q1952" i="1"/>
  <c r="R1952" i="1"/>
  <c r="S1952" i="1"/>
  <c r="T1952" i="1"/>
  <c r="U1952" i="1"/>
  <c r="V1952" i="1"/>
  <c r="W1952" i="1"/>
  <c r="X1952" i="1"/>
  <c r="Y1952" i="1"/>
  <c r="Z1952" i="1"/>
  <c r="AA1952" i="1"/>
  <c r="AB1952" i="1"/>
  <c r="AC1952" i="1"/>
  <c r="AD1952" i="1"/>
  <c r="AE1952" i="1"/>
  <c r="AF1952" i="1"/>
  <c r="AG1952" i="1"/>
  <c r="AH1952" i="1"/>
  <c r="AI1952" i="1"/>
  <c r="AJ1952" i="1"/>
  <c r="AK1952" i="1"/>
  <c r="AL1952" i="1"/>
  <c r="AM1952" i="1"/>
  <c r="AN1952" i="1"/>
  <c r="AO1952" i="1"/>
  <c r="C1952" i="1"/>
  <c r="D2357" i="1"/>
  <c r="E2357" i="1"/>
  <c r="F2357" i="1"/>
  <c r="G2357" i="1"/>
  <c r="H2357" i="1"/>
  <c r="I2357" i="1"/>
  <c r="J2357" i="1"/>
  <c r="K2357" i="1"/>
  <c r="L2357" i="1"/>
  <c r="M2357" i="1"/>
  <c r="N2357" i="1"/>
  <c r="O2357" i="1"/>
  <c r="P2357" i="1"/>
  <c r="Q2357" i="1"/>
  <c r="R2357" i="1"/>
  <c r="S2357" i="1"/>
  <c r="T2357" i="1"/>
  <c r="U2357" i="1"/>
  <c r="U2334" i="1" s="1"/>
  <c r="V2357" i="1"/>
  <c r="W2357" i="1"/>
  <c r="X2357" i="1"/>
  <c r="Y2357" i="1"/>
  <c r="Z2357" i="1"/>
  <c r="AA2357" i="1"/>
  <c r="AB2357" i="1"/>
  <c r="AC2357" i="1"/>
  <c r="AD2357" i="1"/>
  <c r="AE2357" i="1"/>
  <c r="AF2357" i="1"/>
  <c r="AG2357" i="1"/>
  <c r="AH2357" i="1"/>
  <c r="AI2357" i="1"/>
  <c r="AJ2357" i="1"/>
  <c r="AK2357" i="1"/>
  <c r="AL2357" i="1"/>
  <c r="AM2357" i="1"/>
  <c r="AN2357" i="1"/>
  <c r="AO2357" i="1"/>
  <c r="C2357" i="1"/>
  <c r="AO2334" i="1"/>
  <c r="D2370" i="1"/>
  <c r="E2370" i="1"/>
  <c r="F2370" i="1"/>
  <c r="G2370" i="1"/>
  <c r="H2370" i="1"/>
  <c r="I2370" i="1"/>
  <c r="J2370" i="1"/>
  <c r="K2370" i="1"/>
  <c r="L2370" i="1"/>
  <c r="M2370" i="1"/>
  <c r="N2370" i="1"/>
  <c r="O2370" i="1"/>
  <c r="P2370" i="1"/>
  <c r="Q2370" i="1"/>
  <c r="R2370" i="1"/>
  <c r="S2370" i="1"/>
  <c r="T2370" i="1"/>
  <c r="U2370" i="1"/>
  <c r="V2370" i="1"/>
  <c r="V2334" i="1" s="1"/>
  <c r="W2370" i="1"/>
  <c r="W2334" i="1" s="1"/>
  <c r="X2370" i="1"/>
  <c r="X2334" i="1" s="1"/>
  <c r="Y2370" i="1"/>
  <c r="Y2334" i="1" s="1"/>
  <c r="Z2370" i="1"/>
  <c r="Z2334" i="1" s="1"/>
  <c r="AA2370" i="1"/>
  <c r="AA2334" i="1" s="1"/>
  <c r="AB2370" i="1"/>
  <c r="AC2370" i="1"/>
  <c r="AD2370" i="1"/>
  <c r="AE2370" i="1"/>
  <c r="AF2370" i="1"/>
  <c r="AG2370" i="1"/>
  <c r="AH2370" i="1"/>
  <c r="AI2370" i="1"/>
  <c r="AJ2370" i="1"/>
  <c r="AK2370" i="1"/>
  <c r="AL2370" i="1"/>
  <c r="AM2370" i="1"/>
  <c r="AN2370" i="1"/>
  <c r="AO2370" i="1"/>
  <c r="C2370" i="1"/>
  <c r="D2346" i="1"/>
  <c r="E2346" i="1"/>
  <c r="F2346" i="1"/>
  <c r="G2346" i="1"/>
  <c r="H2346" i="1"/>
  <c r="I2346" i="1"/>
  <c r="J2346" i="1"/>
  <c r="K2346" i="1"/>
  <c r="L2346" i="1"/>
  <c r="M2346" i="1"/>
  <c r="N2346" i="1"/>
  <c r="O2346" i="1"/>
  <c r="P2346" i="1"/>
  <c r="Q2346" i="1"/>
  <c r="R2346" i="1"/>
  <c r="S2346" i="1"/>
  <c r="T2346" i="1"/>
  <c r="U2346" i="1"/>
  <c r="V2346" i="1"/>
  <c r="W2346" i="1"/>
  <c r="X2346" i="1"/>
  <c r="Y2346" i="1"/>
  <c r="Z2346" i="1"/>
  <c r="AA2346" i="1"/>
  <c r="AB2346" i="1"/>
  <c r="AC2346" i="1"/>
  <c r="AD2346" i="1"/>
  <c r="AE2346" i="1"/>
  <c r="AF2346" i="1"/>
  <c r="AG2346" i="1"/>
  <c r="AH2346" i="1"/>
  <c r="AI2346" i="1"/>
  <c r="AJ2346" i="1"/>
  <c r="AK2346" i="1"/>
  <c r="AL2346" i="1"/>
  <c r="AM2346" i="1"/>
  <c r="AN2346" i="1"/>
  <c r="AO2346" i="1"/>
  <c r="C2346" i="1"/>
  <c r="C2335" i="1"/>
  <c r="D2335" i="1"/>
  <c r="E2335" i="1"/>
  <c r="F2335" i="1"/>
  <c r="G2335" i="1"/>
  <c r="H2335" i="1"/>
  <c r="I2335" i="1"/>
  <c r="J2335" i="1"/>
  <c r="K2335" i="1"/>
  <c r="L2335" i="1"/>
  <c r="M2335" i="1"/>
  <c r="N2335" i="1"/>
  <c r="O2335" i="1"/>
  <c r="P2335" i="1"/>
  <c r="Q2335" i="1"/>
  <c r="R2335" i="1"/>
  <c r="S2335" i="1"/>
  <c r="T2335" i="1"/>
  <c r="U2335" i="1"/>
  <c r="V2335" i="1"/>
  <c r="W2335" i="1"/>
  <c r="X2335" i="1"/>
  <c r="Y2335" i="1"/>
  <c r="Z2335" i="1"/>
  <c r="AA2335" i="1"/>
  <c r="AB2335" i="1"/>
  <c r="AC2335" i="1"/>
  <c r="AD2335" i="1"/>
  <c r="AE2335" i="1"/>
  <c r="AF2335" i="1"/>
  <c r="AG2335" i="1"/>
  <c r="AH2335" i="1"/>
  <c r="AI2335" i="1"/>
  <c r="AJ2335" i="1"/>
  <c r="AK2335" i="1"/>
  <c r="AL2335" i="1"/>
  <c r="AM2335" i="1"/>
  <c r="AN2335" i="1"/>
  <c r="AO2335" i="1"/>
  <c r="C2334" i="1"/>
  <c r="D2334" i="1"/>
  <c r="T2334" i="1"/>
  <c r="AJ2334" i="1"/>
  <c r="AK2334" i="1"/>
  <c r="AL2334" i="1"/>
  <c r="AM2334" i="1"/>
  <c r="AN2334" i="1"/>
  <c r="C1857" i="1"/>
  <c r="D1857" i="1"/>
  <c r="E1857" i="1"/>
  <c r="F1857" i="1"/>
  <c r="G1857" i="1"/>
  <c r="H1857" i="1"/>
  <c r="I1857" i="1"/>
  <c r="J1857" i="1"/>
  <c r="K1857" i="1"/>
  <c r="L1857" i="1"/>
  <c r="M1857" i="1"/>
  <c r="N1857" i="1"/>
  <c r="O1857" i="1"/>
  <c r="P1857" i="1"/>
  <c r="Q1857" i="1"/>
  <c r="R1857" i="1"/>
  <c r="S1857" i="1"/>
  <c r="T1857" i="1"/>
  <c r="U1857" i="1"/>
  <c r="V1857" i="1"/>
  <c r="W1857" i="1"/>
  <c r="X1857" i="1"/>
  <c r="Y1857" i="1"/>
  <c r="Z1857" i="1"/>
  <c r="AA1857" i="1"/>
  <c r="AB1857" i="1"/>
  <c r="AC1857" i="1"/>
  <c r="AD1857" i="1"/>
  <c r="AE1857" i="1"/>
  <c r="AF1857" i="1"/>
  <c r="AG1857" i="1"/>
  <c r="AH1857" i="1"/>
  <c r="AI1857" i="1"/>
  <c r="AJ1857" i="1"/>
  <c r="AK1857" i="1"/>
  <c r="AL1857" i="1"/>
  <c r="AM1857" i="1"/>
  <c r="AN1857" i="1"/>
  <c r="AO1857" i="1"/>
  <c r="AO1858" i="1"/>
  <c r="AO1821" i="1"/>
  <c r="AO1822" i="1"/>
  <c r="AO1828" i="1"/>
  <c r="AO1876" i="1"/>
  <c r="AO1885" i="1"/>
  <c r="AO1870" i="1"/>
  <c r="AO1852" i="1"/>
  <c r="AO1851" i="1"/>
  <c r="C1903" i="1"/>
  <c r="D1903" i="1"/>
  <c r="E1903" i="1"/>
  <c r="F1903" i="1"/>
  <c r="G1903" i="1"/>
  <c r="H1903" i="1"/>
  <c r="I1903" i="1"/>
  <c r="J1903" i="1"/>
  <c r="K1903" i="1"/>
  <c r="L1903" i="1"/>
  <c r="M1903" i="1"/>
  <c r="N1903" i="1"/>
  <c r="O1903" i="1"/>
  <c r="P1903" i="1"/>
  <c r="Q1903" i="1"/>
  <c r="R1903" i="1"/>
  <c r="S1903" i="1"/>
  <c r="T1903" i="1"/>
  <c r="U1903" i="1"/>
  <c r="V1903" i="1"/>
  <c r="W1903" i="1"/>
  <c r="W1821" i="1" s="1"/>
  <c r="X1903" i="1"/>
  <c r="Y1903" i="1"/>
  <c r="Z1903" i="1"/>
  <c r="AA1903" i="1"/>
  <c r="AB1903" i="1"/>
  <c r="AD1903" i="1"/>
  <c r="AE1903" i="1"/>
  <c r="AF1903" i="1"/>
  <c r="AG1903" i="1"/>
  <c r="AH1903" i="1"/>
  <c r="AI1903" i="1"/>
  <c r="AJ1903" i="1"/>
  <c r="AK1903" i="1"/>
  <c r="AL1903" i="1"/>
  <c r="AM1903" i="1"/>
  <c r="AN1903" i="1"/>
  <c r="AO1903" i="1"/>
  <c r="AC1903" i="1"/>
  <c r="D1885" i="1"/>
  <c r="E1885" i="1"/>
  <c r="F1885" i="1"/>
  <c r="G1885" i="1"/>
  <c r="H1885" i="1"/>
  <c r="I1885" i="1"/>
  <c r="J1885" i="1"/>
  <c r="K1885" i="1"/>
  <c r="L1885" i="1"/>
  <c r="M1885" i="1"/>
  <c r="N1885" i="1"/>
  <c r="O1885" i="1"/>
  <c r="P1885" i="1"/>
  <c r="Q1885" i="1"/>
  <c r="R1885" i="1"/>
  <c r="S1885" i="1"/>
  <c r="T1885" i="1"/>
  <c r="U1885" i="1"/>
  <c r="V1885" i="1"/>
  <c r="W1885" i="1"/>
  <c r="X1885" i="1"/>
  <c r="Y1885" i="1"/>
  <c r="Z1885" i="1"/>
  <c r="AA1885" i="1"/>
  <c r="AB1885" i="1"/>
  <c r="AC1885" i="1"/>
  <c r="AD1885" i="1"/>
  <c r="AE1885" i="1"/>
  <c r="AF1885" i="1"/>
  <c r="AG1885" i="1"/>
  <c r="AH1885" i="1"/>
  <c r="AI1885" i="1"/>
  <c r="AJ1885" i="1"/>
  <c r="AK1885" i="1"/>
  <c r="AL1885" i="1"/>
  <c r="AM1885" i="1"/>
  <c r="AN1885" i="1"/>
  <c r="C1885" i="1"/>
  <c r="D1870" i="1"/>
  <c r="E1870" i="1"/>
  <c r="F1870" i="1"/>
  <c r="G1870" i="1"/>
  <c r="H1870" i="1"/>
  <c r="I1870" i="1"/>
  <c r="J1870" i="1"/>
  <c r="K1870" i="1"/>
  <c r="L1870" i="1"/>
  <c r="M1870" i="1"/>
  <c r="N1870" i="1"/>
  <c r="O1870" i="1"/>
  <c r="P1870" i="1"/>
  <c r="Q1870" i="1"/>
  <c r="R1870" i="1"/>
  <c r="S1870" i="1"/>
  <c r="T1870" i="1"/>
  <c r="U1870" i="1"/>
  <c r="V1870" i="1"/>
  <c r="W1870" i="1"/>
  <c r="X1870" i="1"/>
  <c r="Y1870" i="1"/>
  <c r="Z1870" i="1"/>
  <c r="AA1870" i="1"/>
  <c r="AB1870" i="1"/>
  <c r="AC1870" i="1"/>
  <c r="AD1870" i="1"/>
  <c r="AE1870" i="1"/>
  <c r="AF1870" i="1"/>
  <c r="AG1870" i="1"/>
  <c r="AH1870" i="1"/>
  <c r="AI1870" i="1"/>
  <c r="AJ1870" i="1"/>
  <c r="AK1870" i="1"/>
  <c r="AL1870" i="1"/>
  <c r="AM1870" i="1"/>
  <c r="AN1870" i="1"/>
  <c r="C1870" i="1"/>
  <c r="D1822" i="1"/>
  <c r="E1822" i="1"/>
  <c r="F1822" i="1"/>
  <c r="G1822" i="1"/>
  <c r="H1822" i="1"/>
  <c r="I1822" i="1"/>
  <c r="J1822" i="1"/>
  <c r="K1822" i="1"/>
  <c r="L1822" i="1"/>
  <c r="M1822" i="1"/>
  <c r="N1822" i="1"/>
  <c r="O1822" i="1"/>
  <c r="P1822" i="1"/>
  <c r="Q1822" i="1"/>
  <c r="R1822" i="1"/>
  <c r="S1822" i="1"/>
  <c r="T1822" i="1"/>
  <c r="U1822" i="1"/>
  <c r="V1822" i="1"/>
  <c r="W1822" i="1"/>
  <c r="X1822" i="1"/>
  <c r="Y1822" i="1"/>
  <c r="Z1822" i="1"/>
  <c r="AA1822" i="1"/>
  <c r="AB1822" i="1"/>
  <c r="AC1822" i="1"/>
  <c r="AD1822" i="1"/>
  <c r="AE1822" i="1"/>
  <c r="AF1822" i="1"/>
  <c r="AG1822" i="1"/>
  <c r="AH1822" i="1"/>
  <c r="AI1822" i="1"/>
  <c r="AJ1822" i="1"/>
  <c r="AK1822" i="1"/>
  <c r="AL1822" i="1"/>
  <c r="AM1822" i="1"/>
  <c r="AN1822" i="1"/>
  <c r="C1822" i="1"/>
  <c r="D1821" i="1"/>
  <c r="E1821" i="1"/>
  <c r="T1821" i="1"/>
  <c r="U1821" i="1"/>
  <c r="AJ1821" i="1"/>
  <c r="AK1821" i="1"/>
  <c r="AL1821" i="1"/>
  <c r="C1821" i="1"/>
  <c r="D1876" i="1"/>
  <c r="E1876" i="1"/>
  <c r="F1876" i="1"/>
  <c r="G1876" i="1"/>
  <c r="H1876" i="1"/>
  <c r="I1876" i="1"/>
  <c r="J1876" i="1"/>
  <c r="K1876" i="1"/>
  <c r="L1876" i="1"/>
  <c r="M1876" i="1"/>
  <c r="N1876" i="1"/>
  <c r="O1876" i="1"/>
  <c r="P1876" i="1"/>
  <c r="Q1876" i="1"/>
  <c r="R1876" i="1"/>
  <c r="S1876" i="1"/>
  <c r="T1876" i="1"/>
  <c r="U1876" i="1"/>
  <c r="V1876" i="1"/>
  <c r="W1876" i="1"/>
  <c r="X1876" i="1"/>
  <c r="Y1876" i="1"/>
  <c r="Z1876" i="1"/>
  <c r="AA1876" i="1"/>
  <c r="AB1876" i="1"/>
  <c r="AC1876" i="1"/>
  <c r="AD1876" i="1"/>
  <c r="AE1876" i="1"/>
  <c r="AF1876" i="1"/>
  <c r="AG1876" i="1"/>
  <c r="AH1876" i="1"/>
  <c r="AI1876" i="1"/>
  <c r="AJ1876" i="1"/>
  <c r="AK1876" i="1"/>
  <c r="AL1876" i="1"/>
  <c r="AM1876" i="1"/>
  <c r="AN1876" i="1"/>
  <c r="C1876" i="1"/>
  <c r="D1858" i="1"/>
  <c r="E1858" i="1"/>
  <c r="F1858" i="1"/>
  <c r="G1858" i="1"/>
  <c r="H1858" i="1"/>
  <c r="I1858" i="1"/>
  <c r="J1858" i="1"/>
  <c r="K1858" i="1"/>
  <c r="L1858" i="1"/>
  <c r="M1858" i="1"/>
  <c r="N1858" i="1"/>
  <c r="O1858" i="1"/>
  <c r="P1858" i="1"/>
  <c r="Q1858" i="1"/>
  <c r="R1858" i="1"/>
  <c r="S1858" i="1"/>
  <c r="T1858" i="1"/>
  <c r="U1858" i="1"/>
  <c r="V1858" i="1"/>
  <c r="W1858" i="1"/>
  <c r="X1858" i="1"/>
  <c r="Y1858" i="1"/>
  <c r="Z1858" i="1"/>
  <c r="AA1858" i="1"/>
  <c r="AB1858" i="1"/>
  <c r="AC1858" i="1"/>
  <c r="AD1858" i="1"/>
  <c r="AE1858" i="1"/>
  <c r="AF1858" i="1"/>
  <c r="AG1858" i="1"/>
  <c r="AH1858" i="1"/>
  <c r="AI1858" i="1"/>
  <c r="AJ1858" i="1"/>
  <c r="AK1858" i="1"/>
  <c r="AL1858" i="1"/>
  <c r="AM1858" i="1"/>
  <c r="AN1858" i="1"/>
  <c r="C1858" i="1"/>
  <c r="D1851" i="1"/>
  <c r="E1851" i="1"/>
  <c r="F1851" i="1"/>
  <c r="G1851" i="1"/>
  <c r="H1851" i="1"/>
  <c r="I1851" i="1"/>
  <c r="J1851" i="1"/>
  <c r="K1851" i="1"/>
  <c r="L1851" i="1"/>
  <c r="M1851" i="1"/>
  <c r="N1851" i="1"/>
  <c r="O1851" i="1"/>
  <c r="P1851" i="1"/>
  <c r="Q1851" i="1"/>
  <c r="R1851" i="1"/>
  <c r="S1851" i="1"/>
  <c r="T1851" i="1"/>
  <c r="U1851" i="1"/>
  <c r="V1851" i="1"/>
  <c r="W1851" i="1"/>
  <c r="X1851" i="1"/>
  <c r="Y1851" i="1"/>
  <c r="Z1851" i="1"/>
  <c r="AA1851" i="1"/>
  <c r="AB1851" i="1"/>
  <c r="AC1851" i="1"/>
  <c r="AD1851" i="1"/>
  <c r="AE1851" i="1"/>
  <c r="AF1851" i="1"/>
  <c r="AG1851" i="1"/>
  <c r="AH1851" i="1"/>
  <c r="AI1851" i="1"/>
  <c r="AJ1851" i="1"/>
  <c r="AK1851" i="1"/>
  <c r="AL1851" i="1"/>
  <c r="AM1851" i="1"/>
  <c r="AN1851" i="1"/>
  <c r="C1851" i="1"/>
  <c r="D1852" i="1"/>
  <c r="E1852" i="1"/>
  <c r="F1852" i="1"/>
  <c r="G1852" i="1"/>
  <c r="H1852" i="1"/>
  <c r="I1852" i="1"/>
  <c r="J1852" i="1"/>
  <c r="K1852" i="1"/>
  <c r="L1852" i="1"/>
  <c r="M1852" i="1"/>
  <c r="N1852" i="1"/>
  <c r="O1852" i="1"/>
  <c r="P1852" i="1"/>
  <c r="Q1852" i="1"/>
  <c r="R1852" i="1"/>
  <c r="S1852" i="1"/>
  <c r="T1852" i="1"/>
  <c r="U1852" i="1"/>
  <c r="V1852" i="1"/>
  <c r="W1852" i="1"/>
  <c r="X1852" i="1"/>
  <c r="Y1852" i="1"/>
  <c r="Z1852" i="1"/>
  <c r="AA1852" i="1"/>
  <c r="AB1852" i="1"/>
  <c r="AC1852" i="1"/>
  <c r="AD1852" i="1"/>
  <c r="AE1852" i="1"/>
  <c r="AF1852" i="1"/>
  <c r="AG1852" i="1"/>
  <c r="AH1852" i="1"/>
  <c r="AI1852" i="1"/>
  <c r="AJ1852" i="1"/>
  <c r="AK1852" i="1"/>
  <c r="AL1852" i="1"/>
  <c r="AM1852" i="1"/>
  <c r="AN1852" i="1"/>
  <c r="C1852" i="1"/>
  <c r="C1838" i="1"/>
  <c r="D1838" i="1"/>
  <c r="E1838" i="1"/>
  <c r="F1838" i="1"/>
  <c r="G1838" i="1"/>
  <c r="H1838" i="1"/>
  <c r="I1838" i="1"/>
  <c r="J1838" i="1"/>
  <c r="K1838" i="1"/>
  <c r="L1838" i="1"/>
  <c r="M1838" i="1"/>
  <c r="N1838" i="1"/>
  <c r="O1838" i="1"/>
  <c r="P1838" i="1"/>
  <c r="Q1838" i="1"/>
  <c r="R1838" i="1"/>
  <c r="S1838" i="1"/>
  <c r="T1838" i="1"/>
  <c r="U1838" i="1"/>
  <c r="V1838" i="1"/>
  <c r="W1838" i="1"/>
  <c r="X1838" i="1"/>
  <c r="Y1838" i="1"/>
  <c r="Z1838" i="1"/>
  <c r="AA1838" i="1"/>
  <c r="AB1838" i="1"/>
  <c r="AC1838" i="1"/>
  <c r="AE1838" i="1"/>
  <c r="AF1838" i="1"/>
  <c r="AG1838" i="1"/>
  <c r="AH1838" i="1"/>
  <c r="AI1838" i="1"/>
  <c r="AJ1838" i="1"/>
  <c r="AK1838" i="1"/>
  <c r="AL1838" i="1"/>
  <c r="AM1838" i="1"/>
  <c r="AN1838" i="1"/>
  <c r="AO1838" i="1"/>
  <c r="AD1838" i="1"/>
  <c r="D1828" i="1"/>
  <c r="E1828" i="1"/>
  <c r="F1828" i="1"/>
  <c r="G1828" i="1"/>
  <c r="H1828" i="1"/>
  <c r="I1828" i="1"/>
  <c r="J1828" i="1"/>
  <c r="K1828" i="1"/>
  <c r="L1828" i="1"/>
  <c r="M1828" i="1"/>
  <c r="N1828" i="1"/>
  <c r="O1828" i="1"/>
  <c r="P1828" i="1"/>
  <c r="Q1828" i="1"/>
  <c r="R1828" i="1"/>
  <c r="S1828" i="1"/>
  <c r="T1828" i="1"/>
  <c r="U1828" i="1"/>
  <c r="V1828" i="1"/>
  <c r="W1828" i="1"/>
  <c r="X1828" i="1"/>
  <c r="Y1828" i="1"/>
  <c r="Z1828" i="1"/>
  <c r="AA1828" i="1"/>
  <c r="AB1828" i="1"/>
  <c r="AC1828" i="1"/>
  <c r="AD1828" i="1"/>
  <c r="AE1828" i="1"/>
  <c r="AF1828" i="1"/>
  <c r="AG1828" i="1"/>
  <c r="AH1828" i="1"/>
  <c r="AI1828" i="1"/>
  <c r="AJ1828" i="1"/>
  <c r="AK1828" i="1"/>
  <c r="AL1828" i="1"/>
  <c r="AM1828" i="1"/>
  <c r="AN1828" i="1"/>
  <c r="C1828" i="1"/>
  <c r="C1718" i="1"/>
  <c r="D1718" i="1"/>
  <c r="E1718" i="1"/>
  <c r="F1718" i="1"/>
  <c r="G1718" i="1"/>
  <c r="H1718" i="1"/>
  <c r="I1718" i="1"/>
  <c r="J1718" i="1"/>
  <c r="K1718" i="1"/>
  <c r="L1718" i="1"/>
  <c r="M1718" i="1"/>
  <c r="N1718" i="1"/>
  <c r="O1718" i="1"/>
  <c r="P1718" i="1"/>
  <c r="Q1718" i="1"/>
  <c r="R1718" i="1"/>
  <c r="S1718" i="1"/>
  <c r="T1718" i="1"/>
  <c r="U1718" i="1"/>
  <c r="V1718" i="1"/>
  <c r="W1718" i="1"/>
  <c r="X1718" i="1"/>
  <c r="Y1718" i="1"/>
  <c r="Z1718" i="1"/>
  <c r="AA1718" i="1"/>
  <c r="AB1718" i="1"/>
  <c r="AD1718" i="1"/>
  <c r="AE1718" i="1"/>
  <c r="AF1718" i="1"/>
  <c r="AG1718" i="1"/>
  <c r="AH1718" i="1"/>
  <c r="AI1718" i="1"/>
  <c r="AJ1718" i="1"/>
  <c r="AK1718" i="1"/>
  <c r="AL1718" i="1"/>
  <c r="AM1718" i="1"/>
  <c r="AN1718" i="1"/>
  <c r="AO1718" i="1"/>
  <c r="AC1718" i="1"/>
  <c r="D1789" i="1"/>
  <c r="E1789" i="1"/>
  <c r="F1789" i="1"/>
  <c r="G1789" i="1"/>
  <c r="H1789" i="1"/>
  <c r="I1789" i="1"/>
  <c r="J1789" i="1"/>
  <c r="K1789" i="1"/>
  <c r="L1789" i="1"/>
  <c r="M1789" i="1"/>
  <c r="N1789" i="1"/>
  <c r="O1789" i="1"/>
  <c r="P1789" i="1"/>
  <c r="Q1789" i="1"/>
  <c r="R1789" i="1"/>
  <c r="S1789" i="1"/>
  <c r="T1789" i="1"/>
  <c r="U1789" i="1"/>
  <c r="V1789" i="1"/>
  <c r="W1789" i="1"/>
  <c r="X1789" i="1"/>
  <c r="Y1789" i="1"/>
  <c r="Z1789" i="1"/>
  <c r="AA1789" i="1"/>
  <c r="AB1789" i="1"/>
  <c r="AC1789" i="1"/>
  <c r="AD1789" i="1"/>
  <c r="AE1789" i="1"/>
  <c r="AF1789" i="1"/>
  <c r="AG1789" i="1"/>
  <c r="AH1789" i="1"/>
  <c r="AI1789" i="1"/>
  <c r="AJ1789" i="1"/>
  <c r="AK1789" i="1"/>
  <c r="AL1789" i="1"/>
  <c r="AM1789" i="1"/>
  <c r="AN1789" i="1"/>
  <c r="AO1789" i="1"/>
  <c r="C1789" i="1"/>
  <c r="D1800" i="1"/>
  <c r="E1800" i="1"/>
  <c r="F1800" i="1"/>
  <c r="G1800" i="1"/>
  <c r="H1800" i="1"/>
  <c r="I1800" i="1"/>
  <c r="J1800" i="1"/>
  <c r="K1800" i="1"/>
  <c r="L1800" i="1"/>
  <c r="M1800" i="1"/>
  <c r="N1800" i="1"/>
  <c r="O1800" i="1"/>
  <c r="P1800" i="1"/>
  <c r="Q1800" i="1"/>
  <c r="R1800" i="1"/>
  <c r="S1800" i="1"/>
  <c r="T1800" i="1"/>
  <c r="U1800" i="1"/>
  <c r="V1800" i="1"/>
  <c r="W1800" i="1"/>
  <c r="X1800" i="1"/>
  <c r="Y1800" i="1"/>
  <c r="Z1800" i="1"/>
  <c r="AA1800" i="1"/>
  <c r="AB1800" i="1"/>
  <c r="AC1800" i="1"/>
  <c r="AD1800" i="1"/>
  <c r="AE1800" i="1"/>
  <c r="AF1800" i="1"/>
  <c r="AG1800" i="1"/>
  <c r="AH1800" i="1"/>
  <c r="AI1800" i="1"/>
  <c r="AJ1800" i="1"/>
  <c r="AK1800" i="1"/>
  <c r="AL1800" i="1"/>
  <c r="AM1800" i="1"/>
  <c r="AN1800" i="1"/>
  <c r="AO1800" i="1"/>
  <c r="C1800" i="1"/>
  <c r="D1790" i="1"/>
  <c r="E1790" i="1"/>
  <c r="F1790" i="1"/>
  <c r="G1790" i="1"/>
  <c r="H1790" i="1"/>
  <c r="I1790" i="1"/>
  <c r="J1790" i="1"/>
  <c r="K1790" i="1"/>
  <c r="L1790" i="1"/>
  <c r="M1790" i="1"/>
  <c r="N1790" i="1"/>
  <c r="O1790" i="1"/>
  <c r="P1790" i="1"/>
  <c r="Q1790" i="1"/>
  <c r="R1790" i="1"/>
  <c r="S1790" i="1"/>
  <c r="T1790" i="1"/>
  <c r="U1790" i="1"/>
  <c r="V1790" i="1"/>
  <c r="W1790" i="1"/>
  <c r="X1790" i="1"/>
  <c r="Y1790" i="1"/>
  <c r="Z1790" i="1"/>
  <c r="AA1790" i="1"/>
  <c r="AB1790" i="1"/>
  <c r="AC1790" i="1"/>
  <c r="AD1790" i="1"/>
  <c r="AE1790" i="1"/>
  <c r="AF1790" i="1"/>
  <c r="AG1790" i="1"/>
  <c r="AH1790" i="1"/>
  <c r="AI1790" i="1"/>
  <c r="AJ1790" i="1"/>
  <c r="AK1790" i="1"/>
  <c r="AL1790" i="1"/>
  <c r="AM1790" i="1"/>
  <c r="AN1790" i="1"/>
  <c r="AO1790" i="1"/>
  <c r="C1790" i="1"/>
  <c r="D1772" i="1"/>
  <c r="E1772" i="1"/>
  <c r="F1772" i="1"/>
  <c r="G1772" i="1"/>
  <c r="H1772" i="1"/>
  <c r="I1772" i="1"/>
  <c r="J1772" i="1"/>
  <c r="K1772" i="1"/>
  <c r="L1772" i="1"/>
  <c r="M1772" i="1"/>
  <c r="N1772" i="1"/>
  <c r="N1771" i="1" s="1"/>
  <c r="O1772" i="1"/>
  <c r="O1771" i="1" s="1"/>
  <c r="P1772" i="1"/>
  <c r="P1771" i="1" s="1"/>
  <c r="Q1772" i="1"/>
  <c r="Q1771" i="1" s="1"/>
  <c r="R1772" i="1"/>
  <c r="R1771" i="1" s="1"/>
  <c r="S1772" i="1"/>
  <c r="S1771" i="1" s="1"/>
  <c r="T1772" i="1"/>
  <c r="U1772" i="1"/>
  <c r="V1772" i="1"/>
  <c r="W1772" i="1"/>
  <c r="X1772" i="1"/>
  <c r="Y1772" i="1"/>
  <c r="Z1772" i="1"/>
  <c r="AA1772" i="1"/>
  <c r="AB1772" i="1"/>
  <c r="AC1772" i="1"/>
  <c r="AD1772" i="1"/>
  <c r="AD1771" i="1" s="1"/>
  <c r="AE1772" i="1"/>
  <c r="AE1771" i="1" s="1"/>
  <c r="AF1772" i="1"/>
  <c r="AF1771" i="1" s="1"/>
  <c r="AG1772" i="1"/>
  <c r="AG1771" i="1" s="1"/>
  <c r="AH1772" i="1"/>
  <c r="AH1771" i="1" s="1"/>
  <c r="AI1772" i="1"/>
  <c r="AI1771" i="1" s="1"/>
  <c r="AJ1772" i="1"/>
  <c r="AK1772" i="1"/>
  <c r="AL1772" i="1"/>
  <c r="AM1772" i="1"/>
  <c r="AN1772" i="1"/>
  <c r="AO1772" i="1"/>
  <c r="D1771" i="1"/>
  <c r="E1771" i="1"/>
  <c r="F1771" i="1"/>
  <c r="G1771" i="1"/>
  <c r="H1771" i="1"/>
  <c r="I1771" i="1"/>
  <c r="J1771" i="1"/>
  <c r="K1771" i="1"/>
  <c r="L1771" i="1"/>
  <c r="M1771" i="1"/>
  <c r="T1771" i="1"/>
  <c r="U1771" i="1"/>
  <c r="V1771" i="1"/>
  <c r="W1771" i="1"/>
  <c r="X1771" i="1"/>
  <c r="Y1771" i="1"/>
  <c r="Z1771" i="1"/>
  <c r="AA1771" i="1"/>
  <c r="AB1771" i="1"/>
  <c r="AC1771" i="1"/>
  <c r="AJ1771" i="1"/>
  <c r="AK1771" i="1"/>
  <c r="AL1771" i="1"/>
  <c r="AM1771" i="1"/>
  <c r="AN1771" i="1"/>
  <c r="AO1771" i="1"/>
  <c r="C1771" i="1"/>
  <c r="C1772" i="1"/>
  <c r="C1749" i="1"/>
  <c r="D1749" i="1"/>
  <c r="E1749" i="1"/>
  <c r="F1749" i="1"/>
  <c r="G1749" i="1"/>
  <c r="H1749" i="1"/>
  <c r="I1749" i="1"/>
  <c r="J1749" i="1"/>
  <c r="K1749" i="1"/>
  <c r="L1749" i="1"/>
  <c r="M1749" i="1"/>
  <c r="N1749" i="1"/>
  <c r="O1749" i="1"/>
  <c r="P1749" i="1"/>
  <c r="Q1749" i="1"/>
  <c r="R1749" i="1"/>
  <c r="S1749" i="1"/>
  <c r="T1749" i="1"/>
  <c r="U1749" i="1"/>
  <c r="V1749" i="1"/>
  <c r="W1749" i="1"/>
  <c r="X1749" i="1"/>
  <c r="Y1749" i="1"/>
  <c r="Z1749" i="1"/>
  <c r="AA1749" i="1"/>
  <c r="AB1749" i="1"/>
  <c r="AD1749" i="1"/>
  <c r="AE1749" i="1"/>
  <c r="AF1749" i="1"/>
  <c r="AG1749" i="1"/>
  <c r="AH1749" i="1"/>
  <c r="AI1749" i="1"/>
  <c r="AJ1749" i="1"/>
  <c r="AK1749" i="1"/>
  <c r="AL1749" i="1"/>
  <c r="AM1749" i="1"/>
  <c r="AN1749" i="1"/>
  <c r="AO1749" i="1"/>
  <c r="AC1749" i="1"/>
  <c r="D1737" i="1"/>
  <c r="E1737" i="1"/>
  <c r="F1737" i="1"/>
  <c r="G1737" i="1"/>
  <c r="H1737" i="1"/>
  <c r="I1737" i="1"/>
  <c r="J1737" i="1"/>
  <c r="K1737" i="1"/>
  <c r="L1737" i="1"/>
  <c r="M1737" i="1"/>
  <c r="N1737" i="1"/>
  <c r="O1737" i="1"/>
  <c r="P1737" i="1"/>
  <c r="Q1737" i="1"/>
  <c r="R1737" i="1"/>
  <c r="S1737" i="1"/>
  <c r="T1737" i="1"/>
  <c r="U1737" i="1"/>
  <c r="V1737" i="1"/>
  <c r="W1737" i="1"/>
  <c r="X1737" i="1"/>
  <c r="Y1737" i="1"/>
  <c r="Z1737" i="1"/>
  <c r="AA1737" i="1"/>
  <c r="AB1737" i="1"/>
  <c r="AC1737" i="1"/>
  <c r="AD1737" i="1"/>
  <c r="AE1737" i="1"/>
  <c r="AF1737" i="1"/>
  <c r="AG1737" i="1"/>
  <c r="AH1737" i="1"/>
  <c r="AI1737" i="1"/>
  <c r="AJ1737" i="1"/>
  <c r="AK1737" i="1"/>
  <c r="AL1737" i="1"/>
  <c r="AM1737" i="1"/>
  <c r="AN1737" i="1"/>
  <c r="AO1737" i="1"/>
  <c r="C1737" i="1"/>
  <c r="D1746" i="1"/>
  <c r="E1746" i="1"/>
  <c r="F1746" i="1"/>
  <c r="G1746" i="1"/>
  <c r="H1746" i="1"/>
  <c r="I1746" i="1"/>
  <c r="J1746" i="1"/>
  <c r="K1746" i="1"/>
  <c r="L1746" i="1"/>
  <c r="M1746" i="1"/>
  <c r="N1746" i="1"/>
  <c r="O1746" i="1"/>
  <c r="P1746" i="1"/>
  <c r="Q1746" i="1"/>
  <c r="R1746" i="1"/>
  <c r="S1746" i="1"/>
  <c r="T1746" i="1"/>
  <c r="U1746" i="1"/>
  <c r="V1746" i="1"/>
  <c r="W1746" i="1"/>
  <c r="X1746" i="1"/>
  <c r="Y1746" i="1"/>
  <c r="Z1746" i="1"/>
  <c r="AA1746" i="1"/>
  <c r="AB1746" i="1"/>
  <c r="AC1746" i="1"/>
  <c r="AD1746" i="1"/>
  <c r="AE1746" i="1"/>
  <c r="AF1746" i="1"/>
  <c r="AG1746" i="1"/>
  <c r="AH1746" i="1"/>
  <c r="AI1746" i="1"/>
  <c r="AJ1746" i="1"/>
  <c r="AK1746" i="1"/>
  <c r="AL1746" i="1"/>
  <c r="AM1746" i="1"/>
  <c r="AN1746" i="1"/>
  <c r="AO1746" i="1"/>
  <c r="C1746" i="1"/>
  <c r="D1738" i="1"/>
  <c r="E1738" i="1"/>
  <c r="F1738" i="1"/>
  <c r="G1738" i="1"/>
  <c r="H1738" i="1"/>
  <c r="I1738" i="1"/>
  <c r="J1738" i="1"/>
  <c r="K1738" i="1"/>
  <c r="L1738" i="1"/>
  <c r="M1738" i="1"/>
  <c r="N1738" i="1"/>
  <c r="O1738" i="1"/>
  <c r="P1738" i="1"/>
  <c r="Q1738" i="1"/>
  <c r="R1738" i="1"/>
  <c r="S1738" i="1"/>
  <c r="T1738" i="1"/>
  <c r="U1738" i="1"/>
  <c r="V1738" i="1"/>
  <c r="W1738" i="1"/>
  <c r="X1738" i="1"/>
  <c r="Y1738" i="1"/>
  <c r="Z1738" i="1"/>
  <c r="AA1738" i="1"/>
  <c r="AB1738" i="1"/>
  <c r="AC1738" i="1"/>
  <c r="AD1738" i="1"/>
  <c r="AE1738" i="1"/>
  <c r="AF1738" i="1"/>
  <c r="AG1738" i="1"/>
  <c r="AH1738" i="1"/>
  <c r="AI1738" i="1"/>
  <c r="AJ1738" i="1"/>
  <c r="AK1738" i="1"/>
  <c r="AL1738" i="1"/>
  <c r="AM1738" i="1"/>
  <c r="AN1738" i="1"/>
  <c r="AO1738" i="1"/>
  <c r="C1738" i="1"/>
  <c r="D1719" i="1"/>
  <c r="E1719" i="1"/>
  <c r="F1719" i="1"/>
  <c r="G1719" i="1"/>
  <c r="H1719" i="1"/>
  <c r="I1719" i="1"/>
  <c r="J1719" i="1"/>
  <c r="K1719" i="1"/>
  <c r="L1719" i="1"/>
  <c r="M1719" i="1"/>
  <c r="N1719" i="1"/>
  <c r="O1719" i="1"/>
  <c r="P1719" i="1"/>
  <c r="Q1719" i="1"/>
  <c r="R1719" i="1"/>
  <c r="S1719" i="1"/>
  <c r="T1719" i="1"/>
  <c r="U1719" i="1"/>
  <c r="V1719" i="1"/>
  <c r="W1719" i="1"/>
  <c r="X1719" i="1"/>
  <c r="Y1719" i="1"/>
  <c r="Z1719" i="1"/>
  <c r="AA1719" i="1"/>
  <c r="AB1719" i="1"/>
  <c r="AC1719" i="1"/>
  <c r="AD1719" i="1"/>
  <c r="AE1719" i="1"/>
  <c r="AF1719" i="1"/>
  <c r="AG1719" i="1"/>
  <c r="AH1719" i="1"/>
  <c r="AI1719" i="1"/>
  <c r="AJ1719" i="1"/>
  <c r="AK1719" i="1"/>
  <c r="AL1719" i="1"/>
  <c r="AM1719" i="1"/>
  <c r="AN1719" i="1"/>
  <c r="AO1719" i="1"/>
  <c r="C1719" i="1"/>
  <c r="D1720" i="1"/>
  <c r="E1720" i="1"/>
  <c r="F1720" i="1"/>
  <c r="G1720" i="1"/>
  <c r="H1720" i="1"/>
  <c r="I1720" i="1"/>
  <c r="J1720" i="1"/>
  <c r="K1720" i="1"/>
  <c r="L1720" i="1"/>
  <c r="M1720" i="1"/>
  <c r="N1720" i="1"/>
  <c r="O1720" i="1"/>
  <c r="P1720" i="1"/>
  <c r="Q1720" i="1"/>
  <c r="R1720" i="1"/>
  <c r="S1720" i="1"/>
  <c r="T1720" i="1"/>
  <c r="U1720" i="1"/>
  <c r="V1720" i="1"/>
  <c r="W1720" i="1"/>
  <c r="X1720" i="1"/>
  <c r="Y1720" i="1"/>
  <c r="Z1720" i="1"/>
  <c r="AA1720" i="1"/>
  <c r="AB1720" i="1"/>
  <c r="AC1720" i="1"/>
  <c r="AD1720" i="1"/>
  <c r="AE1720" i="1"/>
  <c r="AF1720" i="1"/>
  <c r="AG1720" i="1"/>
  <c r="AH1720" i="1"/>
  <c r="AI1720" i="1"/>
  <c r="AJ1720" i="1"/>
  <c r="AK1720" i="1"/>
  <c r="AL1720" i="1"/>
  <c r="AM1720" i="1"/>
  <c r="AN1720" i="1"/>
  <c r="AO1720" i="1"/>
  <c r="C1720" i="1"/>
  <c r="D1708" i="1"/>
  <c r="E1708" i="1"/>
  <c r="F1708" i="1"/>
  <c r="G1708" i="1"/>
  <c r="H1708" i="1"/>
  <c r="I1708" i="1"/>
  <c r="J1708" i="1"/>
  <c r="K1708" i="1"/>
  <c r="L1708" i="1"/>
  <c r="M1708" i="1"/>
  <c r="N1708" i="1"/>
  <c r="O1708" i="1"/>
  <c r="P1708" i="1"/>
  <c r="Q1708" i="1"/>
  <c r="R1708" i="1"/>
  <c r="S1708" i="1"/>
  <c r="T1708" i="1"/>
  <c r="U1708" i="1"/>
  <c r="V1708" i="1"/>
  <c r="W1708" i="1"/>
  <c r="X1708" i="1"/>
  <c r="Y1708" i="1"/>
  <c r="Z1708" i="1"/>
  <c r="AA1708" i="1"/>
  <c r="AB1708" i="1"/>
  <c r="AC1708" i="1"/>
  <c r="AD1708" i="1"/>
  <c r="AE1708" i="1"/>
  <c r="AF1708" i="1"/>
  <c r="AG1708" i="1"/>
  <c r="AH1708" i="1"/>
  <c r="AI1708" i="1"/>
  <c r="AJ1708" i="1"/>
  <c r="AK1708" i="1"/>
  <c r="AL1708" i="1"/>
  <c r="AM1708" i="1"/>
  <c r="AN1708" i="1"/>
  <c r="AO1708" i="1"/>
  <c r="C1708" i="1"/>
  <c r="D1709" i="1"/>
  <c r="E1709" i="1"/>
  <c r="F1709" i="1"/>
  <c r="G1709" i="1"/>
  <c r="H1709" i="1"/>
  <c r="I1709" i="1"/>
  <c r="J1709" i="1"/>
  <c r="K1709" i="1"/>
  <c r="L1709" i="1"/>
  <c r="M1709" i="1"/>
  <c r="N1709" i="1"/>
  <c r="O1709" i="1"/>
  <c r="P1709" i="1"/>
  <c r="Q1709" i="1"/>
  <c r="R1709" i="1"/>
  <c r="S1709" i="1"/>
  <c r="T1709" i="1"/>
  <c r="U1709" i="1"/>
  <c r="V1709" i="1"/>
  <c r="W1709" i="1"/>
  <c r="X1709" i="1"/>
  <c r="Y1709" i="1"/>
  <c r="Z1709" i="1"/>
  <c r="AA1709" i="1"/>
  <c r="AB1709" i="1"/>
  <c r="AC1709" i="1"/>
  <c r="AD1709" i="1"/>
  <c r="AE1709" i="1"/>
  <c r="AF1709" i="1"/>
  <c r="AG1709" i="1"/>
  <c r="AH1709" i="1"/>
  <c r="AI1709" i="1"/>
  <c r="AJ1709" i="1"/>
  <c r="AK1709" i="1"/>
  <c r="AL1709" i="1"/>
  <c r="AM1709" i="1"/>
  <c r="AN1709" i="1"/>
  <c r="AO1709" i="1"/>
  <c r="C1709" i="1"/>
  <c r="AO1615" i="1"/>
  <c r="C1615" i="1"/>
  <c r="D1615" i="1"/>
  <c r="E1615" i="1"/>
  <c r="F1615" i="1"/>
  <c r="G1615" i="1"/>
  <c r="H1615" i="1"/>
  <c r="I1615" i="1"/>
  <c r="J1615" i="1"/>
  <c r="K1615" i="1"/>
  <c r="L1615" i="1"/>
  <c r="L1574" i="1" s="1"/>
  <c r="M1615" i="1"/>
  <c r="M1574" i="1" s="1"/>
  <c r="N1615" i="1"/>
  <c r="N1574" i="1" s="1"/>
  <c r="O1615" i="1"/>
  <c r="O1574" i="1" s="1"/>
  <c r="P1615" i="1"/>
  <c r="P1574" i="1" s="1"/>
  <c r="Q1615" i="1"/>
  <c r="Q1574" i="1" s="1"/>
  <c r="R1615" i="1"/>
  <c r="R1574" i="1" s="1"/>
  <c r="S1615" i="1"/>
  <c r="T1615" i="1"/>
  <c r="U1615" i="1"/>
  <c r="V1615" i="1"/>
  <c r="W1615" i="1"/>
  <c r="X1615" i="1"/>
  <c r="Y1615" i="1"/>
  <c r="Z1615" i="1"/>
  <c r="AA1615" i="1"/>
  <c r="AB1615" i="1"/>
  <c r="AB1574" i="1" s="1"/>
  <c r="AC1615" i="1"/>
  <c r="AC1574" i="1" s="1"/>
  <c r="AD1615" i="1"/>
  <c r="AD1574" i="1" s="1"/>
  <c r="AE1615" i="1"/>
  <c r="AE1574" i="1" s="1"/>
  <c r="AF1615" i="1"/>
  <c r="AF1574" i="1" s="1"/>
  <c r="AG1615" i="1"/>
  <c r="AG1574" i="1" s="1"/>
  <c r="AH1615" i="1"/>
  <c r="AH1574" i="1" s="1"/>
  <c r="AI1615" i="1"/>
  <c r="AJ1615" i="1"/>
  <c r="AK1615" i="1"/>
  <c r="AL1615" i="1"/>
  <c r="AM1615" i="1"/>
  <c r="AN1615" i="1"/>
  <c r="C1574" i="1"/>
  <c r="D1574" i="1"/>
  <c r="E1574" i="1"/>
  <c r="F1574" i="1"/>
  <c r="G1574" i="1"/>
  <c r="H1574" i="1"/>
  <c r="I1574" i="1"/>
  <c r="J1574" i="1"/>
  <c r="K1574" i="1"/>
  <c r="S1574" i="1"/>
  <c r="T1574" i="1"/>
  <c r="U1574" i="1"/>
  <c r="V1574" i="1"/>
  <c r="W1574" i="1"/>
  <c r="X1574" i="1"/>
  <c r="Y1574" i="1"/>
  <c r="Z1574" i="1"/>
  <c r="AA1574" i="1"/>
  <c r="AI1574" i="1"/>
  <c r="AJ1574" i="1"/>
  <c r="AK1574" i="1"/>
  <c r="AL1574" i="1"/>
  <c r="AM1574" i="1"/>
  <c r="AN1574" i="1"/>
  <c r="D1616" i="1"/>
  <c r="E1616" i="1"/>
  <c r="F1616" i="1"/>
  <c r="G1616" i="1"/>
  <c r="H1616" i="1"/>
  <c r="I1616" i="1"/>
  <c r="J1616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J1616" i="1"/>
  <c r="AK1616" i="1"/>
  <c r="AL1616" i="1"/>
  <c r="AM1616" i="1"/>
  <c r="AN1616" i="1"/>
  <c r="AO1616" i="1"/>
  <c r="C1616" i="1"/>
  <c r="D1618" i="1"/>
  <c r="E1618" i="1"/>
  <c r="F1618" i="1"/>
  <c r="G1618" i="1"/>
  <c r="H1618" i="1"/>
  <c r="I1618" i="1"/>
  <c r="J1618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J1618" i="1"/>
  <c r="AK1618" i="1"/>
  <c r="AL1618" i="1"/>
  <c r="AM1618" i="1"/>
  <c r="AN1618" i="1"/>
  <c r="AO1618" i="1"/>
  <c r="C1618" i="1"/>
  <c r="D1629" i="1"/>
  <c r="E1629" i="1"/>
  <c r="F1629" i="1"/>
  <c r="G1629" i="1"/>
  <c r="H1629" i="1"/>
  <c r="I1629" i="1"/>
  <c r="J1629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J1629" i="1"/>
  <c r="AK1629" i="1"/>
  <c r="AL1629" i="1"/>
  <c r="AM1629" i="1"/>
  <c r="AN1629" i="1"/>
  <c r="AO1629" i="1"/>
  <c r="C1629" i="1"/>
  <c r="AO1574" i="1"/>
  <c r="C1660" i="1"/>
  <c r="D1660" i="1"/>
  <c r="E1660" i="1"/>
  <c r="F1660" i="1"/>
  <c r="G1660" i="1"/>
  <c r="H1660" i="1"/>
  <c r="I1660" i="1"/>
  <c r="J1660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D1660" i="1"/>
  <c r="AE1660" i="1"/>
  <c r="AF1660" i="1"/>
  <c r="AG1660" i="1"/>
  <c r="AH1660" i="1"/>
  <c r="AI1660" i="1"/>
  <c r="AJ1660" i="1"/>
  <c r="AK1660" i="1"/>
  <c r="AL1660" i="1"/>
  <c r="AM1660" i="1"/>
  <c r="AN1660" i="1"/>
  <c r="AO1660" i="1"/>
  <c r="AC1660" i="1"/>
  <c r="AO545" i="1"/>
  <c r="AO544" i="1"/>
  <c r="C1518" i="1"/>
  <c r="D1518" i="1"/>
  <c r="E1518" i="1"/>
  <c r="F1518" i="1"/>
  <c r="G1518" i="1"/>
  <c r="H1518" i="1"/>
  <c r="I1518" i="1"/>
  <c r="J1518" i="1"/>
  <c r="K1518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J1518" i="1"/>
  <c r="AK1518" i="1"/>
  <c r="AL1518" i="1"/>
  <c r="AL544" i="1" s="1"/>
  <c r="AM1518" i="1"/>
  <c r="AM544" i="1" s="1"/>
  <c r="AN1518" i="1"/>
  <c r="AN544" i="1" s="1"/>
  <c r="AO1518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Y544" i="1" s="1"/>
  <c r="Z936" i="1"/>
  <c r="Z544" i="1" s="1"/>
  <c r="AA936" i="1"/>
  <c r="AB936" i="1"/>
  <c r="AC936" i="1"/>
  <c r="AD936" i="1"/>
  <c r="AE936" i="1"/>
  <c r="AF936" i="1"/>
  <c r="AG936" i="1"/>
  <c r="AH936" i="1"/>
  <c r="AI936" i="1"/>
  <c r="AJ936" i="1"/>
  <c r="AK936" i="1"/>
  <c r="AL936" i="1"/>
  <c r="AM936" i="1"/>
  <c r="AN936" i="1"/>
  <c r="AO936" i="1"/>
  <c r="D1525" i="1"/>
  <c r="E1525" i="1"/>
  <c r="F1525" i="1"/>
  <c r="G1525" i="1"/>
  <c r="H1525" i="1"/>
  <c r="I1525" i="1"/>
  <c r="J1525" i="1"/>
  <c r="K1525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J1525" i="1"/>
  <c r="AK1525" i="1"/>
  <c r="AL1525" i="1"/>
  <c r="AM1525" i="1"/>
  <c r="AN1525" i="1"/>
  <c r="AO1525" i="1"/>
  <c r="C1525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B544" i="1" s="1"/>
  <c r="AC1507" i="1"/>
  <c r="AD1507" i="1"/>
  <c r="AE1507" i="1"/>
  <c r="AF1507" i="1"/>
  <c r="AG1507" i="1"/>
  <c r="AH1507" i="1"/>
  <c r="AI1507" i="1"/>
  <c r="AJ1507" i="1"/>
  <c r="AK1507" i="1"/>
  <c r="AL1507" i="1"/>
  <c r="AM1507" i="1"/>
  <c r="AN1507" i="1"/>
  <c r="AO1507" i="1"/>
  <c r="C1507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J809" i="1"/>
  <c r="AK809" i="1"/>
  <c r="AL809" i="1"/>
  <c r="AM809" i="1"/>
  <c r="AN809" i="1"/>
  <c r="AO809" i="1"/>
  <c r="C809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K545" i="1"/>
  <c r="AL545" i="1"/>
  <c r="AM545" i="1"/>
  <c r="AN545" i="1"/>
  <c r="C545" i="1"/>
  <c r="D544" i="1"/>
  <c r="E544" i="1"/>
  <c r="T544" i="1"/>
  <c r="U544" i="1"/>
  <c r="AJ544" i="1"/>
  <c r="AK544" i="1"/>
  <c r="C544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C66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C172" i="1"/>
  <c r="D392" i="1"/>
  <c r="E392" i="1"/>
  <c r="F392" i="1"/>
  <c r="G392" i="1"/>
  <c r="H392" i="1"/>
  <c r="I392" i="1"/>
  <c r="J392" i="1"/>
  <c r="K392" i="1"/>
  <c r="L392" i="1"/>
  <c r="M392" i="1"/>
  <c r="N392" i="1"/>
  <c r="N391" i="1" s="1"/>
  <c r="O392" i="1"/>
  <c r="O391" i="1" s="1"/>
  <c r="P392" i="1"/>
  <c r="P391" i="1" s="1"/>
  <c r="Q392" i="1"/>
  <c r="Q391" i="1" s="1"/>
  <c r="R392" i="1"/>
  <c r="R391" i="1" s="1"/>
  <c r="S392" i="1"/>
  <c r="S391" i="1" s="1"/>
  <c r="T392" i="1"/>
  <c r="U392" i="1"/>
  <c r="V392" i="1"/>
  <c r="W392" i="1"/>
  <c r="X392" i="1"/>
  <c r="Y392" i="1"/>
  <c r="Z392" i="1"/>
  <c r="AA392" i="1"/>
  <c r="AB392" i="1"/>
  <c r="AC392" i="1"/>
  <c r="AD392" i="1"/>
  <c r="AD391" i="1" s="1"/>
  <c r="AE392" i="1"/>
  <c r="AE391" i="1" s="1"/>
  <c r="AF392" i="1"/>
  <c r="AF391" i="1" s="1"/>
  <c r="AG392" i="1"/>
  <c r="AG391" i="1" s="1"/>
  <c r="AH392" i="1"/>
  <c r="AH391" i="1" s="1"/>
  <c r="AI392" i="1"/>
  <c r="AI391" i="1" s="1"/>
  <c r="AJ392" i="1"/>
  <c r="AK392" i="1"/>
  <c r="AL392" i="1"/>
  <c r="AM392" i="1"/>
  <c r="AN392" i="1"/>
  <c r="AO392" i="1"/>
  <c r="D391" i="1"/>
  <c r="E391" i="1"/>
  <c r="F391" i="1"/>
  <c r="G391" i="1"/>
  <c r="H391" i="1"/>
  <c r="I391" i="1"/>
  <c r="J391" i="1"/>
  <c r="K391" i="1"/>
  <c r="L391" i="1"/>
  <c r="M391" i="1"/>
  <c r="T391" i="1"/>
  <c r="U391" i="1"/>
  <c r="V391" i="1"/>
  <c r="W391" i="1"/>
  <c r="X391" i="1"/>
  <c r="Y391" i="1"/>
  <c r="Z391" i="1"/>
  <c r="AA391" i="1"/>
  <c r="AB391" i="1"/>
  <c r="AC391" i="1"/>
  <c r="AJ391" i="1"/>
  <c r="AK391" i="1"/>
  <c r="AL391" i="1"/>
  <c r="AM391" i="1"/>
  <c r="AN391" i="1"/>
  <c r="AO391" i="1"/>
  <c r="C391" i="1"/>
  <c r="C392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C201" i="1"/>
  <c r="C4" i="1"/>
  <c r="D4" i="1"/>
  <c r="E4" i="1"/>
  <c r="F4" i="1"/>
  <c r="G4" i="1"/>
  <c r="H4" i="1"/>
  <c r="I4" i="1"/>
  <c r="J4" i="1"/>
  <c r="K4" i="1"/>
  <c r="L4" i="1"/>
  <c r="L3" i="1" s="1"/>
  <c r="M4" i="1"/>
  <c r="M3" i="1" s="1"/>
  <c r="N4" i="1"/>
  <c r="N3" i="1" s="1"/>
  <c r="O4" i="1"/>
  <c r="O3" i="1" s="1"/>
  <c r="P4" i="1"/>
  <c r="P3" i="1" s="1"/>
  <c r="Q4" i="1"/>
  <c r="Q3" i="1" s="1"/>
  <c r="R4" i="1"/>
  <c r="R3" i="1" s="1"/>
  <c r="S4" i="1"/>
  <c r="T4" i="1"/>
  <c r="U4" i="1"/>
  <c r="V4" i="1"/>
  <c r="W4" i="1"/>
  <c r="X4" i="1"/>
  <c r="Y4" i="1"/>
  <c r="Z4" i="1"/>
  <c r="AA4" i="1"/>
  <c r="AB4" i="1"/>
  <c r="AB3" i="1" s="1"/>
  <c r="AC4" i="1"/>
  <c r="AC3" i="1" s="1"/>
  <c r="AD4" i="1"/>
  <c r="AD3" i="1" s="1"/>
  <c r="AE4" i="1"/>
  <c r="AE3" i="1" s="1"/>
  <c r="AF4" i="1"/>
  <c r="AF3" i="1" s="1"/>
  <c r="AG4" i="1"/>
  <c r="AG3" i="1" s="1"/>
  <c r="AH4" i="1"/>
  <c r="AH3" i="1" s="1"/>
  <c r="AI4" i="1"/>
  <c r="AJ4" i="1"/>
  <c r="AK4" i="1"/>
  <c r="AL4" i="1"/>
  <c r="AM4" i="1"/>
  <c r="AN4" i="1"/>
  <c r="AO4" i="1"/>
  <c r="C3" i="1"/>
  <c r="D3" i="1"/>
  <c r="E3" i="1"/>
  <c r="F3" i="1"/>
  <c r="G3" i="1"/>
  <c r="H3" i="1"/>
  <c r="I3" i="1"/>
  <c r="J3" i="1"/>
  <c r="K3" i="1"/>
  <c r="S3" i="1"/>
  <c r="T3" i="1"/>
  <c r="U3" i="1"/>
  <c r="V3" i="1"/>
  <c r="W3" i="1"/>
  <c r="X3" i="1"/>
  <c r="Y3" i="1"/>
  <c r="Z3" i="1"/>
  <c r="AA3" i="1"/>
  <c r="AI3" i="1"/>
  <c r="AJ3" i="1"/>
  <c r="AK3" i="1"/>
  <c r="AL3" i="1"/>
  <c r="AM3" i="1"/>
  <c r="AN3" i="1"/>
  <c r="AO3" i="1"/>
  <c r="D16" i="1"/>
  <c r="E16" i="1"/>
  <c r="F16" i="1"/>
  <c r="G16" i="1"/>
  <c r="H16" i="1"/>
  <c r="I16" i="1"/>
  <c r="J16" i="1"/>
  <c r="K16" i="1"/>
  <c r="L16" i="1"/>
  <c r="M16" i="1"/>
  <c r="M15" i="1" s="1"/>
  <c r="N16" i="1"/>
  <c r="N15" i="1" s="1"/>
  <c r="O16" i="1"/>
  <c r="O15" i="1" s="1"/>
  <c r="P16" i="1"/>
  <c r="P15" i="1" s="1"/>
  <c r="Q16" i="1"/>
  <c r="Q15" i="1" s="1"/>
  <c r="R16" i="1"/>
  <c r="R15" i="1" s="1"/>
  <c r="S16" i="1"/>
  <c r="S15" i="1" s="1"/>
  <c r="T16" i="1"/>
  <c r="U16" i="1"/>
  <c r="V16" i="1"/>
  <c r="W16" i="1"/>
  <c r="X16" i="1"/>
  <c r="Y16" i="1"/>
  <c r="Z16" i="1"/>
  <c r="AA16" i="1"/>
  <c r="AB16" i="1"/>
  <c r="AC16" i="1"/>
  <c r="AC15" i="1" s="1"/>
  <c r="AD16" i="1"/>
  <c r="AD15" i="1" s="1"/>
  <c r="AE16" i="1"/>
  <c r="AE15" i="1" s="1"/>
  <c r="AF16" i="1"/>
  <c r="AF15" i="1" s="1"/>
  <c r="AG16" i="1"/>
  <c r="AG15" i="1" s="1"/>
  <c r="AH16" i="1"/>
  <c r="AH15" i="1" s="1"/>
  <c r="AI16" i="1"/>
  <c r="AI15" i="1" s="1"/>
  <c r="AJ16" i="1"/>
  <c r="AK16" i="1"/>
  <c r="AL16" i="1"/>
  <c r="AM16" i="1"/>
  <c r="AN16" i="1"/>
  <c r="AO16" i="1"/>
  <c r="C16" i="1"/>
  <c r="C7" i="1"/>
  <c r="C5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D15" i="1"/>
  <c r="E15" i="1"/>
  <c r="F15" i="1"/>
  <c r="G15" i="1"/>
  <c r="H15" i="1"/>
  <c r="I15" i="1"/>
  <c r="J15" i="1"/>
  <c r="K15" i="1"/>
  <c r="L15" i="1"/>
  <c r="T15" i="1"/>
  <c r="U15" i="1"/>
  <c r="V15" i="1"/>
  <c r="W15" i="1"/>
  <c r="X15" i="1"/>
  <c r="Y15" i="1"/>
  <c r="Z15" i="1"/>
  <c r="AA15" i="1"/>
  <c r="AB15" i="1"/>
  <c r="AJ15" i="1"/>
  <c r="AK15" i="1"/>
  <c r="AL15" i="1"/>
  <c r="AM15" i="1"/>
  <c r="AN15" i="1"/>
  <c r="AO15" i="1"/>
  <c r="C1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C45" i="1"/>
  <c r="K30" i="1"/>
  <c r="J30" i="1"/>
  <c r="I30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C13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A2888" i="1" l="1"/>
  <c r="AB2888" i="1"/>
  <c r="L2888" i="1"/>
  <c r="K2888" i="1"/>
  <c r="G2888" i="1"/>
  <c r="H2888" i="1"/>
  <c r="F2888" i="1"/>
  <c r="AI2888" i="1"/>
  <c r="S2888" i="1"/>
  <c r="AH2888" i="1"/>
  <c r="R2888" i="1"/>
  <c r="Q2888" i="1"/>
  <c r="P2888" i="1"/>
  <c r="AE2888" i="1"/>
  <c r="AD2888" i="1"/>
  <c r="N2888" i="1"/>
  <c r="AG2888" i="1"/>
  <c r="AF2888" i="1"/>
  <c r="O2888" i="1"/>
  <c r="AC2888" i="1"/>
  <c r="M2888" i="1"/>
  <c r="D2075" i="1"/>
  <c r="AA2075" i="1"/>
  <c r="Z2075" i="1"/>
  <c r="Y2075" i="1"/>
  <c r="AN2075" i="1"/>
  <c r="X2075" i="1"/>
  <c r="H2075" i="1"/>
  <c r="L2075" i="1"/>
  <c r="K2075" i="1"/>
  <c r="I2075" i="1"/>
  <c r="AM2075" i="1"/>
  <c r="W2075" i="1"/>
  <c r="G2075" i="1"/>
  <c r="AB2075" i="1"/>
  <c r="J2075" i="1"/>
  <c r="AO2075" i="1"/>
  <c r="AL2075" i="1"/>
  <c r="V2075" i="1"/>
  <c r="F2075" i="1"/>
  <c r="AI2075" i="1"/>
  <c r="S2075" i="1"/>
  <c r="AH2075" i="1"/>
  <c r="R2075" i="1"/>
  <c r="AG2075" i="1"/>
  <c r="Q2075" i="1"/>
  <c r="AF2075" i="1"/>
  <c r="P2075" i="1"/>
  <c r="AE2075" i="1"/>
  <c r="O2075" i="1"/>
  <c r="AD2075" i="1"/>
  <c r="N2075" i="1"/>
  <c r="AC2075" i="1"/>
  <c r="M2075" i="1"/>
  <c r="E2334" i="1"/>
  <c r="AI2334" i="1"/>
  <c r="K2334" i="1"/>
  <c r="I2334" i="1"/>
  <c r="H2334" i="1"/>
  <c r="S2334" i="1"/>
  <c r="J2334" i="1"/>
  <c r="G2334" i="1"/>
  <c r="F2334" i="1"/>
  <c r="AH2334" i="1"/>
  <c r="AG2334" i="1"/>
  <c r="AF2334" i="1"/>
  <c r="O2334" i="1"/>
  <c r="AC2334" i="1"/>
  <c r="M2334" i="1"/>
  <c r="R2334" i="1"/>
  <c r="Q2334" i="1"/>
  <c r="P2334" i="1"/>
  <c r="AE2334" i="1"/>
  <c r="AD2334" i="1"/>
  <c r="N2334" i="1"/>
  <c r="AB2334" i="1"/>
  <c r="L2334" i="1"/>
  <c r="AN1821" i="1"/>
  <c r="AM1821" i="1"/>
  <c r="V1821" i="1"/>
  <c r="AB1821" i="1"/>
  <c r="AA1821" i="1"/>
  <c r="Z1821" i="1"/>
  <c r="Z2" i="1" s="1"/>
  <c r="Y1821" i="1"/>
  <c r="Y2" i="1" s="1"/>
  <c r="X1821" i="1"/>
  <c r="X2" i="1" s="1"/>
  <c r="L1821" i="1"/>
  <c r="J1821" i="1"/>
  <c r="H1821" i="1"/>
  <c r="G1821" i="1"/>
  <c r="K1821" i="1"/>
  <c r="I1821" i="1"/>
  <c r="I2" i="1" s="1"/>
  <c r="F1821" i="1"/>
  <c r="S1821" i="1"/>
  <c r="AH1821" i="1"/>
  <c r="P1821" i="1"/>
  <c r="AE1821" i="1"/>
  <c r="O1821" i="1"/>
  <c r="AG1821" i="1"/>
  <c r="AD1821" i="1"/>
  <c r="N1821" i="1"/>
  <c r="AI1821" i="1"/>
  <c r="R1821" i="1"/>
  <c r="Q1821" i="1"/>
  <c r="AF1821" i="1"/>
  <c r="AC1821" i="1"/>
  <c r="M1821" i="1"/>
  <c r="I544" i="1"/>
  <c r="J544" i="1"/>
  <c r="J2" i="1" s="1"/>
  <c r="AA544" i="1"/>
  <c r="X544" i="1"/>
  <c r="W544" i="1"/>
  <c r="V544" i="1"/>
  <c r="L544" i="1"/>
  <c r="K544" i="1"/>
  <c r="H544" i="1"/>
  <c r="G544" i="1"/>
  <c r="F544" i="1"/>
  <c r="AI544" i="1"/>
  <c r="AI2" i="1" s="1"/>
  <c r="R544" i="1"/>
  <c r="R2" i="1" s="1"/>
  <c r="P544" i="1"/>
  <c r="AE544" i="1"/>
  <c r="O544" i="1"/>
  <c r="S544" i="1"/>
  <c r="AG544" i="1"/>
  <c r="AG2" i="1" s="1"/>
  <c r="AF544" i="1"/>
  <c r="AD544" i="1"/>
  <c r="N544" i="1"/>
  <c r="AH544" i="1"/>
  <c r="Q544" i="1"/>
  <c r="AC544" i="1"/>
  <c r="M544" i="1"/>
  <c r="E2" i="1"/>
  <c r="D2" i="1"/>
  <c r="W2" i="1"/>
  <c r="U2" i="1"/>
  <c r="T2" i="1"/>
  <c r="C2" i="1"/>
  <c r="AJ2" i="1"/>
  <c r="AM2" i="1"/>
  <c r="AL2" i="1"/>
  <c r="AK2" i="1"/>
  <c r="AN2" i="1"/>
  <c r="AO2" i="1"/>
  <c r="V2" i="1"/>
  <c r="AA2" i="1"/>
  <c r="AB2" i="1"/>
  <c r="AD2" i="1"/>
  <c r="AH2" i="1" l="1"/>
  <c r="AE2" i="1"/>
  <c r="G2" i="1"/>
  <c r="F2" i="1"/>
  <c r="H2" i="1"/>
  <c r="K2" i="1"/>
  <c r="L2" i="1"/>
  <c r="O2" i="1"/>
  <c r="P2" i="1"/>
  <c r="S2" i="1"/>
  <c r="M2" i="1"/>
  <c r="Q2" i="1"/>
  <c r="AC2" i="1"/>
  <c r="N2" i="1"/>
  <c r="AF2" i="1"/>
</calcChain>
</file>

<file path=xl/sharedStrings.xml><?xml version="1.0" encoding="utf-8"?>
<sst xmlns="http://schemas.openxmlformats.org/spreadsheetml/2006/main" count="4739" uniqueCount="2156">
  <si>
    <r>
      <rPr>
        <b/>
        <sz val="10"/>
        <rFont val="Arial Narrow"/>
        <family val="2"/>
      </rPr>
      <t>Cuenta</t>
    </r>
  </si>
  <si>
    <r>
      <rPr>
        <b/>
        <sz val="10"/>
        <rFont val="Arial Narrow"/>
        <family val="2"/>
      </rPr>
      <t>Denominación</t>
    </r>
  </si>
  <si>
    <r>
      <rPr>
        <sz val="10"/>
        <rFont val="Segoe UI"/>
        <family val="2"/>
      </rPr>
      <t>ACTIVO</t>
    </r>
  </si>
  <si>
    <r>
      <rPr>
        <sz val="10"/>
        <rFont val="Segoe UI"/>
        <family val="2"/>
      </rPr>
      <t>DISPONIBLE</t>
    </r>
  </si>
  <si>
    <r>
      <rPr>
        <sz val="10"/>
        <rFont val="Segoe UI"/>
        <family val="2"/>
      </rPr>
      <t>CAJA</t>
    </r>
  </si>
  <si>
    <r>
      <rPr>
        <sz val="10"/>
        <rFont val="Segoe UI"/>
        <family val="2"/>
      </rPr>
      <t>Oficina Principal</t>
    </r>
  </si>
  <si>
    <r>
      <rPr>
        <sz val="10"/>
        <rFont val="Segoe UI"/>
        <family val="2"/>
      </rPr>
      <t>Agencias</t>
    </r>
  </si>
  <si>
    <r>
      <rPr>
        <sz val="10"/>
        <rFont val="Segoe UI"/>
        <family val="2"/>
      </rPr>
      <t>Oficinas especiales</t>
    </r>
  </si>
  <si>
    <r>
      <rPr>
        <sz val="10"/>
        <rFont val="Segoe UI"/>
        <family val="2"/>
      </rPr>
      <t>Efectivo en tránsito</t>
    </r>
  </si>
  <si>
    <r>
      <rPr>
        <sz val="10"/>
        <rFont val="Segoe UI"/>
        <family val="2"/>
      </rPr>
      <t>Bancos</t>
    </r>
  </si>
  <si>
    <r>
      <rPr>
        <sz val="10"/>
        <rFont val="Segoe UI"/>
        <family val="2"/>
      </rPr>
      <t>Financieras</t>
    </r>
  </si>
  <si>
    <r>
      <rPr>
        <sz val="10"/>
        <rFont val="Segoe UI"/>
        <family val="2"/>
      </rPr>
      <t>Cajas Municipales de Ahorro y Crédito</t>
    </r>
  </si>
  <si>
    <r>
      <rPr>
        <sz val="10"/>
        <rFont val="Segoe UI"/>
        <family val="2"/>
      </rPr>
      <t>Cajas Rurales de Ahorro y Crédito</t>
    </r>
  </si>
  <si>
    <r>
      <rPr>
        <sz val="10"/>
        <rFont val="Segoe UI"/>
        <family val="2"/>
      </rPr>
      <t>Cooperativas de Ahorro y Crédito</t>
    </r>
  </si>
  <si>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</si>
  <si>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>Otras empresas del sistema financiero</t>
    </r>
  </si>
  <si>
    <r>
      <rPr>
        <sz val="10"/>
        <rFont val="Segoe UI"/>
        <family val="2"/>
      </rPr>
      <t>BANCOS Y OTRAS INSTITUCIONES FINANCIERAS DEL EXTERIOR</t>
    </r>
  </si>
  <si>
    <r>
      <rPr>
        <sz val="10"/>
        <rFont val="Segoe UI"/>
        <family val="2"/>
      </rPr>
      <t>De primera categoría</t>
    </r>
  </si>
  <si>
    <r>
      <rPr>
        <sz val="10"/>
        <rFont val="Segoe UI"/>
        <family val="2"/>
      </rPr>
      <t>Supervisados por organismos similares a la SBS</t>
    </r>
  </si>
  <si>
    <r>
      <rPr>
        <sz val="10"/>
        <rFont val="Segoe UI"/>
        <family val="2"/>
      </rPr>
      <t xml:space="preserve">Supervisados por la oficina matriz sujeta a supervisión de organismos
</t>
    </r>
    <r>
      <rPr>
        <sz val="10"/>
        <rFont val="Segoe UI"/>
        <family val="2"/>
      </rPr>
      <t>similares a la SBS</t>
    </r>
  </si>
  <si>
    <r>
      <rPr>
        <sz val="10"/>
        <rFont val="Segoe UI"/>
        <family val="2"/>
      </rPr>
      <t>Otras instituciones financieras</t>
    </r>
  </si>
  <si>
    <r>
      <rPr>
        <sz val="10"/>
        <rFont val="Segoe UI"/>
        <family val="2"/>
      </rPr>
      <t>EFECTOS DE COBRO INMEDIATO</t>
    </r>
  </si>
  <si>
    <r>
      <rPr>
        <sz val="10"/>
        <rFont val="Segoe UI"/>
        <family val="2"/>
      </rPr>
      <t>Cheques</t>
    </r>
  </si>
  <si>
    <r>
      <rPr>
        <sz val="10"/>
        <rFont val="Segoe UI"/>
        <family val="2"/>
      </rPr>
      <t>Órdenes de pago</t>
    </r>
  </si>
  <si>
    <r>
      <rPr>
        <sz val="10"/>
        <rFont val="Segoe UI"/>
        <family val="2"/>
      </rPr>
      <t>Documentos sobre el exterior</t>
    </r>
  </si>
  <si>
    <r>
      <rPr>
        <sz val="10"/>
        <rFont val="Segoe UI"/>
        <family val="2"/>
      </rPr>
      <t>Otros efectos de cobro</t>
    </r>
  </si>
  <si>
    <r>
      <rPr>
        <sz val="10"/>
        <rFont val="Segoe UI"/>
        <family val="2"/>
      </rPr>
      <t>DISPONIBLE RESTRINGIDO</t>
    </r>
  </si>
  <si>
    <r>
      <rPr>
        <sz val="10"/>
        <rFont val="Segoe UI"/>
        <family val="2"/>
      </rPr>
      <t>Fondos fijos</t>
    </r>
  </si>
  <si>
    <r>
      <rPr>
        <sz val="10"/>
        <rFont val="Segoe UI"/>
        <family val="2"/>
      </rPr>
      <t>Fondos en garantía</t>
    </r>
  </si>
  <si>
    <r>
      <rPr>
        <sz val="10"/>
        <rFont val="Segoe UI"/>
        <family val="2"/>
      </rPr>
      <t>Otras disponibilidades restringidas</t>
    </r>
  </si>
  <si>
    <r>
      <rPr>
        <sz val="10"/>
        <rFont val="Segoe UI"/>
        <family val="2"/>
      </rPr>
      <t>RENDIMIENTOS DEVENGADOS DEL DISPONIBLE</t>
    </r>
  </si>
  <si>
    <r>
      <rPr>
        <sz val="10"/>
        <rFont val="Segoe UI"/>
        <family val="2"/>
      </rPr>
      <t>Bancos, otras empresas del sistema financiero del país y Coopac</t>
    </r>
  </si>
  <si>
    <r>
      <rPr>
        <sz val="10"/>
        <rFont val="Segoe UI"/>
        <family val="2"/>
      </rPr>
      <t>Bancos y otras instituciones financieras del exterior</t>
    </r>
  </si>
  <si>
    <r>
      <rPr>
        <sz val="10"/>
        <rFont val="Segoe UI"/>
        <family val="2"/>
      </rPr>
      <t>Disponible restringido</t>
    </r>
  </si>
  <si>
    <r>
      <rPr>
        <sz val="10"/>
        <rFont val="Segoe UI"/>
        <family val="2"/>
      </rPr>
      <t>FONDOS INTERCOOPERATIVOS</t>
    </r>
  </si>
  <si>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</si>
  <si>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>RENDIMIENTOS DEVENGADOS DE FONDOS INTERCOOPERATIVOS</t>
    </r>
  </si>
  <si>
    <r>
      <rPr>
        <sz val="10"/>
        <rFont val="Segoe UI"/>
        <family val="2"/>
      </rPr>
      <t>INVERSIONES NEGOCIABLES Y A VENCIMIENTO</t>
    </r>
  </si>
  <si>
    <r>
      <rPr>
        <sz val="10"/>
        <rFont val="Segoe UI"/>
        <family val="2"/>
      </rPr>
      <t xml:space="preserve">INVERSIONES A VALOR RAZONABLE CON CAMBIOS EN
</t>
    </r>
    <r>
      <rPr>
        <sz val="10"/>
        <rFont val="Segoe UI"/>
        <family val="2"/>
      </rPr>
      <t>RESULTADOS - INSTRUMENTOS REPRESENTATIVOS DE CAPITAL</t>
    </r>
  </si>
  <si>
    <r>
      <rPr>
        <sz val="10"/>
        <rFont val="Segoe UI"/>
        <family val="2"/>
      </rPr>
      <t>Valores y títulos emitidos por empresas del sistema financiero</t>
    </r>
  </si>
  <si>
    <r>
      <rPr>
        <sz val="10"/>
        <rFont val="Segoe UI"/>
        <family val="2"/>
      </rPr>
      <t>Acciones comunes</t>
    </r>
  </si>
  <si>
    <r>
      <rPr>
        <sz val="10"/>
        <rFont val="Segoe UI"/>
        <family val="2"/>
      </rPr>
      <t>Otros valores y títulos</t>
    </r>
  </si>
  <si>
    <r>
      <rPr>
        <sz val="10"/>
        <rFont val="Segoe UI"/>
        <family val="2"/>
      </rPr>
      <t>Valores y títulos emitidos por empresas del sistema de seguros</t>
    </r>
  </si>
  <si>
    <r>
      <rPr>
        <sz val="10"/>
        <rFont val="Segoe UI"/>
        <family val="2"/>
      </rPr>
      <t>Valores y títulos emitidos por otras entidades</t>
    </r>
  </si>
  <si>
    <r>
      <rPr>
        <sz val="10"/>
        <rFont val="Segoe UI"/>
        <family val="2"/>
      </rPr>
      <t>Acciones de inversión</t>
    </r>
  </si>
  <si>
    <r>
      <rPr>
        <sz val="10"/>
        <rFont val="Segoe UI"/>
        <family val="2"/>
      </rPr>
      <t>Cuotas de Participación en Fondos Mutuos de Inversión en Valores</t>
    </r>
  </si>
  <si>
    <r>
      <rPr>
        <sz val="10"/>
        <rFont val="Segoe UI"/>
        <family val="2"/>
      </rPr>
      <t>Cuotas de Participación en Fondos de Inversión</t>
    </r>
  </si>
  <si>
    <r>
      <rPr>
        <sz val="10"/>
        <rFont val="Segoe UI"/>
        <family val="2"/>
      </rPr>
      <t>Instrumentos de titulización</t>
    </r>
  </si>
  <si>
    <r>
      <rPr>
        <sz val="10"/>
        <rFont val="Segoe UI"/>
        <family val="2"/>
      </rPr>
      <t xml:space="preserve">Valores objeto de operaciones de venta con compromiso de
</t>
    </r>
    <r>
      <rPr>
        <sz val="10"/>
        <rFont val="Segoe UI"/>
        <family val="2"/>
      </rPr>
      <t>recompra</t>
    </r>
  </si>
  <si>
    <r>
      <rPr>
        <sz val="10"/>
        <rFont val="Segoe UI"/>
        <family val="2"/>
      </rPr>
      <t>Valores y títulos emitidos por Coopac</t>
    </r>
  </si>
  <si>
    <r>
      <rPr>
        <sz val="10"/>
        <rFont val="Segoe UI"/>
        <family val="2"/>
      </rPr>
      <t xml:space="preserve">Valores objeto de operaciones de venta y compra simultáneas de
</t>
    </r>
    <r>
      <rPr>
        <sz val="10"/>
        <rFont val="Segoe UI"/>
        <family val="2"/>
      </rPr>
      <t>valores</t>
    </r>
  </si>
  <si>
    <r>
      <rPr>
        <sz val="10"/>
        <rFont val="Segoe UI"/>
        <family val="2"/>
      </rPr>
      <t xml:space="preserve">Valores objeto de o entregados en operaciones de transferencia
</t>
    </r>
    <r>
      <rPr>
        <sz val="10"/>
        <rFont val="Segoe UI"/>
        <family val="2"/>
      </rPr>
      <t>temporal de valores</t>
    </r>
  </si>
  <si>
    <r>
      <rPr>
        <sz val="10"/>
        <rFont val="Segoe UI"/>
        <family val="2"/>
      </rPr>
      <t>Aportes</t>
    </r>
  </si>
  <si>
    <r>
      <rPr>
        <sz val="10"/>
        <rFont val="Segoe UI"/>
        <family val="2"/>
      </rPr>
      <t>Valores y títulos emitidos por entidades de similar objeto social</t>
    </r>
  </si>
  <si>
    <r>
      <rPr>
        <sz val="10"/>
        <rFont val="Segoe UI"/>
        <family val="2"/>
      </rPr>
      <t xml:space="preserve">INVERSIONES A VALOR RAZONABLE CON CAMBIOS EN
</t>
    </r>
    <r>
      <rPr>
        <sz val="10"/>
        <rFont val="Segoe UI"/>
        <family val="2"/>
      </rPr>
      <t>RESULTADOS - INSTRUMENTOS REPRESENTATIVOS DE DEUDA</t>
    </r>
  </si>
  <si>
    <r>
      <rPr>
        <sz val="10"/>
        <rFont val="Segoe UI"/>
        <family val="2"/>
      </rPr>
      <t>Valores y títulos emitidos por Gobiernos</t>
    </r>
  </si>
  <si>
    <r>
      <rPr>
        <sz val="10"/>
        <rFont val="Segoe UI"/>
        <family val="2"/>
      </rPr>
      <t>Representativos de deuda país</t>
    </r>
  </si>
  <si>
    <r>
      <rPr>
        <sz val="10"/>
        <rFont val="Segoe UI"/>
        <family val="2"/>
      </rPr>
      <t>Perú</t>
    </r>
  </si>
  <si>
    <r>
      <rPr>
        <sz val="10"/>
        <rFont val="Segoe UI"/>
        <family val="2"/>
      </rPr>
      <t>Países con grado de inversión</t>
    </r>
  </si>
  <si>
    <r>
      <rPr>
        <sz val="10"/>
        <rFont val="Segoe UI"/>
        <family val="2"/>
      </rPr>
      <t>Otros</t>
    </r>
  </si>
  <si>
    <r>
      <rPr>
        <sz val="10"/>
        <rFont val="Segoe UI"/>
        <family val="2"/>
      </rPr>
      <t>Representativos de obligaciones varias</t>
    </r>
  </si>
  <si>
    <r>
      <rPr>
        <sz val="10"/>
        <rFont val="Segoe UI"/>
        <family val="2"/>
      </rPr>
      <t>Valores y títulos emitidos por Bancos Centrales</t>
    </r>
  </si>
  <si>
    <r>
      <rPr>
        <sz val="10"/>
        <rFont val="Segoe UI"/>
        <family val="2"/>
      </rPr>
      <t>Valores y títulos emitidos por Organismos Financieros</t>
    </r>
  </si>
  <si>
    <r>
      <rPr>
        <sz val="10"/>
        <rFont val="Segoe UI"/>
        <family val="2"/>
      </rPr>
      <t>Organismos Financieros Internacionales</t>
    </r>
  </si>
  <si>
    <r>
      <rPr>
        <sz val="10"/>
        <rFont val="Segoe UI"/>
        <family val="2"/>
      </rPr>
      <t>Otros Organismos Financieros</t>
    </r>
  </si>
  <si>
    <r>
      <rPr>
        <sz val="10"/>
        <rFont val="Segoe UI"/>
        <family val="2"/>
      </rPr>
      <t>Certificados de depósitos negociables</t>
    </r>
  </si>
  <si>
    <r>
      <rPr>
        <sz val="10"/>
        <rFont val="Segoe UI"/>
        <family val="2"/>
      </rPr>
      <t>Letras hipotecarias</t>
    </r>
  </si>
  <si>
    <r>
      <rPr>
        <sz val="10"/>
        <rFont val="Segoe UI"/>
        <family val="2"/>
      </rPr>
      <t>Bonos hipotecarios</t>
    </r>
  </si>
  <si>
    <r>
      <rPr>
        <sz val="10"/>
        <rFont val="Segoe UI"/>
        <family val="2"/>
      </rPr>
      <t>Bonos de arrendamiento financiero</t>
    </r>
  </si>
  <si>
    <r>
      <rPr>
        <sz val="10"/>
        <rFont val="Segoe UI"/>
        <family val="2"/>
      </rPr>
      <t>Bonos ordinarios</t>
    </r>
  </si>
  <si>
    <r>
      <rPr>
        <sz val="10"/>
        <rFont val="Segoe UI"/>
        <family val="2"/>
      </rPr>
      <t>Bonos estructurados</t>
    </r>
  </si>
  <si>
    <r>
      <rPr>
        <sz val="10"/>
        <rFont val="Segoe UI"/>
        <family val="2"/>
      </rPr>
      <t xml:space="preserve">Bonos subordinados y en instrumentos representativos de deuda
</t>
    </r>
    <r>
      <rPr>
        <sz val="10"/>
        <rFont val="Segoe UI"/>
        <family val="2"/>
      </rPr>
      <t>subordinada</t>
    </r>
  </si>
  <si>
    <r>
      <rPr>
        <sz val="10"/>
        <rFont val="Segoe UI"/>
        <family val="2"/>
      </rPr>
      <t>Bonos convertibles en acciones</t>
    </r>
  </si>
  <si>
    <r>
      <rPr>
        <sz val="10"/>
        <rFont val="Segoe UI"/>
        <family val="2"/>
      </rPr>
      <t>Certificados de depósito por mercaderías</t>
    </r>
  </si>
  <si>
    <r>
      <rPr>
        <sz val="10"/>
        <rFont val="Segoe UI"/>
        <family val="2"/>
      </rPr>
      <t>Instrumentos de corto plazo</t>
    </r>
  </si>
  <si>
    <r>
      <rPr>
        <sz val="10"/>
        <rFont val="Segoe UI"/>
        <family val="2"/>
      </rPr>
      <t>Pagarés</t>
    </r>
  </si>
  <si>
    <r>
      <rPr>
        <sz val="10"/>
        <rFont val="Segoe UI"/>
        <family val="2"/>
      </rPr>
      <t>Letras afianzadas</t>
    </r>
  </si>
  <si>
    <r>
      <rPr>
        <sz val="10"/>
        <rFont val="Segoe UI"/>
        <family val="2"/>
      </rPr>
      <t xml:space="preserve">INVERSIONES DISPONIBLES PARA LA VENTA -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</si>
  <si>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>Valores y títulos de disponibilidad restringida</t>
    </r>
  </si>
  <si>
    <r>
      <rPr>
        <sz val="10"/>
        <rFont val="Segoe UI"/>
        <family val="2"/>
      </rPr>
      <t xml:space="preserve">INVERSIONES DISPONIBLES PARA LA VENTA - INSTRUMENTOS
</t>
    </r>
    <r>
      <rPr>
        <sz val="10"/>
        <rFont val="Segoe UI"/>
        <family val="2"/>
      </rPr>
      <t>REPRESENTATIVOS DEUDA</t>
    </r>
  </si>
  <si>
    <r>
      <rPr>
        <sz val="10"/>
        <rFont val="Segoe UI"/>
        <family val="2"/>
      </rPr>
      <t>País con grado de inversión</t>
    </r>
  </si>
  <si>
    <r>
      <rPr>
        <sz val="10"/>
        <rFont val="Segoe UI"/>
        <family val="2"/>
      </rPr>
      <t>Certificados de depósito negociables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</si>
  <si>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</si>
  <si>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>Certificados negociables</t>
    </r>
  </si>
  <si>
    <r>
      <rPr>
        <sz val="10"/>
        <rFont val="Segoe UI"/>
        <family val="2"/>
      </rPr>
      <t>INVERSIONES EN COMMODITIES</t>
    </r>
  </si>
  <si>
    <r>
      <rPr>
        <sz val="10"/>
        <rFont val="Segoe UI"/>
        <family val="2"/>
      </rPr>
      <t xml:space="preserve">RENDIMIENTOS DEVENGADOS DE INVERSIONES NEGOCIABLES Y A
</t>
    </r>
    <r>
      <rPr>
        <sz val="10"/>
        <rFont val="Segoe UI"/>
        <family val="2"/>
      </rPr>
      <t>VENCIMIENTO</t>
    </r>
  </si>
  <si>
    <r>
      <rPr>
        <sz val="10"/>
        <rFont val="Segoe UI"/>
        <family val="2"/>
      </rPr>
      <t xml:space="preserve">Inversiones a Valor Razonable con cambios en Resultados -
</t>
    </r>
    <r>
      <rPr>
        <sz val="10"/>
        <rFont val="Segoe UI"/>
        <family val="2"/>
      </rPr>
      <t>Instrumentos Representativos de Capital</t>
    </r>
  </si>
  <si>
    <r>
      <rPr>
        <sz val="10"/>
        <rFont val="Segoe UI"/>
        <family val="2"/>
      </rPr>
      <t xml:space="preserve">Inversiones Disponibles para la Venta - Instrumentos Representativos
</t>
    </r>
    <r>
      <rPr>
        <sz val="10"/>
        <rFont val="Segoe UI"/>
        <family val="2"/>
      </rPr>
      <t>de Capital</t>
    </r>
  </si>
  <si>
    <r>
      <rPr>
        <sz val="10"/>
        <rFont val="Segoe UI"/>
        <family val="2"/>
      </rPr>
      <t xml:space="preserve">(PROVISIONES POR DETERIORO PARA INVERSIONES NEGOCIABLES
</t>
    </r>
    <r>
      <rPr>
        <sz val="10"/>
        <rFont val="Segoe UI"/>
        <family val="2"/>
      </rPr>
      <t>Y A VENCIMIENTO)</t>
    </r>
  </si>
  <si>
    <r>
      <rPr>
        <sz val="10"/>
        <rFont val="Segoe UI"/>
        <family val="2"/>
      </rPr>
      <t xml:space="preserve">Inversiones negociables Disponibles para la Venta en Valores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</si>
  <si>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Bonos subordinados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</si>
  <si>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</si>
  <si>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>CRÉDITOS</t>
    </r>
  </si>
  <si>
    <r>
      <rPr>
        <sz val="10"/>
        <rFont val="Segoe UI"/>
        <family val="2"/>
      </rPr>
      <t>CRÉDITOS VIGENTES</t>
    </r>
  </si>
  <si>
    <r>
      <rPr>
        <sz val="10"/>
        <rFont val="Segoe UI"/>
        <family val="2"/>
      </rPr>
      <t>Créditos a microempresas</t>
    </r>
  </si>
  <si>
    <r>
      <rPr>
        <sz val="10"/>
        <rFont val="Arial Narrow"/>
        <family val="2"/>
      </rPr>
      <t>Avances en cuenta corriente</t>
    </r>
  </si>
  <si>
    <r>
      <rPr>
        <sz val="10"/>
        <rFont val="Arial Narrow"/>
        <family val="2"/>
      </rPr>
      <t>Sobregiros en cuenta corriente</t>
    </r>
  </si>
  <si>
    <r>
      <rPr>
        <sz val="10"/>
        <rFont val="Segoe UI"/>
        <family val="2"/>
      </rPr>
      <t>Tarjetas de crédito</t>
    </r>
  </si>
  <si>
    <r>
      <rPr>
        <sz val="10"/>
        <rFont val="Segoe UI"/>
        <family val="2"/>
      </rPr>
      <t>Disponibilidad en efectivo</t>
    </r>
  </si>
  <si>
    <r>
      <rPr>
        <sz val="10"/>
        <rFont val="Segoe UI"/>
        <family val="2"/>
      </rPr>
      <t>Pago de bienes, servicios y obligaciones</t>
    </r>
  </si>
  <si>
    <r>
      <rPr>
        <sz val="10"/>
        <rFont val="Segoe UI"/>
        <family val="2"/>
      </rPr>
      <t>Compra de deuda</t>
    </r>
  </si>
  <si>
    <r>
      <rPr>
        <sz val="10"/>
        <rFont val="Segoe UI"/>
        <family val="2"/>
      </rPr>
      <t>Factoring</t>
    </r>
  </si>
  <si>
    <r>
      <rPr>
        <sz val="10"/>
        <rFont val="Segoe UI"/>
        <family val="2"/>
      </rPr>
      <t>Factoring - Pagarés</t>
    </r>
  </si>
  <si>
    <r>
      <rPr>
        <sz val="10"/>
        <rFont val="Segoe UI"/>
        <family val="2"/>
      </rPr>
      <t>Factoring - Letras</t>
    </r>
  </si>
  <si>
    <r>
      <rPr>
        <sz val="10"/>
        <rFont val="Segoe UI"/>
        <family val="2"/>
      </rPr>
      <t>Factoring - Facturas</t>
    </r>
  </si>
  <si>
    <r>
      <rPr>
        <sz val="10"/>
        <rFont val="Segoe UI"/>
        <family val="2"/>
      </rPr>
      <t>Factoring - Otros documentos</t>
    </r>
  </si>
  <si>
    <r>
      <rPr>
        <sz val="10"/>
        <rFont val="Segoe UI"/>
        <family val="2"/>
      </rPr>
      <t>Descuentos</t>
    </r>
  </si>
  <si>
    <r>
      <rPr>
        <sz val="10"/>
        <rFont val="Segoe UI"/>
        <family val="2"/>
      </rPr>
      <t>Descuentos - Pagarés</t>
    </r>
  </si>
  <si>
    <r>
      <rPr>
        <sz val="10"/>
        <rFont val="Segoe UI"/>
        <family val="2"/>
      </rPr>
      <t>Descuentos - Letras</t>
    </r>
  </si>
  <si>
    <r>
      <rPr>
        <sz val="10"/>
        <rFont val="Segoe UI"/>
        <family val="2"/>
      </rPr>
      <t>Descuentos - Facturas</t>
    </r>
  </si>
  <si>
    <r>
      <rPr>
        <sz val="10"/>
        <rFont val="Segoe UI"/>
        <family val="2"/>
      </rPr>
      <t>Descuentos - Otros</t>
    </r>
  </si>
  <si>
    <r>
      <rPr>
        <sz val="10"/>
        <rFont val="Segoe UI"/>
        <family val="2"/>
      </rPr>
      <t>Préstamos no revolventes</t>
    </r>
  </si>
  <si>
    <r>
      <rPr>
        <sz val="10"/>
        <rFont val="Segoe UI"/>
        <family val="2"/>
      </rPr>
      <t>Préstamos revolventes</t>
    </r>
  </si>
  <si>
    <r>
      <rPr>
        <sz val="10"/>
        <rFont val="Segoe UI"/>
        <family val="2"/>
      </rPr>
      <t>Arrendamiento financiero</t>
    </r>
  </si>
  <si>
    <r>
      <rPr>
        <sz val="10"/>
        <rFont val="Segoe UI"/>
        <family val="2"/>
      </rPr>
      <t>Lease-back</t>
    </r>
  </si>
  <si>
    <r>
      <rPr>
        <sz val="10"/>
        <rFont val="Segoe UI"/>
        <family val="2"/>
      </rPr>
      <t>Créditos por liquidar</t>
    </r>
  </si>
  <si>
    <r>
      <rPr>
        <sz val="10"/>
        <rFont val="Segoe UI"/>
        <family val="2"/>
      </rPr>
      <t>Créditos Inmobiliarios</t>
    </r>
  </si>
  <si>
    <r>
      <rPr>
        <sz val="10"/>
        <rFont val="Segoe UI"/>
        <family val="2"/>
      </rPr>
      <t>Otros créditos</t>
    </r>
  </si>
  <si>
    <r>
      <rPr>
        <sz val="10"/>
        <rFont val="Segoe UI"/>
        <family val="2"/>
      </rPr>
      <t>Revolventes</t>
    </r>
  </si>
  <si>
    <r>
      <rPr>
        <sz val="10"/>
        <rFont val="Segoe UI"/>
        <family val="2"/>
      </rPr>
      <t>No revolventes</t>
    </r>
  </si>
  <si>
    <r>
      <rPr>
        <sz val="10"/>
        <rFont val="Segoe UI"/>
        <family val="2"/>
      </rPr>
      <t>Créditos de consumo</t>
    </r>
  </si>
  <si>
    <r>
      <rPr>
        <sz val="10"/>
        <rFont val="Segoe UI"/>
        <family val="2"/>
      </rPr>
      <t>Préstamos para automóviles</t>
    </r>
  </si>
  <si>
    <r>
      <rPr>
        <sz val="10"/>
        <rFont val="Segoe UI"/>
        <family val="2"/>
      </rPr>
      <t>Préstamos para libre disponibilidad</t>
    </r>
  </si>
  <si>
    <r>
      <rPr>
        <sz val="10"/>
        <rFont val="Segoe UI"/>
        <family val="2"/>
      </rPr>
      <t>Préstamos otorgados bajo convenios elegibles</t>
    </r>
  </si>
  <si>
    <r>
      <rPr>
        <sz val="10"/>
        <rFont val="Segoe UI"/>
        <family val="2"/>
      </rPr>
      <t>Préstamos otorgados bajo convenios no elegibles</t>
    </r>
  </si>
  <si>
    <r>
      <rPr>
        <sz val="10"/>
        <rFont val="Segoe UI"/>
        <family val="2"/>
      </rPr>
      <t xml:space="preserve">Préstamos que cuenten con convenios de descuento de planilla y
</t>
    </r>
    <r>
      <rPr>
        <sz val="10"/>
        <rFont val="Segoe UI"/>
        <family val="2"/>
      </rPr>
      <t>que sean elegibles</t>
    </r>
  </si>
  <si>
    <r>
      <rPr>
        <sz val="10"/>
        <rFont val="Segoe UI"/>
        <family val="2"/>
      </rPr>
      <t xml:space="preserve">Préstamos que cuenten con convenios de descuento de planilla y
</t>
    </r>
    <r>
      <rPr>
        <sz val="10"/>
        <rFont val="Segoe UI"/>
        <family val="2"/>
      </rPr>
      <t>que no sean elegibles</t>
    </r>
  </si>
  <si>
    <r>
      <rPr>
        <sz val="10"/>
        <rFont val="Segoe UI"/>
        <family val="2"/>
      </rPr>
      <t>Préstamos asociados a líneas revolventes</t>
    </r>
  </si>
  <si>
    <r>
      <rPr>
        <sz val="10"/>
        <rFont val="Segoe UI"/>
        <family val="2"/>
      </rPr>
      <t>Préstamos revolventes otorgados bajo convenios</t>
    </r>
  </si>
  <si>
    <r>
      <rPr>
        <sz val="10"/>
        <rFont val="Segoe UI"/>
        <family val="2"/>
      </rPr>
      <t>Pignoraticios</t>
    </r>
  </si>
  <si>
    <r>
      <rPr>
        <sz val="10"/>
        <rFont val="Segoe UI"/>
        <family val="2"/>
      </rPr>
      <t>Créditos hipotecarios para vivienda</t>
    </r>
  </si>
  <si>
    <r>
      <rPr>
        <sz val="10"/>
        <rFont val="Segoe UI"/>
        <family val="2"/>
      </rPr>
      <t>Préstamos</t>
    </r>
  </si>
  <si>
    <r>
      <rPr>
        <sz val="10"/>
        <rFont val="Segoe UI"/>
        <family val="2"/>
      </rPr>
      <t>Préstamos con hipoteca inscrita</t>
    </r>
  </si>
  <si>
    <r>
      <rPr>
        <sz val="10"/>
        <rFont val="Segoe UI"/>
        <family val="2"/>
      </rPr>
      <t>Préstamos sin hipoteca inscrita</t>
    </r>
  </si>
  <si>
    <r>
      <rPr>
        <sz val="10"/>
        <rFont val="Segoe UI"/>
        <family val="2"/>
      </rPr>
      <t>Préstamos del Fondo Mi Vivienda</t>
    </r>
  </si>
  <si>
    <r>
      <rPr>
        <sz val="10"/>
        <rFont val="Segoe UI"/>
        <family val="2"/>
      </rPr>
      <t xml:space="preserve">Préstamos MIVIVIENDA otorgados con recursos de instituciones
</t>
    </r>
    <r>
      <rPr>
        <sz val="10"/>
        <rFont val="Segoe UI"/>
        <family val="2"/>
      </rPr>
      <t>financieras</t>
    </r>
  </si>
  <si>
    <r>
      <rPr>
        <sz val="10"/>
        <rFont val="Segoe UI"/>
        <family val="2"/>
      </rPr>
      <t xml:space="preserve">Otros créditos hipotecarios otorgados con recursos del Fondo
</t>
    </r>
    <r>
      <rPr>
        <sz val="10"/>
        <rFont val="Segoe UI"/>
        <family val="2"/>
      </rPr>
      <t>MIVIVIENDA</t>
    </r>
  </si>
  <si>
    <r>
      <rPr>
        <sz val="10"/>
        <rFont val="Segoe UI"/>
        <family val="2"/>
      </rPr>
      <t>Capitalización inmobiliaria</t>
    </r>
  </si>
  <si>
    <r>
      <rPr>
        <sz val="10"/>
        <rFont val="Arial Narrow"/>
        <family val="2"/>
      </rPr>
      <t>Créditos a entidades del sector público</t>
    </r>
  </si>
  <si>
    <r>
      <rPr>
        <sz val="10"/>
        <rFont val="Arial Narrow"/>
        <family val="2"/>
      </rPr>
      <t>Tarjetas de crédito</t>
    </r>
  </si>
  <si>
    <r>
      <rPr>
        <sz val="10"/>
        <rFont val="Arial Narrow"/>
        <family val="2"/>
      </rPr>
      <t>Factoring</t>
    </r>
  </si>
  <si>
    <r>
      <rPr>
        <sz val="10"/>
        <rFont val="Arial Narrow"/>
        <family val="2"/>
      </rPr>
      <t>Factoring - Pagarés</t>
    </r>
  </si>
  <si>
    <r>
      <rPr>
        <sz val="10"/>
        <rFont val="Arial Narrow"/>
        <family val="2"/>
      </rPr>
      <t>Factoring - Letras</t>
    </r>
  </si>
  <si>
    <r>
      <rPr>
        <sz val="10"/>
        <rFont val="Arial Narrow"/>
        <family val="2"/>
      </rPr>
      <t>Factoring - Facturas</t>
    </r>
  </si>
  <si>
    <r>
      <rPr>
        <sz val="10"/>
        <rFont val="Arial Narrow"/>
        <family val="2"/>
      </rPr>
      <t>Factoring - Otros documentos</t>
    </r>
  </si>
  <si>
    <r>
      <rPr>
        <sz val="10"/>
        <rFont val="Arial Narrow"/>
        <family val="2"/>
      </rPr>
      <t>Descuentos</t>
    </r>
  </si>
  <si>
    <r>
      <rPr>
        <sz val="10"/>
        <rFont val="Arial Narrow"/>
        <family val="2"/>
      </rPr>
      <t>Descuentos - Pagarés</t>
    </r>
  </si>
  <si>
    <r>
      <rPr>
        <sz val="10"/>
        <rFont val="Arial Narrow"/>
        <family val="2"/>
      </rPr>
      <t>Descuentos - Letras</t>
    </r>
  </si>
  <si>
    <r>
      <rPr>
        <sz val="10"/>
        <rFont val="Arial Narrow"/>
        <family val="2"/>
      </rPr>
      <t>Descuentos - Facturas</t>
    </r>
  </si>
  <si>
    <r>
      <rPr>
        <sz val="10"/>
        <rFont val="Arial Narrow"/>
        <family val="2"/>
      </rPr>
      <t>Descuentos - Otros</t>
    </r>
  </si>
  <si>
    <r>
      <rPr>
        <sz val="10"/>
        <rFont val="Arial Narrow"/>
        <family val="2"/>
      </rPr>
      <t>Préstamos no revolventes</t>
    </r>
  </si>
  <si>
    <r>
      <rPr>
        <sz val="10"/>
        <rFont val="Arial Narrow"/>
        <family val="2"/>
      </rPr>
      <t>Préstamos revolventes</t>
    </r>
  </si>
  <si>
    <r>
      <rPr>
        <sz val="10"/>
        <rFont val="Arial Narrow"/>
        <family val="2"/>
      </rPr>
      <t>Arrendamiento financiero</t>
    </r>
  </si>
  <si>
    <r>
      <rPr>
        <sz val="10"/>
        <rFont val="Arial Narrow"/>
        <family val="2"/>
      </rPr>
      <t>Lease-back</t>
    </r>
  </si>
  <si>
    <r>
      <rPr>
        <sz val="10"/>
        <rFont val="Arial Narrow"/>
        <family val="2"/>
      </rPr>
      <t>Créditos por liquidar</t>
    </r>
  </si>
  <si>
    <r>
      <rPr>
        <sz val="10"/>
        <rFont val="Arial Narrow"/>
        <family val="2"/>
      </rPr>
      <t>Créditos Inmobiliarios</t>
    </r>
  </si>
  <si>
    <r>
      <rPr>
        <sz val="10"/>
        <rFont val="Arial Narrow"/>
        <family val="2"/>
      </rPr>
      <t>Otros créditos</t>
    </r>
  </si>
  <si>
    <r>
      <rPr>
        <sz val="10"/>
        <rFont val="Arial Narrow"/>
        <family val="2"/>
      </rPr>
      <t>Revolventes</t>
    </r>
  </si>
  <si>
    <r>
      <rPr>
        <sz val="10"/>
        <rFont val="Arial Narrow"/>
        <family val="2"/>
      </rPr>
      <t>No revolventes</t>
    </r>
  </si>
  <si>
    <r>
      <rPr>
        <sz val="10"/>
        <rFont val="Segoe UI"/>
        <family val="2"/>
      </rPr>
      <t>Créditos a Coopac</t>
    </r>
  </si>
  <si>
    <r>
      <rPr>
        <sz val="10"/>
        <rFont val="Segoe UI"/>
        <family val="2"/>
      </rPr>
      <t>Subordinados</t>
    </r>
  </si>
  <si>
    <r>
      <rPr>
        <sz val="10"/>
        <rFont val="Segoe UI"/>
        <family val="2"/>
      </rPr>
      <t>No Subordinados</t>
    </r>
  </si>
  <si>
    <r>
      <rPr>
        <sz val="10"/>
        <rFont val="Segoe UI"/>
        <family val="2"/>
      </rPr>
      <t>Créditos corporativos</t>
    </r>
  </si>
  <si>
    <r>
      <rPr>
        <sz val="10"/>
        <rFont val="Segoe UI"/>
        <family val="2"/>
      </rPr>
      <t>Descuentos-Letras</t>
    </r>
  </si>
  <si>
    <r>
      <rPr>
        <sz val="10"/>
        <rFont val="Segoe UI"/>
        <family val="2"/>
      </rPr>
      <t>Descuentos-Facturas</t>
    </r>
  </si>
  <si>
    <r>
      <rPr>
        <sz val="10"/>
        <rFont val="Segoe UI"/>
        <family val="2"/>
      </rPr>
      <t>Descuentos-Otros</t>
    </r>
  </si>
  <si>
    <r>
      <rPr>
        <sz val="10"/>
        <rFont val="Segoe UI"/>
        <family val="2"/>
      </rPr>
      <t>Créditos inmobiliarios</t>
    </r>
  </si>
  <si>
    <r>
      <rPr>
        <sz val="10"/>
        <rFont val="Arial Narrow"/>
        <family val="2"/>
      </rPr>
      <t>Financiación de proyectos</t>
    </r>
  </si>
  <si>
    <r>
      <rPr>
        <sz val="10"/>
        <rFont val="Arial Narrow"/>
        <family val="2"/>
      </rPr>
      <t>Financiación de bienes</t>
    </r>
  </si>
  <si>
    <r>
      <rPr>
        <sz val="10"/>
        <rFont val="Arial Narrow"/>
        <family val="2"/>
      </rPr>
      <t>Financiación de commodities</t>
    </r>
  </si>
  <si>
    <r>
      <rPr>
        <sz val="10"/>
        <rFont val="Arial Narrow"/>
        <family val="2"/>
      </rPr>
      <t>Bienes inmuebles generadores de rentas</t>
    </r>
  </si>
  <si>
    <r>
      <rPr>
        <sz val="10"/>
        <rFont val="Arial Narrow"/>
        <family val="2"/>
      </rPr>
      <t>Bienes inmuebles comerciales de elevada volatilidad</t>
    </r>
  </si>
  <si>
    <r>
      <rPr>
        <sz val="10"/>
        <rFont val="Segoe UI"/>
        <family val="2"/>
      </rPr>
      <t>Créditos a grandes empresas</t>
    </r>
  </si>
  <si>
    <r>
      <rPr>
        <sz val="10"/>
        <rFont val="Segoe UI"/>
        <family val="2"/>
      </rPr>
      <t>Descuentos-Pagarés</t>
    </r>
  </si>
  <si>
    <r>
      <rPr>
        <sz val="10"/>
        <rFont val="Segoe UI"/>
        <family val="2"/>
      </rPr>
      <t>Créditos a medianas empresas</t>
    </r>
  </si>
  <si>
    <r>
      <rPr>
        <sz val="10"/>
        <rFont val="Segoe UI"/>
        <family val="2"/>
      </rPr>
      <t>Créditos a pequeñas empresas</t>
    </r>
  </si>
  <si>
    <r>
      <rPr>
        <sz val="10"/>
        <rFont val="Segoe UI"/>
        <family val="2"/>
      </rPr>
      <t>CRÉDITOS REESTRUCTURADOS</t>
    </r>
  </si>
  <si>
    <r>
      <rPr>
        <sz val="10"/>
        <rFont val="Arial Narrow"/>
        <family val="2"/>
      </rPr>
      <t>Créditos inmobiliarios</t>
    </r>
  </si>
  <si>
    <r>
      <rPr>
        <sz val="10"/>
        <rFont val="Segoe UI"/>
        <family val="2"/>
      </rPr>
      <t>CRÉDITOS REFINANCIADOS</t>
    </r>
  </si>
  <si>
    <r>
      <rPr>
        <sz val="10"/>
        <rFont val="Segoe UI"/>
        <family val="2"/>
      </rPr>
      <t>Préstamos del Fondo MIVIVIENDA</t>
    </r>
  </si>
  <si>
    <r>
      <rPr>
        <sz val="10"/>
        <rFont val="Segoe UI"/>
        <family val="2"/>
      </rPr>
      <t>CRÉDITOS VENCIDOS</t>
    </r>
  </si>
  <si>
    <r>
      <rPr>
        <sz val="10"/>
        <rFont val="Segoe UI"/>
        <family val="2"/>
      </rPr>
      <t>Descuentos - Otros documentos</t>
    </r>
  </si>
  <si>
    <r>
      <rPr>
        <sz val="10"/>
        <rFont val="Segoe UI"/>
        <family val="2"/>
      </rPr>
      <t>Créditos refinanciados</t>
    </r>
  </si>
  <si>
    <r>
      <rPr>
        <sz val="10"/>
        <rFont val="Segoe UI"/>
        <family val="2"/>
      </rPr>
      <t>Créditos reestructurados</t>
    </r>
  </si>
  <si>
    <r>
      <rPr>
        <sz val="10"/>
        <rFont val="Segoe UI"/>
        <family val="2"/>
      </rPr>
      <t xml:space="preserve">Préstamos que cuenten con convenio de descuento de planilla y que
</t>
    </r>
    <r>
      <rPr>
        <sz val="10"/>
        <rFont val="Segoe UI"/>
        <family val="2"/>
      </rPr>
      <t>no sean elegibles</t>
    </r>
  </si>
  <si>
    <r>
      <rPr>
        <sz val="10"/>
        <rFont val="Arial Narrow"/>
        <family val="2"/>
      </rPr>
      <t>Créditos refinanciados</t>
    </r>
  </si>
  <si>
    <r>
      <rPr>
        <sz val="10"/>
        <rFont val="Arial Narrow"/>
        <family val="2"/>
      </rPr>
      <t>Créditos reestructurados</t>
    </r>
  </si>
  <si>
    <r>
      <rPr>
        <sz val="10"/>
        <rFont val="Arial Narrow"/>
        <family val="2"/>
      </rPr>
      <t>Financiación de inmuebles generadores de rentas</t>
    </r>
  </si>
  <si>
    <r>
      <rPr>
        <sz val="10"/>
        <rFont val="Segoe UI"/>
        <family val="2"/>
      </rPr>
      <t>Otros Créditos</t>
    </r>
  </si>
  <si>
    <r>
      <rPr>
        <sz val="10"/>
        <rFont val="Segoe UI"/>
        <family val="2"/>
      </rPr>
      <t>CRÉDITOS EN COBRANZA JUDICIAL</t>
    </r>
  </si>
  <si>
    <r>
      <rPr>
        <sz val="10"/>
        <rFont val="Segoe UI"/>
        <family val="2"/>
      </rPr>
      <t>Préstamos no revolventes para automóviles</t>
    </r>
  </si>
  <si>
    <r>
      <rPr>
        <sz val="10"/>
        <rFont val="Segoe UI"/>
        <family val="2"/>
      </rPr>
      <t>Préstamos no revolventes para libre disponibilidad</t>
    </r>
  </si>
  <si>
    <r>
      <rPr>
        <sz val="10"/>
        <rFont val="Segoe UI"/>
        <family val="2"/>
      </rPr>
      <t>Préstamos no revolventes otorgados bajo convenios elegibles</t>
    </r>
  </si>
  <si>
    <r>
      <rPr>
        <sz val="10"/>
        <rFont val="Segoe UI"/>
        <family val="2"/>
      </rPr>
      <t>Préstamos no revolventes otorgados bajo convenios no elegibles</t>
    </r>
  </si>
  <si>
    <r>
      <rPr>
        <sz val="10"/>
        <rFont val="Segoe UI"/>
        <family val="2"/>
      </rPr>
      <t xml:space="preserve">Préstamos que cuenten con convenios de descuento por planilla y
</t>
    </r>
    <r>
      <rPr>
        <sz val="10"/>
        <rFont val="Segoe UI"/>
        <family val="2"/>
      </rPr>
      <t>que no sean elegibles</t>
    </r>
  </si>
  <si>
    <r>
      <rPr>
        <sz val="10"/>
        <rFont val="Segoe UI"/>
        <family val="2"/>
      </rPr>
      <t>RENDIMIENTOS DEVENGADOS DE CRÉDITOS VIGENTES</t>
    </r>
  </si>
  <si>
    <r>
      <rPr>
        <sz val="10"/>
        <rFont val="Segoe UI"/>
        <family val="2"/>
      </rPr>
      <t>Rendimientos devengados por créditos a microempresas</t>
    </r>
  </si>
  <si>
    <r>
      <rPr>
        <sz val="10"/>
        <rFont val="Segoe UI"/>
        <family val="2"/>
      </rPr>
      <t>Rendimientos devengados por créditos de consumo</t>
    </r>
  </si>
  <si>
    <r>
      <rPr>
        <sz val="10"/>
        <rFont val="Segoe UI"/>
        <family val="2"/>
      </rPr>
      <t>Rendimientos devengados por créditos hipotecarios para vivienda</t>
    </r>
  </si>
  <si>
    <r>
      <rPr>
        <sz val="10"/>
        <rFont val="Arial Narrow"/>
        <family val="2"/>
      </rPr>
      <t>Rendimientos devengados por créditos a entidades del sector público</t>
    </r>
  </si>
  <si>
    <r>
      <rPr>
        <sz val="10"/>
        <rFont val="Segoe UI"/>
        <family val="2"/>
      </rPr>
      <t>Rendimientos devengados por créditos a Coopac</t>
    </r>
  </si>
  <si>
    <r>
      <rPr>
        <sz val="10"/>
        <rFont val="Segoe UI"/>
        <family val="2"/>
      </rPr>
      <t>Rendimientos devengados por créditos corporativos</t>
    </r>
  </si>
  <si>
    <r>
      <rPr>
        <sz val="10"/>
        <rFont val="Segoe UI"/>
        <family val="2"/>
      </rPr>
      <t>Rendimientos devengados por créditos a grandes empresas</t>
    </r>
  </si>
  <si>
    <r>
      <rPr>
        <sz val="10"/>
        <rFont val="Segoe UI"/>
        <family val="2"/>
      </rPr>
      <t>Rendimientos devengados por créditos a medianas empresas</t>
    </r>
  </si>
  <si>
    <r>
      <rPr>
        <sz val="10"/>
        <rFont val="Segoe UI"/>
        <family val="2"/>
      </rPr>
      <t>Rendimientos devengados por créditos a pequeñas empresas</t>
    </r>
  </si>
  <si>
    <r>
      <rPr>
        <sz val="10"/>
        <rFont val="Segoe UI"/>
        <family val="2"/>
      </rPr>
      <t>(PROVISIONES PARA CRÉDITOS)</t>
    </r>
  </si>
  <si>
    <r>
      <rPr>
        <sz val="10"/>
        <rFont val="Segoe UI"/>
        <family val="2"/>
      </rPr>
      <t>(Provisiones para créditos a microempresas)</t>
    </r>
  </si>
  <si>
    <r>
      <rPr>
        <sz val="10"/>
        <rFont val="Segoe UI"/>
        <family val="2"/>
      </rPr>
      <t>Provisión específica</t>
    </r>
  </si>
  <si>
    <r>
      <rPr>
        <sz val="10"/>
        <rFont val="Segoe UI"/>
        <family val="2"/>
      </rPr>
      <t>Provisión genérica obligatoria</t>
    </r>
  </si>
  <si>
    <r>
      <rPr>
        <sz val="10"/>
        <rFont val="Segoe UI"/>
        <family val="2"/>
      </rPr>
      <t>Componente fijo</t>
    </r>
  </si>
  <si>
    <r>
      <rPr>
        <sz val="10"/>
        <rFont val="Segoe UI"/>
        <family val="2"/>
      </rPr>
      <t>Componente procíclico</t>
    </r>
  </si>
  <si>
    <r>
      <rPr>
        <sz val="10"/>
        <rFont val="Segoe UI"/>
        <family val="2"/>
      </rPr>
      <t xml:space="preserve">Provisión para valuación - Operaciones refinanciadas y
</t>
    </r>
    <r>
      <rPr>
        <sz val="10"/>
        <rFont val="Segoe UI"/>
        <family val="2"/>
      </rPr>
      <t>reestructuradas</t>
    </r>
  </si>
  <si>
    <r>
      <rPr>
        <sz val="10"/>
        <rFont val="Segoe UI"/>
        <family val="2"/>
      </rPr>
      <t>(Provisiones para créditos de consumo)</t>
    </r>
  </si>
  <si>
    <r>
      <rPr>
        <sz val="10"/>
        <rFont val="Segoe UI"/>
        <family val="2"/>
      </rPr>
      <t>(Provisiones para créditos hipotecarios para vivienda)</t>
    </r>
  </si>
  <si>
    <r>
      <rPr>
        <sz val="10"/>
        <rFont val="Arial Narrow"/>
        <family val="2"/>
      </rPr>
      <t>(Provisiones para créditos a entidades del sector público)</t>
    </r>
  </si>
  <si>
    <r>
      <rPr>
        <sz val="10"/>
        <rFont val="Arial Narrow"/>
        <family val="2"/>
      </rPr>
      <t>Provisión específica</t>
    </r>
  </si>
  <si>
    <r>
      <rPr>
        <sz val="10"/>
        <rFont val="Arial Narrow"/>
        <family val="2"/>
      </rPr>
      <t>Provisión genérica obligatoria</t>
    </r>
  </si>
  <si>
    <r>
      <rPr>
        <sz val="10"/>
        <rFont val="Arial Narrow"/>
        <family val="2"/>
      </rPr>
      <t>Componente fijo</t>
    </r>
  </si>
  <si>
    <r>
      <rPr>
        <sz val="10"/>
        <rFont val="Arial Narrow"/>
        <family val="2"/>
      </rPr>
      <t>Componente procíclico</t>
    </r>
  </si>
  <si>
    <r>
      <rPr>
        <sz val="10"/>
        <rFont val="Arial Narrow"/>
        <family val="2"/>
      </rPr>
      <t>Provisión para valuación-Operaciones refinanciadas y reestructuradas</t>
    </r>
  </si>
  <si>
    <r>
      <rPr>
        <sz val="10"/>
        <rFont val="Segoe UI"/>
        <family val="2"/>
      </rPr>
      <t>(Provisiones para créditos a Coopac)</t>
    </r>
  </si>
  <si>
    <r>
      <rPr>
        <sz val="10"/>
        <rFont val="Segoe UI"/>
        <family val="2"/>
      </rPr>
      <t>(Provisiones para créditos corporativos)</t>
    </r>
  </si>
  <si>
    <r>
      <rPr>
        <sz val="10"/>
        <rFont val="Segoe UI"/>
        <family val="2"/>
      </rPr>
      <t>(Provisiones para créditos a grandes empresas)</t>
    </r>
  </si>
  <si>
    <r>
      <rPr>
        <sz val="10"/>
        <rFont val="Segoe UI"/>
        <family val="2"/>
      </rPr>
      <t>(Provisiones para créditos a medianas empresas)</t>
    </r>
  </si>
  <si>
    <r>
      <rPr>
        <sz val="10"/>
        <rFont val="Segoe UI"/>
        <family val="2"/>
      </rPr>
      <t>(Provisiones para créditos a pequeñas empresas)</t>
    </r>
  </si>
  <si>
    <r>
      <rPr>
        <sz val="10"/>
        <rFont val="Segoe UI"/>
        <family val="2"/>
      </rPr>
      <t>CUENTAS POR COBRAR</t>
    </r>
  </si>
  <si>
    <r>
      <rPr>
        <sz val="10"/>
        <rFont val="Arial Narrow"/>
        <family val="2"/>
      </rPr>
      <t>PRODUCTOS FINANCIEROS DERIVADOS PARA NEGOCIACIÓN</t>
    </r>
  </si>
  <si>
    <r>
      <rPr>
        <sz val="10"/>
        <rFont val="Arial Narrow"/>
        <family val="2"/>
      </rPr>
      <t>Derivados de moneda extranjera</t>
    </r>
  </si>
  <si>
    <r>
      <rPr>
        <sz val="10"/>
        <rFont val="Arial Narrow"/>
        <family val="2"/>
      </rPr>
      <t>Derivados de tasa de interés</t>
    </r>
  </si>
  <si>
    <r>
      <rPr>
        <sz val="10"/>
        <rFont val="Arial Narrow"/>
        <family val="2"/>
      </rPr>
      <t>Derivados de instrumentos representativos de capital, deuda y commodities</t>
    </r>
  </si>
  <si>
    <r>
      <rPr>
        <sz val="10"/>
        <rFont val="Arial Narrow"/>
        <family val="2"/>
      </rPr>
      <t>Derivados de crédito</t>
    </r>
  </si>
  <si>
    <r>
      <rPr>
        <sz val="10"/>
        <rFont val="Arial Narrow"/>
        <family val="2"/>
      </rPr>
      <t>Otros productos financieros derivados</t>
    </r>
  </si>
  <si>
    <r>
      <rPr>
        <sz val="10"/>
        <rFont val="Segoe UI"/>
        <family val="2"/>
      </rPr>
      <t>PRODUCTOS FINANCIEROS DERIVADOS CON FINES DE COBERTURA</t>
    </r>
  </si>
  <si>
    <r>
      <rPr>
        <sz val="10"/>
        <rFont val="Segoe UI"/>
        <family val="2"/>
      </rPr>
      <t>Coberturas de Valor Razonable</t>
    </r>
  </si>
  <si>
    <r>
      <rPr>
        <sz val="10"/>
        <rFont val="Segoe UI"/>
        <family val="2"/>
      </rPr>
      <t>Derivados de moneda extranjera</t>
    </r>
  </si>
  <si>
    <r>
      <rPr>
        <sz val="10"/>
        <rFont val="Segoe UI"/>
        <family val="2"/>
      </rPr>
      <t>Coberturas de Flujos de Efectivo</t>
    </r>
  </si>
  <si>
    <r>
      <rPr>
        <sz val="10"/>
        <rFont val="Segoe UI"/>
        <family val="2"/>
      </rPr>
      <t xml:space="preserve">CUENTAS POR COBRAR POR VENTA DE BIENES Y SERVICIOS Y
</t>
    </r>
    <r>
      <rPr>
        <sz val="10"/>
        <rFont val="Segoe UI"/>
        <family val="2"/>
      </rPr>
      <t>FIDEICOMISO</t>
    </r>
  </si>
  <si>
    <r>
      <rPr>
        <sz val="10"/>
        <rFont val="Segoe UI"/>
        <family val="2"/>
      </rPr>
      <t>Cuentas por cobrar por venta de bienes</t>
    </r>
  </si>
  <si>
    <r>
      <rPr>
        <sz val="10"/>
        <rFont val="Segoe UI"/>
        <family val="2"/>
      </rPr>
      <t>Cuentas por cobrar por venta de servicios</t>
    </r>
  </si>
  <si>
    <r>
      <rPr>
        <sz val="10"/>
        <rFont val="Segoe UI"/>
        <family val="2"/>
      </rPr>
      <t>Cuentas por cobrar por alquiler de bienes</t>
    </r>
  </si>
  <si>
    <r>
      <rPr>
        <sz val="10"/>
        <rFont val="Arial Narrow"/>
        <family val="2"/>
      </rPr>
      <t>Cuentas por cobrar por Fideicomiso</t>
    </r>
  </si>
  <si>
    <r>
      <rPr>
        <sz val="10"/>
        <rFont val="Segoe UI"/>
        <family val="2"/>
      </rPr>
      <t>Recursos transferidos al patrimonio autónomo de seguro de crédito</t>
    </r>
  </si>
  <si>
    <r>
      <rPr>
        <sz val="10"/>
        <rFont val="Arial Narrow"/>
        <family val="2"/>
      </rPr>
      <t>Otras</t>
    </r>
  </si>
  <si>
    <r>
      <rPr>
        <sz val="10"/>
        <rFont val="Segoe UI"/>
        <family val="2"/>
      </rPr>
      <t xml:space="preserve">CUENTAS POR COBRAR POR PAGOS EFECTUADOS POR CUENTA DE
</t>
    </r>
    <r>
      <rPr>
        <sz val="10"/>
        <rFont val="Segoe UI"/>
        <family val="2"/>
      </rPr>
      <t>TERCEROS</t>
    </r>
  </si>
  <si>
    <r>
      <rPr>
        <sz val="10"/>
        <rFont val="Segoe UI"/>
        <family val="2"/>
      </rPr>
      <t>Seguros pagados por cuenta de terceros</t>
    </r>
  </si>
  <si>
    <r>
      <rPr>
        <sz val="10"/>
        <rFont val="Segoe UI"/>
        <family val="2"/>
      </rPr>
      <t>Seguros de incendio, terremoto y líneas aliadas</t>
    </r>
  </si>
  <si>
    <r>
      <rPr>
        <sz val="10"/>
        <rFont val="Segoe UI"/>
        <family val="2"/>
      </rPr>
      <t>Seguros de vida</t>
    </r>
  </si>
  <si>
    <r>
      <rPr>
        <sz val="10"/>
        <rFont val="Segoe UI"/>
        <family val="2"/>
      </rPr>
      <t>Impuestos pagados por cuenta de terceros</t>
    </r>
  </si>
  <si>
    <r>
      <rPr>
        <sz val="10"/>
        <rFont val="Segoe UI"/>
        <family val="2"/>
      </rPr>
      <t>Otras cuentas pagadas por cuenta de terceros</t>
    </r>
  </si>
  <si>
    <r>
      <rPr>
        <sz val="10"/>
        <rFont val="Segoe UI"/>
        <family val="2"/>
      </rPr>
      <t>COMISIONES POR COBRAR</t>
    </r>
  </si>
  <si>
    <r>
      <rPr>
        <sz val="10"/>
        <rFont val="Segoe UI"/>
        <family val="2"/>
      </rPr>
      <t>Comisiones por cobrar por garantías otorgadas</t>
    </r>
  </si>
  <si>
    <r>
      <rPr>
        <sz val="10"/>
        <rFont val="Segoe UI"/>
        <family val="2"/>
      </rPr>
      <t>Comisiones por cobrar por líneas de crédito</t>
    </r>
  </si>
  <si>
    <r>
      <rPr>
        <sz val="10"/>
        <rFont val="Segoe UI"/>
        <family val="2"/>
      </rPr>
      <t>Comisiones por cobrar por servicios de custodia</t>
    </r>
  </si>
  <si>
    <r>
      <rPr>
        <sz val="10"/>
        <rFont val="Segoe UI"/>
        <family val="2"/>
      </rPr>
      <t>Comisiones por cobrar por servicios de cobranza</t>
    </r>
  </si>
  <si>
    <r>
      <rPr>
        <sz val="10"/>
        <rFont val="Segoe UI"/>
        <family val="2"/>
      </rPr>
      <t>Comisiones por cobrar por servicios de alquiler de cajas de seguridad</t>
    </r>
  </si>
  <si>
    <r>
      <rPr>
        <sz val="10"/>
        <rFont val="Arial Narrow"/>
        <family val="2"/>
      </rPr>
      <t>Comisiones por cobrar por operaciones de fideicomiso</t>
    </r>
  </si>
  <si>
    <r>
      <rPr>
        <sz val="10"/>
        <rFont val="Segoe UI"/>
        <family val="2"/>
      </rPr>
      <t>Otras comisiones por cobrar</t>
    </r>
  </si>
  <si>
    <r>
      <rPr>
        <sz val="10"/>
        <rFont val="Segoe UI"/>
        <family val="2"/>
      </rPr>
      <t>CUENTAS POR COBRAR DIVERSAS</t>
    </r>
  </si>
  <si>
    <r>
      <rPr>
        <sz val="10"/>
        <rFont val="Segoe UI"/>
        <family val="2"/>
      </rPr>
      <t>Reclamos a terceros</t>
    </r>
  </si>
  <si>
    <r>
      <rPr>
        <sz val="10"/>
        <rFont val="Segoe UI"/>
        <family val="2"/>
      </rPr>
      <t>Adelantos al personal</t>
    </r>
  </si>
  <si>
    <r>
      <rPr>
        <sz val="10"/>
        <rFont val="Segoe UI"/>
        <family val="2"/>
      </rPr>
      <t>Indemnizaciones reclamadas por siniestros</t>
    </r>
  </si>
  <si>
    <r>
      <rPr>
        <sz val="10"/>
        <rFont val="Segoe UI"/>
        <family val="2"/>
      </rPr>
      <t>Derecho de cobro de conceptos complementarios contemplados en la cuota de arrendamiento financiero o capitalización inmobiliaria</t>
    </r>
  </si>
  <si>
    <r>
      <rPr>
        <sz val="10"/>
        <rFont val="Segoe UI"/>
        <family val="2"/>
      </rPr>
      <t>Cuentas por cobrar por operaciones de reporte</t>
    </r>
  </si>
  <si>
    <r>
      <rPr>
        <sz val="10"/>
        <rFont val="Segoe UI"/>
        <family val="2"/>
      </rPr>
      <t>Operaciones de venta con compromiso de recompra</t>
    </r>
  </si>
  <si>
    <r>
      <rPr>
        <sz val="10"/>
        <rFont val="Segoe UI"/>
        <family val="2"/>
      </rPr>
      <t>Operaciones de venta y compra simultáneas de valores</t>
    </r>
  </si>
  <si>
    <r>
      <rPr>
        <sz val="10"/>
        <rFont val="Segoe UI"/>
        <family val="2"/>
      </rPr>
      <t>Operaciones de transferencia temporal de valores</t>
    </r>
  </si>
  <si>
    <r>
      <rPr>
        <sz val="10"/>
        <rFont val="Segoe UI"/>
        <family val="2"/>
      </rPr>
      <t>Otras</t>
    </r>
  </si>
  <si>
    <r>
      <rPr>
        <sz val="10"/>
        <rFont val="Segoe UI"/>
        <family val="2"/>
      </rPr>
      <t>RENDIMIENTOS DEVENGADOS DE CUENTAS POR COBRAR</t>
    </r>
  </si>
  <si>
    <r>
      <rPr>
        <sz val="10"/>
        <rFont val="Segoe UI"/>
        <family val="2"/>
      </rPr>
      <t xml:space="preserve">Rendimientos devengados de cuentas por cobrar por venta de
</t>
    </r>
    <r>
      <rPr>
        <sz val="10"/>
        <rFont val="Segoe UI"/>
        <family val="2"/>
      </rPr>
      <t>bienes y servicios y fideicomisos</t>
    </r>
  </si>
  <si>
    <r>
      <rPr>
        <sz val="10"/>
        <rFont val="Segoe UI"/>
        <family val="2"/>
      </rPr>
      <t xml:space="preserve">Rendimientos devengados de cuentas por cobrar de pagos
</t>
    </r>
    <r>
      <rPr>
        <sz val="10"/>
        <rFont val="Segoe UI"/>
        <family val="2"/>
      </rPr>
      <t>efectuados por cuenta de terceros</t>
    </r>
  </si>
  <si>
    <r>
      <rPr>
        <sz val="10"/>
        <rFont val="Segoe UI"/>
        <family val="2"/>
      </rPr>
      <t>Rendimientos devengados de cuentas por cobrar diversas</t>
    </r>
  </si>
  <si>
    <r>
      <rPr>
        <sz val="10"/>
        <rFont val="Segoe UI"/>
        <family val="2"/>
      </rPr>
      <t xml:space="preserve">Rendimientos devengados de cuentas por cobrar por operaciones de
</t>
    </r>
    <r>
      <rPr>
        <sz val="10"/>
        <rFont val="Segoe UI"/>
        <family val="2"/>
      </rPr>
      <t>reporte</t>
    </r>
  </si>
  <si>
    <r>
      <rPr>
        <sz val="10"/>
        <rFont val="Segoe UI"/>
        <family val="2"/>
      </rPr>
      <t>Rendimientos devengados de otras cuentas por cobrar diversas</t>
    </r>
  </si>
  <si>
    <r>
      <rPr>
        <sz val="10"/>
        <rFont val="Segoe UI"/>
        <family val="2"/>
      </rPr>
      <t>(PROVISIONES PARA CUENTAS POR COBRAR)</t>
    </r>
  </si>
  <si>
    <r>
      <rPr>
        <sz val="10"/>
        <rFont val="Segoe UI"/>
        <family val="2"/>
      </rPr>
      <t xml:space="preserve">(Provisión para deudores por cuentas por cobrar de venta de bienes
</t>
    </r>
    <r>
      <rPr>
        <sz val="10"/>
        <rFont val="Segoe UI"/>
        <family val="2"/>
      </rPr>
      <t>y servicios y fideicomisos)</t>
    </r>
  </si>
  <si>
    <r>
      <rPr>
        <sz val="10"/>
        <rFont val="Segoe UI"/>
        <family val="2"/>
      </rPr>
      <t xml:space="preserve">(Provisiones para deudores por cuentas por cobrar de pagos por
</t>
    </r>
    <r>
      <rPr>
        <sz val="10"/>
        <rFont val="Segoe UI"/>
        <family val="2"/>
      </rPr>
      <t>cuenta de terceros)</t>
    </r>
  </si>
  <si>
    <r>
      <rPr>
        <sz val="10"/>
        <rFont val="Segoe UI"/>
        <family val="2"/>
      </rPr>
      <t>(Provisión para cuentas por cobrar diversas)</t>
    </r>
  </si>
  <si>
    <r>
      <rPr>
        <sz val="10"/>
        <rFont val="Segoe UI"/>
        <family val="2"/>
      </rPr>
      <t>(Provisión para cuentas por cobrar diversas – reclamos a terceros)</t>
    </r>
  </si>
  <si>
    <r>
      <rPr>
        <sz val="10"/>
        <rFont val="Segoe UI"/>
        <family val="2"/>
      </rPr>
      <t>(Provisión para cuentas por cobrar diversas – adelantos al personal)</t>
    </r>
  </si>
  <si>
    <r>
      <rPr>
        <sz val="10"/>
        <rFont val="Segoe UI"/>
        <family val="2"/>
      </rPr>
      <t xml:space="preserve">(Provisión para cuentas por cobrar diversas – indemnizaciones
</t>
    </r>
    <r>
      <rPr>
        <sz val="10"/>
        <rFont val="Segoe UI"/>
        <family val="2"/>
      </rPr>
      <t>reclamadas por siniestros)</t>
    </r>
  </si>
  <si>
    <r>
      <rPr>
        <sz val="10"/>
        <rFont val="Segoe UI"/>
        <family val="2"/>
      </rPr>
      <t xml:space="preserve">(Provisión para cuentas por cobrar diversas – operaciones de
</t>
    </r>
    <r>
      <rPr>
        <sz val="10"/>
        <rFont val="Segoe UI"/>
        <family val="2"/>
      </rPr>
      <t>reporte)</t>
    </r>
  </si>
  <si>
    <r>
      <rPr>
        <sz val="10"/>
        <rFont val="Segoe UI"/>
        <family val="2"/>
      </rPr>
      <t>(Provisión para cuentas por cobrar diversas – otras)</t>
    </r>
  </si>
  <si>
    <r>
      <rPr>
        <sz val="10"/>
        <rFont val="Segoe UI"/>
        <family val="2"/>
      </rPr>
      <t xml:space="preserve">BIENES REALIZABLES, RECIBIDOS EN PAGO Y ADJUDICADOS Y
</t>
    </r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</si>
  <si>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BIENES REALIZABLES</t>
    </r>
  </si>
  <si>
    <r>
      <rPr>
        <sz val="10"/>
        <rFont val="Segoe UI"/>
        <family val="2"/>
      </rPr>
      <t>Bienes para arrendamiento financiero</t>
    </r>
  </si>
  <si>
    <r>
      <rPr>
        <sz val="10"/>
        <rFont val="Segoe UI"/>
        <family val="2"/>
      </rPr>
      <t>Bienes para colocación</t>
    </r>
  </si>
  <si>
    <r>
      <rPr>
        <sz val="10"/>
        <rFont val="Segoe UI"/>
        <family val="2"/>
      </rPr>
      <t>Bienes recuperados</t>
    </r>
  </si>
  <si>
    <r>
      <rPr>
        <sz val="10"/>
        <rFont val="Segoe UI"/>
        <family val="2"/>
      </rPr>
      <t>Bienes para capitalización inmobiliaria</t>
    </r>
  </si>
  <si>
    <r>
      <rPr>
        <sz val="10"/>
        <rFont val="Segoe UI"/>
        <family val="2"/>
      </rPr>
      <t>Bienes restituidos</t>
    </r>
  </si>
  <si>
    <r>
      <rPr>
        <sz val="10"/>
        <rFont val="Segoe UI"/>
        <family val="2"/>
      </rPr>
      <t>Otros bienes realizables</t>
    </r>
  </si>
  <si>
    <r>
      <rPr>
        <sz val="10"/>
        <rFont val="Segoe UI"/>
        <family val="2"/>
      </rPr>
      <t>BIENES RECIBIDOS EN PAGO Y ADJUDICADOS</t>
    </r>
  </si>
  <si>
    <r>
      <rPr>
        <sz val="10"/>
        <rFont val="Segoe UI"/>
        <family val="2"/>
      </rPr>
      <t>Valores, títulos y metales preciosos recibidos en pago y adjudicados</t>
    </r>
  </si>
  <si>
    <r>
      <rPr>
        <sz val="10"/>
        <rFont val="Segoe UI"/>
        <family val="2"/>
      </rPr>
      <t>Valores y títulos</t>
    </r>
  </si>
  <si>
    <r>
      <rPr>
        <sz val="10"/>
        <rFont val="Segoe UI"/>
        <family val="2"/>
      </rPr>
      <t>Joyas y metales preciosos</t>
    </r>
  </si>
  <si>
    <r>
      <rPr>
        <sz val="10"/>
        <rFont val="Segoe UI"/>
        <family val="2"/>
      </rPr>
      <t>Productos y mercaderías recibidos en pago y adjudicados</t>
    </r>
  </si>
  <si>
    <r>
      <rPr>
        <sz val="10"/>
        <rFont val="Segoe UI"/>
        <family val="2"/>
      </rPr>
      <t>Agrícolas</t>
    </r>
  </si>
  <si>
    <r>
      <rPr>
        <sz val="10"/>
        <rFont val="Segoe UI"/>
        <family val="2"/>
      </rPr>
      <t>Mineros</t>
    </r>
  </si>
  <si>
    <r>
      <rPr>
        <sz val="10"/>
        <rFont val="Segoe UI"/>
        <family val="2"/>
      </rPr>
      <t>Inmuebles recibidos en pago y adjudicados</t>
    </r>
  </si>
  <si>
    <r>
      <rPr>
        <sz val="10"/>
        <rFont val="Segoe UI"/>
        <family val="2"/>
      </rPr>
      <t>Terrenos</t>
    </r>
  </si>
  <si>
    <r>
      <rPr>
        <sz val="10"/>
        <rFont val="Segoe UI"/>
        <family val="2"/>
      </rPr>
      <t>Edificios y otras construcciones</t>
    </r>
  </si>
  <si>
    <r>
      <rPr>
        <sz val="10"/>
        <rFont val="Segoe UI"/>
        <family val="2"/>
      </rPr>
      <t>Mobiliario y equipo recibidos en pago y adjudicados</t>
    </r>
  </si>
  <si>
    <r>
      <rPr>
        <sz val="10"/>
        <rFont val="Segoe UI"/>
        <family val="2"/>
      </rPr>
      <t>Mobiliario</t>
    </r>
  </si>
  <si>
    <r>
      <rPr>
        <sz val="10"/>
        <rFont val="Segoe UI"/>
        <family val="2"/>
      </rPr>
      <t>Equipo</t>
    </r>
  </si>
  <si>
    <r>
      <rPr>
        <sz val="10"/>
        <rFont val="Segoe UI"/>
        <family val="2"/>
      </rPr>
      <t xml:space="preserve">Maquinarias y unidades de transporte recibidas en pago y
</t>
    </r>
    <r>
      <rPr>
        <sz val="10"/>
        <rFont val="Segoe UI"/>
        <family val="2"/>
      </rPr>
      <t>adjudicadas</t>
    </r>
  </si>
  <si>
    <r>
      <rPr>
        <sz val="10"/>
        <rFont val="Segoe UI"/>
        <family val="2"/>
      </rPr>
      <t>Maquinarias</t>
    </r>
  </si>
  <si>
    <r>
      <rPr>
        <sz val="10"/>
        <rFont val="Segoe UI"/>
        <family val="2"/>
      </rPr>
      <t>Unidades de transporte</t>
    </r>
  </si>
  <si>
    <r>
      <rPr>
        <sz val="10"/>
        <rFont val="Arial Narrow"/>
        <family val="2"/>
      </rPr>
      <t>Derechos de fideicomisario recibidos en pago y adjudicados</t>
    </r>
  </si>
  <si>
    <r>
      <rPr>
        <sz val="10"/>
        <rFont val="Segoe UI"/>
        <family val="2"/>
      </rPr>
      <t>Otros bienes recibidos en pago y adjudicados</t>
    </r>
  </si>
  <si>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</si>
  <si>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Inmuebles</t>
    </r>
  </si>
  <si>
    <r>
      <rPr>
        <sz val="10"/>
        <rFont val="Segoe UI"/>
        <family val="2"/>
      </rPr>
      <t>Mobiliario y equipo</t>
    </r>
  </si>
  <si>
    <r>
      <rPr>
        <sz val="10"/>
        <rFont val="Segoe UI"/>
        <family val="2"/>
      </rPr>
      <t>Equipos de transporte y maquinarias</t>
    </r>
  </si>
  <si>
    <r>
      <rPr>
        <sz val="10"/>
        <rFont val="Segoe UI"/>
        <family val="2"/>
      </rPr>
      <t>Otros bienes</t>
    </r>
  </si>
  <si>
    <r>
      <rPr>
        <sz val="10"/>
        <rFont val="Segoe UI"/>
        <family val="2"/>
      </rPr>
      <t xml:space="preserve">(PROVISIONES PARA BIENES REALIZABLES, RECIBIDOS EN PAGO Y
</t>
    </r>
    <r>
      <rPr>
        <sz val="10"/>
        <rFont val="Segoe UI"/>
        <family val="2"/>
      </rPr>
      <t>ADJUDICADOS Y ACTIVOS NO CORRIENTES MANTENIDOS PARA LA VENTA)</t>
    </r>
  </si>
  <si>
    <r>
      <rPr>
        <sz val="10"/>
        <rFont val="Segoe UI"/>
        <family val="2"/>
      </rPr>
      <t>(Provisión para bienes realizables)</t>
    </r>
  </si>
  <si>
    <r>
      <rPr>
        <sz val="10"/>
        <rFont val="Segoe UI"/>
        <family val="2"/>
      </rPr>
      <t>(Provisión para bienes recibidos en pago y adjudicados)</t>
    </r>
  </si>
  <si>
    <r>
      <rPr>
        <sz val="10"/>
        <rFont val="Segoe UI"/>
        <family val="2"/>
      </rPr>
      <t>(Provisión para activos no corrientes mantenidos para la venta)</t>
    </r>
  </si>
  <si>
    <r>
      <rPr>
        <sz val="10"/>
        <rFont val="Segoe UI"/>
        <family val="2"/>
      </rPr>
      <t>INVERSIONES EN SUBSIDIARIAS Y ASOCIADAS</t>
    </r>
  </si>
  <si>
    <r>
      <rPr>
        <sz val="10"/>
        <rFont val="Segoe UI"/>
        <family val="2"/>
      </rPr>
      <t>INVERSIONES EN SUBSIDIARIAS Y ASOCIADAS - Pais</t>
    </r>
  </si>
  <si>
    <r>
      <rPr>
        <sz val="10"/>
        <rFont val="Segoe UI"/>
        <family val="2"/>
      </rPr>
      <t>Subsidiarias</t>
    </r>
  </si>
  <si>
    <r>
      <rPr>
        <sz val="10"/>
        <rFont val="Segoe UI"/>
        <family val="2"/>
      </rPr>
      <t>Asociadas</t>
    </r>
  </si>
  <si>
    <r>
      <rPr>
        <sz val="10"/>
        <rFont val="Segoe UI"/>
        <family val="2"/>
      </rPr>
      <t>INVERSIONES EN SUBSIDIARIAS Y ASOCIADAS - Exterior</t>
    </r>
  </si>
  <si>
    <r>
      <rPr>
        <sz val="10"/>
        <rFont val="Segoe UI"/>
        <family val="2"/>
      </rPr>
      <t>INMUEBLES, MOBILIARIO Y EQUIPO</t>
    </r>
  </si>
  <si>
    <r>
      <rPr>
        <sz val="10"/>
        <rFont val="Segoe UI"/>
        <family val="2"/>
      </rPr>
      <t>TERRENOS</t>
    </r>
  </si>
  <si>
    <r>
      <rPr>
        <sz val="10"/>
        <rFont val="Segoe UI"/>
        <family val="2"/>
      </rPr>
      <t>EDIFICIOS E INSTALACIONES</t>
    </r>
  </si>
  <si>
    <r>
      <rPr>
        <sz val="10"/>
        <rFont val="Segoe UI"/>
        <family val="2"/>
      </rPr>
      <t>Edificios</t>
    </r>
  </si>
  <si>
    <r>
      <rPr>
        <sz val="10"/>
        <rFont val="Segoe UI"/>
        <family val="2"/>
      </rPr>
      <t>Instalaciones</t>
    </r>
  </si>
  <si>
    <r>
      <rPr>
        <sz val="10"/>
        <rFont val="Segoe UI"/>
        <family val="2"/>
      </rPr>
      <t>MOBILIARIO Y EQUIPO</t>
    </r>
  </si>
  <si>
    <r>
      <rPr>
        <sz val="10"/>
        <rFont val="Segoe UI"/>
        <family val="2"/>
      </rPr>
      <t>Equipos de computación</t>
    </r>
  </si>
  <si>
    <r>
      <rPr>
        <sz val="10"/>
        <rFont val="Segoe UI"/>
        <family val="2"/>
      </rPr>
      <t>Otros bienes y equipos de oficina</t>
    </r>
  </si>
  <si>
    <r>
      <rPr>
        <sz val="10"/>
        <rFont val="Segoe UI"/>
        <family val="2"/>
      </rPr>
      <t>EQUIPOS DE TRANSPORTE Y MAQUINARIAS</t>
    </r>
  </si>
  <si>
    <r>
      <rPr>
        <sz val="10"/>
        <rFont val="Segoe UI"/>
        <family val="2"/>
      </rPr>
      <t>Vehículos</t>
    </r>
  </si>
  <si>
    <r>
      <rPr>
        <sz val="10"/>
        <rFont val="Segoe UI"/>
        <family val="2"/>
      </rPr>
      <t>BIENES RECIBIDOS EN ARRENDAMIENTO FINANCIERO</t>
    </r>
  </si>
  <si>
    <r>
      <rPr>
        <sz val="10"/>
        <rFont val="Segoe UI"/>
        <family val="2"/>
      </rPr>
      <t>Inmuebles recibidos en arrendamiento financiero</t>
    </r>
  </si>
  <si>
    <r>
      <rPr>
        <sz val="10"/>
        <rFont val="Segoe UI"/>
        <family val="2"/>
      </rPr>
      <t>Mobiliario y equipo de oficina recibidos en arrendamiento financiero</t>
    </r>
  </si>
  <si>
    <r>
      <rPr>
        <sz val="10"/>
        <rFont val="Segoe UI"/>
        <family val="2"/>
      </rPr>
      <t xml:space="preserve">Equipos de transporte y maquinarias recibidos en arrendamiento
</t>
    </r>
    <r>
      <rPr>
        <sz val="10"/>
        <rFont val="Segoe UI"/>
        <family val="2"/>
      </rPr>
      <t>financiero</t>
    </r>
  </si>
  <si>
    <r>
      <rPr>
        <sz val="10"/>
        <rFont val="Segoe UI"/>
        <family val="2"/>
      </rPr>
      <t>Otros bienes recibidos en arrendamiento financiero</t>
    </r>
  </si>
  <si>
    <r>
      <rPr>
        <sz val="10"/>
        <rFont val="Segoe UI"/>
        <family val="2"/>
      </rPr>
      <t>OBRAS EN EJECUCIÓN Y BIENES POR RECIBIR</t>
    </r>
  </si>
  <si>
    <r>
      <rPr>
        <sz val="10"/>
        <rFont val="Segoe UI"/>
        <family val="2"/>
      </rPr>
      <t>Obras en ejecución</t>
    </r>
  </si>
  <si>
    <r>
      <rPr>
        <sz val="10"/>
        <rFont val="Segoe UI"/>
        <family val="2"/>
      </rPr>
      <t>Obras ejecutadas por la propia empresa</t>
    </r>
  </si>
  <si>
    <r>
      <rPr>
        <sz val="10"/>
        <rFont val="Segoe UI"/>
        <family val="2"/>
      </rPr>
      <t>Obras sujetas a contratos de capitalización inmobiliaria</t>
    </r>
  </si>
  <si>
    <r>
      <rPr>
        <sz val="10"/>
        <rFont val="Segoe UI"/>
        <family val="2"/>
      </rPr>
      <t>Obras no sujetas a contratos de capitalización inmobiliaria</t>
    </r>
  </si>
  <si>
    <r>
      <rPr>
        <sz val="10"/>
        <rFont val="Segoe UI"/>
        <family val="2"/>
      </rPr>
      <t>Obras ejecutadas por terceros</t>
    </r>
  </si>
  <si>
    <r>
      <rPr>
        <sz val="10"/>
        <rFont val="Segoe UI"/>
        <family val="2"/>
      </rPr>
      <t>Bienes por recibir</t>
    </r>
  </si>
  <si>
    <r>
      <rPr>
        <sz val="10"/>
        <rFont val="Segoe UI"/>
        <family val="2"/>
      </rPr>
      <t>INSTALACIONES EN BIENES ALQUILADOS</t>
    </r>
  </si>
  <si>
    <r>
      <rPr>
        <sz val="10"/>
        <rFont val="Segoe UI"/>
        <family val="2"/>
      </rPr>
      <t>Instalaciones en bienes alquilados</t>
    </r>
  </si>
  <si>
    <r>
      <rPr>
        <sz val="10"/>
        <rFont val="Segoe UI"/>
        <family val="2"/>
      </rPr>
      <t xml:space="preserve">(DEPRECIACIÓN Y DETERIORO ACUMULADO DE INMUEBLES,
</t>
    </r>
    <r>
      <rPr>
        <sz val="10"/>
        <rFont val="Segoe UI"/>
        <family val="2"/>
      </rPr>
      <t>MOBILIARIO Y EQUIPO)</t>
    </r>
  </si>
  <si>
    <r>
      <rPr>
        <sz val="10"/>
        <rFont val="Segoe UI"/>
        <family val="2"/>
      </rPr>
      <t>(Depreciación acumulada de edificios e instalaciones)</t>
    </r>
  </si>
  <si>
    <r>
      <rPr>
        <sz val="10"/>
        <rFont val="Segoe UI"/>
        <family val="2"/>
      </rPr>
      <t>(Depreciación acumulada de mobiliario y equipo)</t>
    </r>
  </si>
  <si>
    <r>
      <rPr>
        <sz val="10"/>
        <rFont val="Segoe UI"/>
        <family val="2"/>
      </rPr>
      <t>(Depreciación acumulada de equipos de transporte y maquinarias)</t>
    </r>
  </si>
  <si>
    <r>
      <rPr>
        <sz val="10"/>
        <rFont val="Segoe UI"/>
        <family val="2"/>
      </rPr>
      <t xml:space="preserve">(Depreciación acumulada de bienes recibidos en arrendamiento
</t>
    </r>
    <r>
      <rPr>
        <sz val="10"/>
        <rFont val="Segoe UI"/>
        <family val="2"/>
      </rPr>
      <t>financiero)</t>
    </r>
  </si>
  <si>
    <r>
      <rPr>
        <sz val="10"/>
        <rFont val="Segoe UI"/>
        <family val="2"/>
      </rPr>
      <t>(Amortización acumulada de instalaciones en bienes alquilados)</t>
    </r>
  </si>
  <si>
    <r>
      <rPr>
        <sz val="10"/>
        <rFont val="Segoe UI"/>
        <family val="2"/>
      </rPr>
      <t>(Deterioro acumulado de Inmuebles, Mobiliario y Equipo</t>
    </r>
  </si>
  <si>
    <r>
      <rPr>
        <sz val="10"/>
        <rFont val="Segoe UI"/>
        <family val="2"/>
      </rPr>
      <t>(Deterioro acumulado de terrenos)</t>
    </r>
  </si>
  <si>
    <r>
      <rPr>
        <sz val="10"/>
        <rFont val="Segoe UI"/>
        <family val="2"/>
      </rPr>
      <t>(Deterioro acumulado de edificios e instalaciones)</t>
    </r>
  </si>
  <si>
    <r>
      <rPr>
        <sz val="10"/>
        <rFont val="Segoe UI"/>
        <family val="2"/>
      </rPr>
      <t>(Deterioro acumulado de mobiliario y equipo)</t>
    </r>
  </si>
  <si>
    <r>
      <rPr>
        <sz val="10"/>
        <rFont val="Segoe UI"/>
        <family val="2"/>
      </rPr>
      <t>(Deterioro acumulado de equipos de transporte y maquinarias)</t>
    </r>
  </si>
  <si>
    <r>
      <rPr>
        <sz val="10"/>
        <rFont val="Segoe UI"/>
        <family val="2"/>
      </rPr>
      <t xml:space="preserve">(Deterioro acumulado de bienes recibidos en arrendamiento
</t>
    </r>
    <r>
      <rPr>
        <sz val="10"/>
        <rFont val="Segoe UI"/>
        <family val="2"/>
      </rPr>
      <t>financiero)</t>
    </r>
  </si>
  <si>
    <r>
      <rPr>
        <sz val="10"/>
        <rFont val="Segoe UI"/>
        <family val="2"/>
      </rPr>
      <t>(Deterioro acumulado de instalaciones en bienes alquilados)</t>
    </r>
  </si>
  <si>
    <r>
      <rPr>
        <sz val="10"/>
        <rFont val="Segoe UI"/>
        <family val="2"/>
      </rPr>
      <t>OTROS ACTIVOS</t>
    </r>
  </si>
  <si>
    <r>
      <rPr>
        <sz val="10"/>
        <rFont val="Segoe UI"/>
        <family val="2"/>
      </rPr>
      <t>PAGOS ANTICIPADOS Y CARGAS DIFERIDAS</t>
    </r>
  </si>
  <si>
    <r>
      <rPr>
        <sz val="10"/>
        <rFont val="Segoe UI"/>
        <family val="2"/>
      </rPr>
      <t>Seguros pagados por anticipado</t>
    </r>
  </si>
  <si>
    <r>
      <rPr>
        <sz val="10"/>
        <rFont val="Segoe UI"/>
        <family val="2"/>
      </rPr>
      <t>Alquileres pagados por anticipado</t>
    </r>
  </si>
  <si>
    <r>
      <rPr>
        <sz val="10"/>
        <rFont val="Segoe UI"/>
        <family val="2"/>
      </rPr>
      <t>Publicidad y mercadeo pagados por anticipado</t>
    </r>
  </si>
  <si>
    <r>
      <rPr>
        <sz val="10"/>
        <rFont val="Segoe UI"/>
        <family val="2"/>
      </rPr>
      <t>Suscripciones pagadas por anticipado</t>
    </r>
  </si>
  <si>
    <r>
      <rPr>
        <sz val="10"/>
        <rFont val="Segoe UI"/>
        <family val="2"/>
      </rPr>
      <t>Comisiones por servicios pagados por anticipado</t>
    </r>
  </si>
  <si>
    <r>
      <rPr>
        <sz val="10"/>
        <rFont val="Segoe UI"/>
        <family val="2"/>
      </rPr>
      <t>Entregas a rendir cuenta</t>
    </r>
  </si>
  <si>
    <r>
      <rPr>
        <sz val="10"/>
        <rFont val="Segoe UI"/>
        <family val="2"/>
      </rPr>
      <t>Útiles de oficina y suministros diversos pagados por anticipado</t>
    </r>
  </si>
  <si>
    <r>
      <rPr>
        <sz val="10"/>
        <rFont val="Segoe UI"/>
        <family val="2"/>
      </rPr>
      <t>Otras cargas diferidas</t>
    </r>
  </si>
  <si>
    <r>
      <rPr>
        <sz val="10"/>
        <rFont val="Segoe UI"/>
        <family val="2"/>
      </rPr>
      <t>Otros gastos pagados por anticipado</t>
    </r>
  </si>
  <si>
    <r>
      <rPr>
        <sz val="10"/>
        <rFont val="Segoe UI"/>
        <family val="2"/>
      </rPr>
      <t>INTERESES Y COMISIONES PAGADOS POR ANTICIPADO</t>
    </r>
  </si>
  <si>
    <r>
      <rPr>
        <sz val="10"/>
        <rFont val="Segoe UI"/>
        <family val="2"/>
      </rPr>
      <t>Adeudos y Obligaciones con COFIDE</t>
    </r>
  </si>
  <si>
    <r>
      <rPr>
        <sz val="10"/>
        <rFont val="Segoe UI"/>
        <family val="2"/>
      </rPr>
      <t xml:space="preserve">Adeudos y Obligaciones con Coopac y empresas del sistema
</t>
    </r>
    <r>
      <rPr>
        <sz val="10"/>
        <rFont val="Segoe UI"/>
        <family val="2"/>
      </rPr>
      <t>financiero del país</t>
    </r>
  </si>
  <si>
    <r>
      <rPr>
        <sz val="10"/>
        <rFont val="Segoe UI"/>
        <family val="2"/>
      </rPr>
      <t>Adeudos y Obligaciones con instituciones financieras del exterior</t>
    </r>
  </si>
  <si>
    <r>
      <rPr>
        <sz val="10"/>
        <rFont val="Segoe UI"/>
        <family val="2"/>
      </rPr>
      <t>Adeudos y Obligaciones con organismos financieros internacionales</t>
    </r>
  </si>
  <si>
    <r>
      <rPr>
        <sz val="10"/>
        <rFont val="Segoe UI"/>
        <family val="2"/>
      </rPr>
      <t>Otros adeudos y obligaciones con el paìs</t>
    </r>
  </si>
  <si>
    <r>
      <rPr>
        <sz val="10"/>
        <rFont val="Segoe UI"/>
        <family val="2"/>
      </rPr>
      <t>Otros adeudos y obligaciones con el exterior</t>
    </r>
  </si>
  <si>
    <r>
      <rPr>
        <sz val="10"/>
        <rFont val="Segoe UI"/>
        <family val="2"/>
      </rPr>
      <t>IMPUESTO A LA RENTA DIFERIDO</t>
    </r>
  </si>
  <si>
    <r>
      <rPr>
        <sz val="10"/>
        <rFont val="Segoe UI"/>
        <family val="2"/>
      </rPr>
      <t>Activo por Impuesto a la Renta Diferido</t>
    </r>
  </si>
  <si>
    <r>
      <rPr>
        <sz val="10"/>
        <rFont val="Segoe UI"/>
        <family val="2"/>
      </rPr>
      <t xml:space="preserve">Activo por impuesto a la renta diferido asociado a diferencias
</t>
    </r>
    <r>
      <rPr>
        <sz val="10"/>
        <rFont val="Segoe UI"/>
        <family val="2"/>
      </rPr>
      <t>temporarias deducibles</t>
    </r>
  </si>
  <si>
    <r>
      <rPr>
        <sz val="10"/>
        <rFont val="Segoe UI"/>
        <family val="2"/>
      </rPr>
      <t xml:space="preserve">Activo por impuesto a la renta diferido asociado a pérdidas
</t>
    </r>
    <r>
      <rPr>
        <sz val="10"/>
        <rFont val="Segoe UI"/>
        <family val="2"/>
      </rPr>
      <t>tributarias generadas en períodos anteriores</t>
    </r>
  </si>
  <si>
    <r>
      <rPr>
        <sz val="10"/>
        <rFont val="Segoe UI"/>
        <family val="2"/>
      </rPr>
      <t>ACTIVOS INTANGIBLES</t>
    </r>
  </si>
  <si>
    <r>
      <rPr>
        <sz val="10"/>
        <rFont val="Segoe UI"/>
        <family val="2"/>
      </rPr>
      <t>Software</t>
    </r>
  </si>
  <si>
    <r>
      <rPr>
        <sz val="10"/>
        <rFont val="Segoe UI"/>
        <family val="2"/>
      </rPr>
      <t>Goodwill</t>
    </r>
  </si>
  <si>
    <r>
      <rPr>
        <sz val="10"/>
        <rFont val="Segoe UI"/>
        <family val="2"/>
      </rPr>
      <t>Otros activos intangibles</t>
    </r>
  </si>
  <si>
    <r>
      <rPr>
        <sz val="10"/>
        <rFont val="Segoe UI"/>
        <family val="2"/>
      </rPr>
      <t>(Amortización y deterioro acumulado de activos intangibles)</t>
    </r>
  </si>
  <si>
    <r>
      <rPr>
        <sz val="10"/>
        <rFont val="Segoe UI"/>
        <family val="2"/>
      </rPr>
      <t>(Amortización y deterioro acumulado del goodwill)</t>
    </r>
  </si>
  <si>
    <r>
      <rPr>
        <sz val="10"/>
        <rFont val="Segoe UI"/>
        <family val="2"/>
      </rPr>
      <t>(Amortización y deterioro acumulado de otros activos intangibles)</t>
    </r>
  </si>
  <si>
    <r>
      <rPr>
        <sz val="10"/>
        <rFont val="Segoe UI"/>
        <family val="2"/>
      </rPr>
      <t>CRÉDITO FISCAL</t>
    </r>
  </si>
  <si>
    <r>
      <rPr>
        <sz val="10"/>
        <rFont val="Segoe UI"/>
        <family val="2"/>
      </rPr>
      <t>Crédito fiscal del Impuesto General a las Ventas</t>
    </r>
  </si>
  <si>
    <r>
      <rPr>
        <sz val="10"/>
        <rFont val="Segoe UI"/>
        <family val="2"/>
      </rPr>
      <t>Crédito fiscal del Impuesto a la Renta</t>
    </r>
  </si>
  <si>
    <r>
      <rPr>
        <sz val="10"/>
        <rFont val="Segoe UI"/>
        <family val="2"/>
      </rPr>
      <t>BIENES DIVERSOS</t>
    </r>
  </si>
  <si>
    <r>
      <rPr>
        <sz val="10"/>
        <rFont val="Segoe UI"/>
        <family val="2"/>
      </rPr>
      <t>Obras de arte</t>
    </r>
  </si>
  <si>
    <r>
      <rPr>
        <sz val="10"/>
        <rFont val="Segoe UI"/>
        <family val="2"/>
      </rPr>
      <t>Monedas y joyas</t>
    </r>
  </si>
  <si>
    <r>
      <rPr>
        <sz val="10"/>
        <rFont val="Segoe UI"/>
        <family val="2"/>
      </rPr>
      <t>Biblioteca</t>
    </r>
  </si>
  <si>
    <r>
      <rPr>
        <sz val="10"/>
        <rFont val="Segoe UI"/>
        <family val="2"/>
      </rPr>
      <t>Instituciones sociales y gremiales</t>
    </r>
  </si>
  <si>
    <r>
      <rPr>
        <sz val="10"/>
        <rFont val="Segoe UI"/>
        <family val="2"/>
      </rPr>
      <t>Bienes de disponibilidad restringida</t>
    </r>
  </si>
  <si>
    <r>
      <rPr>
        <sz val="10"/>
        <rFont val="Segoe UI"/>
        <family val="2"/>
      </rPr>
      <t>OPERACIONES EN TRÁMITE</t>
    </r>
  </si>
  <si>
    <r>
      <rPr>
        <sz val="10"/>
        <rFont val="Segoe UI"/>
        <family val="2"/>
      </rPr>
      <t>Cheques rechazados</t>
    </r>
  </si>
  <si>
    <r>
      <rPr>
        <sz val="10"/>
        <rFont val="Segoe UI"/>
        <family val="2"/>
      </rPr>
      <t>Faltantes de caja</t>
    </r>
  </si>
  <si>
    <r>
      <rPr>
        <sz val="10"/>
        <rFont val="Segoe UI"/>
        <family val="2"/>
      </rPr>
      <t>Cheques falsificados</t>
    </r>
  </si>
  <si>
    <r>
      <rPr>
        <sz val="10"/>
        <rFont val="Segoe UI"/>
        <family val="2"/>
      </rPr>
      <t>Documentos extraviados</t>
    </r>
  </si>
  <si>
    <r>
      <rPr>
        <sz val="10"/>
        <rFont val="Segoe UI"/>
        <family val="2"/>
      </rPr>
      <t>Diferencias por regularizar</t>
    </r>
  </si>
  <si>
    <r>
      <rPr>
        <sz val="10"/>
        <rFont val="Segoe UI"/>
        <family val="2"/>
      </rPr>
      <t>Adelantos a proveedores</t>
    </r>
  </si>
  <si>
    <r>
      <rPr>
        <sz val="10"/>
        <rFont val="Segoe UI"/>
        <family val="2"/>
      </rPr>
      <t>Operaciones por liquidar</t>
    </r>
  </si>
  <si>
    <r>
      <rPr>
        <sz val="10"/>
        <rFont val="Segoe UI"/>
        <family val="2"/>
      </rPr>
      <t>OFICINA PRINCIPAL, SUCURSALES Y AGENCIAS</t>
    </r>
  </si>
  <si>
    <r>
      <rPr>
        <sz val="10"/>
        <rFont val="Segoe UI"/>
        <family val="2"/>
      </rPr>
      <t>Operaciones país</t>
    </r>
  </si>
  <si>
    <r>
      <rPr>
        <sz val="10"/>
        <rFont val="Segoe UI"/>
        <family val="2"/>
      </rPr>
      <t>Operaciones exterior</t>
    </r>
  </si>
  <si>
    <r>
      <rPr>
        <sz val="10"/>
        <rFont val="Segoe UI"/>
        <family val="2"/>
      </rPr>
      <t>PASIVO</t>
    </r>
  </si>
  <si>
    <r>
      <rPr>
        <sz val="10"/>
        <rFont val="Segoe UI"/>
        <family val="2"/>
      </rPr>
      <t>OBLIGACIONES CON LOS SOCIOS</t>
    </r>
  </si>
  <si>
    <r>
      <rPr>
        <sz val="10"/>
        <rFont val="Arial Narrow"/>
        <family val="2"/>
      </rPr>
      <t>OBLIGACIONES A LA VISTA</t>
    </r>
  </si>
  <si>
    <r>
      <rPr>
        <sz val="10"/>
        <rFont val="Arial Narrow"/>
        <family val="2"/>
      </rPr>
      <t>Depósitos en cuenta corriente</t>
    </r>
  </si>
  <si>
    <r>
      <rPr>
        <sz val="10"/>
        <rFont val="Arial Narrow"/>
        <family val="2"/>
      </rPr>
      <t>Cuentas corrientes sin movimiento</t>
    </r>
  </si>
  <si>
    <r>
      <rPr>
        <sz val="10"/>
        <rFont val="Arial Narrow"/>
        <family val="2"/>
      </rPr>
      <t>Cheques certificados</t>
    </r>
  </si>
  <si>
    <r>
      <rPr>
        <sz val="10"/>
        <rFont val="Arial Narrow"/>
        <family val="2"/>
      </rPr>
      <t>Cheques de gerencia</t>
    </r>
  </si>
  <si>
    <r>
      <rPr>
        <sz val="10"/>
        <rFont val="Arial Narrow"/>
        <family val="2"/>
      </rPr>
      <t>Órdenes de pago de gerencia</t>
    </r>
  </si>
  <si>
    <r>
      <rPr>
        <sz val="10"/>
        <rFont val="Arial Narrow"/>
        <family val="2"/>
      </rPr>
      <t>Cheques de viajero</t>
    </r>
  </si>
  <si>
    <r>
      <rPr>
        <sz val="10"/>
        <rFont val="Arial Narrow"/>
        <family val="2"/>
      </rPr>
      <t>Giros por pagar</t>
    </r>
  </si>
  <si>
    <r>
      <rPr>
        <sz val="10"/>
        <rFont val="Arial Narrow"/>
        <family val="2"/>
      </rPr>
      <t>Giros por pagar país</t>
    </r>
  </si>
  <si>
    <r>
      <rPr>
        <sz val="10"/>
        <rFont val="Arial Narrow"/>
        <family val="2"/>
      </rPr>
      <t>Giros por pagar exterior</t>
    </r>
  </si>
  <si>
    <r>
      <rPr>
        <sz val="10"/>
        <rFont val="Arial Narrow"/>
        <family val="2"/>
      </rPr>
      <t>Transferencias por pagar</t>
    </r>
  </si>
  <si>
    <r>
      <rPr>
        <sz val="10"/>
        <rFont val="Arial Narrow"/>
        <family val="2"/>
      </rPr>
      <t>Transferencias por pagar país</t>
    </r>
  </si>
  <si>
    <r>
      <rPr>
        <sz val="10"/>
        <rFont val="Arial Narrow"/>
        <family val="2"/>
      </rPr>
      <t>Transferencias por pagar exterior</t>
    </r>
  </si>
  <si>
    <r>
      <rPr>
        <sz val="10"/>
        <rFont val="Arial Narrow"/>
        <family val="2"/>
      </rPr>
      <t>Depósitos vencidos de los socios</t>
    </r>
  </si>
  <si>
    <r>
      <rPr>
        <sz val="10"/>
        <rFont val="Arial Narrow"/>
        <family val="2"/>
      </rPr>
      <t>Certificados de depósitos negociables entre socios</t>
    </r>
  </si>
  <si>
    <r>
      <rPr>
        <sz val="10"/>
        <rFont val="Arial Narrow"/>
        <family val="2"/>
      </rPr>
      <t>Certificados de depósitos no negociables</t>
    </r>
  </si>
  <si>
    <r>
      <rPr>
        <sz val="10"/>
        <rFont val="Arial Narrow"/>
        <family val="2"/>
      </rPr>
      <t xml:space="preserve">Certificados de depósitos no negociables personas naturales y jurídicas privadas
</t>
    </r>
    <r>
      <rPr>
        <sz val="10"/>
        <rFont val="Arial Narrow"/>
        <family val="2"/>
      </rPr>
      <t>sin fines de lucro</t>
    </r>
  </si>
  <si>
    <r>
      <rPr>
        <sz val="10"/>
        <rFont val="Arial Narrow"/>
        <family val="2"/>
      </rPr>
      <t>Certificados de depósitos no negociables otras personas jurídicas</t>
    </r>
  </si>
  <si>
    <r>
      <rPr>
        <sz val="10"/>
        <rFont val="Arial Narrow"/>
        <family val="2"/>
      </rPr>
      <t>Otros Depósitos</t>
    </r>
  </si>
  <si>
    <r>
      <rPr>
        <sz val="10"/>
        <rFont val="Arial Narrow"/>
        <family val="2"/>
      </rPr>
      <t>Socios y personas jurídicas sin fines de lucro</t>
    </r>
  </si>
  <si>
    <r>
      <rPr>
        <sz val="10"/>
        <rFont val="Arial Narrow"/>
        <family val="2"/>
      </rPr>
      <t>Otras personas jurídicas</t>
    </r>
  </si>
  <si>
    <r>
      <rPr>
        <sz val="10"/>
        <rFont val="Arial Narrow"/>
        <family val="2"/>
      </rPr>
      <t>Valores y títulos vencidos</t>
    </r>
  </si>
  <si>
    <r>
      <rPr>
        <sz val="10"/>
        <rFont val="Arial Narrow"/>
        <family val="2"/>
      </rPr>
      <t>Obligaciones subordinadas vencidas</t>
    </r>
  </si>
  <si>
    <r>
      <rPr>
        <sz val="10"/>
        <rFont val="Arial Narrow"/>
        <family val="2"/>
      </rPr>
      <t>Depósitos judiciales y administrativos</t>
    </r>
  </si>
  <si>
    <r>
      <rPr>
        <sz val="10"/>
        <rFont val="Arial Narrow"/>
        <family val="2"/>
      </rPr>
      <t>Personas naturales y jurídicas privadas sin fines de lucro</t>
    </r>
  </si>
  <si>
    <r>
      <rPr>
        <sz val="10"/>
        <rFont val="Arial Narrow"/>
        <family val="2"/>
      </rPr>
      <t>Retenciones judiciales a disposición</t>
    </r>
  </si>
  <si>
    <r>
      <rPr>
        <sz val="10"/>
        <rFont val="Arial Narrow"/>
        <family val="2"/>
      </rPr>
      <t>Cobranzas por liquidar</t>
    </r>
  </si>
  <si>
    <r>
      <rPr>
        <sz val="10"/>
        <rFont val="Arial Narrow"/>
        <family val="2"/>
      </rPr>
      <t>Obligaciones a transferir al Fondo de Seguro de Depósitos</t>
    </r>
  </si>
  <si>
    <r>
      <rPr>
        <sz val="10"/>
        <rFont val="Arial Narrow"/>
        <family val="2"/>
      </rPr>
      <t>Obligaciones por fideicomisos</t>
    </r>
  </si>
  <si>
    <r>
      <rPr>
        <sz val="10"/>
        <rFont val="Arial Narrow"/>
        <family val="2"/>
      </rPr>
      <t>Otras obligaciones a la vista</t>
    </r>
  </si>
  <si>
    <r>
      <rPr>
        <sz val="10"/>
        <rFont val="Segoe UI"/>
        <family val="2"/>
      </rPr>
      <t>OBLIGACIONES POR CUENTAS DE AHORRO</t>
    </r>
  </si>
  <si>
    <r>
      <rPr>
        <sz val="10"/>
        <rFont val="Segoe UI"/>
        <family val="2"/>
      </rPr>
      <t>Depósitos de ahorro activos</t>
    </r>
  </si>
  <si>
    <r>
      <rPr>
        <sz val="10"/>
        <rFont val="Segoe UI"/>
        <family val="2"/>
      </rPr>
      <t>Personas naturales y jurídicas privadas sin fines de lucro</t>
    </r>
  </si>
  <si>
    <r>
      <rPr>
        <sz val="10"/>
        <rFont val="Segoe UI"/>
        <family val="2"/>
      </rPr>
      <t>Otras personas jurídicas</t>
    </r>
  </si>
  <si>
    <r>
      <rPr>
        <sz val="10"/>
        <rFont val="Segoe UI"/>
        <family val="2"/>
      </rPr>
      <t>Depósitos de ahorro inactivos</t>
    </r>
  </si>
  <si>
    <r>
      <rPr>
        <sz val="10"/>
        <rFont val="Segoe UI"/>
        <family val="2"/>
      </rPr>
      <t>OBLIGACIONES POR CUENTAS A PLAZO</t>
    </r>
  </si>
  <si>
    <r>
      <rPr>
        <sz val="10"/>
        <rFont val="Segoe UI"/>
        <family val="2"/>
      </rPr>
      <t>Certificados de depósitos</t>
    </r>
  </si>
  <si>
    <r>
      <rPr>
        <sz val="10"/>
        <rFont val="Segoe UI"/>
        <family val="2"/>
      </rPr>
      <t>Certificados de depósitos no negociables</t>
    </r>
  </si>
  <si>
    <r>
      <rPr>
        <sz val="10"/>
        <rFont val="Segoe UI"/>
        <family val="2"/>
      </rPr>
      <t xml:space="preserve">Certificados de depósito no negociable personas naturales y jurídicas
</t>
    </r>
    <r>
      <rPr>
        <sz val="10"/>
        <rFont val="Segoe UI"/>
        <family val="2"/>
      </rPr>
      <t>privadas sin fines de lucro</t>
    </r>
  </si>
  <si>
    <r>
      <rPr>
        <sz val="10"/>
        <rFont val="Segoe UI"/>
        <family val="2"/>
      </rPr>
      <t>Certificados de depósito no negociable otras personas jurídicas</t>
    </r>
  </si>
  <si>
    <r>
      <rPr>
        <sz val="10"/>
        <rFont val="Segoe UI"/>
        <family val="2"/>
      </rPr>
      <t>Cuentas a plazo</t>
    </r>
  </si>
  <si>
    <r>
      <rPr>
        <sz val="10"/>
        <rFont val="Segoe UI"/>
        <family val="2"/>
      </rPr>
      <t>Depósitos compensación de tiempo de servicios</t>
    </r>
  </si>
  <si>
    <r>
      <rPr>
        <sz val="10"/>
        <rFont val="Segoe UI"/>
        <family val="2"/>
      </rPr>
      <t>Ordinarios</t>
    </r>
  </si>
  <si>
    <r>
      <rPr>
        <sz val="10"/>
        <rFont val="Segoe UI"/>
        <family val="2"/>
      </rPr>
      <t>Convenios</t>
    </r>
  </si>
  <si>
    <r>
      <rPr>
        <sz val="10"/>
        <rFont val="Segoe UI"/>
        <family val="2"/>
      </rPr>
      <t>Otras obligaciones por cuentas a plazo</t>
    </r>
  </si>
  <si>
    <r>
      <rPr>
        <sz val="10"/>
        <rFont val="Segoe UI"/>
        <family val="2"/>
      </rPr>
      <t>Socios y personas jurídicas sin fines de lucro</t>
    </r>
  </si>
  <si>
    <r>
      <rPr>
        <sz val="10"/>
        <rFont val="Segoe UI"/>
        <family val="2"/>
      </rPr>
      <t>OBLIGACIONES CON LOS SOCIOS RESTRINGIDAS</t>
    </r>
  </si>
  <si>
    <r>
      <rPr>
        <sz val="10"/>
        <rFont val="Segoe UI"/>
        <family val="2"/>
      </rPr>
      <t>Depósitos inmovilizados</t>
    </r>
  </si>
  <si>
    <r>
      <rPr>
        <sz val="10"/>
        <rFont val="Segoe UI"/>
        <family val="2"/>
      </rPr>
      <t>Retenciones judiciales</t>
    </r>
  </si>
  <si>
    <r>
      <rPr>
        <sz val="10"/>
        <rFont val="Segoe UI"/>
        <family val="2"/>
      </rPr>
      <t>Depósitos judiciales y administrativos</t>
    </r>
  </si>
  <si>
    <r>
      <rPr>
        <sz val="10"/>
        <rFont val="Segoe UI"/>
        <family val="2"/>
      </rPr>
      <t>Depósitos en garantía</t>
    </r>
  </si>
  <si>
    <r>
      <rPr>
        <sz val="10"/>
        <rFont val="Segoe UI"/>
        <family val="2"/>
      </rPr>
      <t>Depósitos en garantía para créditos</t>
    </r>
  </si>
  <si>
    <r>
      <rPr>
        <sz val="10"/>
        <rFont val="Segoe UI"/>
        <family val="2"/>
      </rPr>
      <t>Depósitos en garantía por operaciones contingentes</t>
    </r>
  </si>
  <si>
    <r>
      <rPr>
        <sz val="10"/>
        <rFont val="Segoe UI"/>
        <family val="2"/>
      </rPr>
      <t>Otros depósitos en garantía</t>
    </r>
  </si>
  <si>
    <r>
      <rPr>
        <sz val="10"/>
        <rFont val="Segoe UI"/>
        <family val="2"/>
      </rPr>
      <t>Otras obligaciones restringidas con los socios</t>
    </r>
  </si>
  <si>
    <r>
      <rPr>
        <sz val="10"/>
        <rFont val="Segoe UI"/>
        <family val="2"/>
      </rPr>
      <t>GASTOS POR PAGAR DE OBLIGACIONES CON LOS SOCIOS</t>
    </r>
  </si>
  <si>
    <r>
      <rPr>
        <sz val="10"/>
        <rFont val="Arial Narrow"/>
        <family val="2"/>
      </rPr>
      <t>Gastos por pagar de obligaciones con los socios a la vista</t>
    </r>
  </si>
  <si>
    <r>
      <rPr>
        <sz val="10"/>
        <rFont val="Segoe UI"/>
        <family val="2"/>
      </rPr>
      <t xml:space="preserve">Gastos por pagar de obligaciones con los socios por cuentas de
</t>
    </r>
    <r>
      <rPr>
        <sz val="10"/>
        <rFont val="Segoe UI"/>
        <family val="2"/>
      </rPr>
      <t>ahorro</t>
    </r>
  </si>
  <si>
    <r>
      <rPr>
        <sz val="10"/>
        <rFont val="Segoe UI"/>
        <family val="2"/>
      </rPr>
      <t>Gastos por pagar de obligaciones con los socios por cuentas a plazo</t>
    </r>
  </si>
  <si>
    <r>
      <rPr>
        <sz val="10"/>
        <rFont val="Segoe UI"/>
        <family val="2"/>
      </rPr>
      <t>Gastos por pagar de obligaciones con los socios restringidas</t>
    </r>
  </si>
  <si>
    <r>
      <rPr>
        <sz val="10"/>
        <rFont val="Segoe UI"/>
        <family val="2"/>
      </rPr>
      <t>FONDOS INTERCOPERATIVOS</t>
    </r>
  </si>
  <si>
    <r>
      <rPr>
        <sz val="10"/>
        <rFont val="Segoe UI"/>
        <family val="2"/>
      </rPr>
      <t>GASTOS POR PAGAR DE FONDOS INTERCOOPERATIVOS</t>
    </r>
  </si>
  <si>
    <r>
      <rPr>
        <sz val="10"/>
        <rFont val="Segoe UI"/>
        <family val="2"/>
      </rPr>
      <t>DEPÓSITOS DE COOPAC</t>
    </r>
  </si>
  <si>
    <r>
      <rPr>
        <sz val="10"/>
        <rFont val="Arial Narrow"/>
        <family val="2"/>
      </rPr>
      <t>DEPÓSITOS A LA VISTA</t>
    </r>
  </si>
  <si>
    <r>
      <rPr>
        <sz val="10"/>
        <rFont val="Arial Narrow"/>
        <family val="2"/>
      </rPr>
      <t>Depósitos a la vista de Coopac</t>
    </r>
  </si>
  <si>
    <r>
      <rPr>
        <sz val="10"/>
        <rFont val="Segoe UI"/>
        <family val="2"/>
      </rPr>
      <t>DEPÓSITOS DE AHORRO</t>
    </r>
  </si>
  <si>
    <r>
      <rPr>
        <sz val="10"/>
        <rFont val="Segoe UI"/>
        <family val="2"/>
      </rPr>
      <t>Depósitos de ahorro de Coopac</t>
    </r>
  </si>
  <si>
    <r>
      <rPr>
        <sz val="10"/>
        <rFont val="Segoe UI"/>
        <family val="2"/>
      </rPr>
      <t>DEPÓSITOS A PLAZO</t>
    </r>
  </si>
  <si>
    <r>
      <rPr>
        <sz val="10"/>
        <rFont val="Segoe UI"/>
        <family val="2"/>
      </rPr>
      <t>Depósitos a plazo de Coopac</t>
    </r>
  </si>
  <si>
    <r>
      <rPr>
        <sz val="10"/>
        <rFont val="Segoe UI"/>
        <family val="2"/>
      </rPr>
      <t>GASTOS POR PAGAR POR DEPÓSITOS DE COOPAC</t>
    </r>
  </si>
  <si>
    <r>
      <rPr>
        <sz val="10"/>
        <rFont val="Arial Narrow"/>
        <family val="2"/>
      </rPr>
      <t>Gastos por pagar por depósitos a la vista de Coopac</t>
    </r>
  </si>
  <si>
    <r>
      <rPr>
        <sz val="10"/>
        <rFont val="Segoe UI"/>
        <family val="2"/>
      </rPr>
      <t>Gastos por pagar por depósitos de ahorro de Coopac</t>
    </r>
  </si>
  <si>
    <r>
      <rPr>
        <sz val="10"/>
        <rFont val="Segoe UI"/>
        <family val="2"/>
      </rPr>
      <t>Gastos por pagar por depósitos a plazo de Coopac</t>
    </r>
  </si>
  <si>
    <r>
      <rPr>
        <sz val="10"/>
        <rFont val="Segoe UI"/>
        <family val="2"/>
      </rPr>
      <t>ADEUDOS Y OBLIGACIONES FINANCIERAS A CORTO PLAZO</t>
    </r>
  </si>
  <si>
    <r>
      <rPr>
        <sz val="10"/>
        <rFont val="Segoe UI"/>
        <family val="2"/>
      </rPr>
      <t xml:space="preserve">ADEUDOS Y OBLIGACIONES CON LA CORPORACION FINANCIERA
</t>
    </r>
    <r>
      <rPr>
        <sz val="10"/>
        <rFont val="Segoe UI"/>
        <family val="2"/>
      </rPr>
      <t>DE DESARROLLO</t>
    </r>
  </si>
  <si>
    <r>
      <rPr>
        <sz val="10"/>
        <rFont val="Segoe UI"/>
        <family val="2"/>
      </rPr>
      <t>Adeudos por préstamos</t>
    </r>
  </si>
  <si>
    <r>
      <rPr>
        <sz val="10"/>
        <rFont val="Segoe UI"/>
        <family val="2"/>
      </rPr>
      <t>No subordinados</t>
    </r>
  </si>
  <si>
    <r>
      <rPr>
        <sz val="10"/>
        <rFont val="Segoe UI"/>
        <family val="2"/>
      </rPr>
      <t>Otras obligaciones</t>
    </r>
  </si>
  <si>
    <r>
      <rPr>
        <sz val="10"/>
        <rFont val="Segoe UI"/>
        <family val="2"/>
      </rPr>
      <t xml:space="preserve">ADEUDOS Y OBLIGACIONES CON COOPAC Y EMPRESAS DEL
</t>
    </r>
    <r>
      <rPr>
        <sz val="10"/>
        <rFont val="Segoe UI"/>
        <family val="2"/>
      </rPr>
      <t>SISTEMA FINANCIERO DEL PAÍS</t>
    </r>
  </si>
  <si>
    <r>
      <rPr>
        <sz val="10"/>
        <rFont val="Segoe UI"/>
        <family val="2"/>
      </rPr>
      <t>Adeudos por bienes recibidos en arrendamiento financiero</t>
    </r>
  </si>
  <si>
    <r>
      <rPr>
        <sz val="10"/>
        <rFont val="Segoe UI"/>
        <family val="2"/>
      </rPr>
      <t>Adeudos con subsidiarias</t>
    </r>
  </si>
  <si>
    <r>
      <rPr>
        <sz val="10"/>
        <rFont val="Segoe UI"/>
        <family val="2"/>
      </rPr>
      <t xml:space="preserve">ADEUDOS Y OBLIGACIONES CON INSTITUCIONES FINANCIERAS DEL
</t>
    </r>
    <r>
      <rPr>
        <sz val="10"/>
        <rFont val="Segoe UI"/>
        <family val="2"/>
      </rPr>
      <t>EXTERIOR</t>
    </r>
  </si>
  <si>
    <r>
      <rPr>
        <sz val="10"/>
        <rFont val="Segoe UI"/>
        <family val="2"/>
      </rPr>
      <t xml:space="preserve">ADEUDOS Y OBLIGACIONES CON ORGANISMOS FINANCIEROS
</t>
    </r>
    <r>
      <rPr>
        <sz val="10"/>
        <rFont val="Segoe UI"/>
        <family val="2"/>
      </rPr>
      <t>INTERNACIONALES</t>
    </r>
  </si>
  <si>
    <r>
      <rPr>
        <sz val="10"/>
        <rFont val="Segoe UI"/>
        <family val="2"/>
      </rPr>
      <t>OTROS ADEUDOS Y OBLIGACIONES DEL PAÍS</t>
    </r>
  </si>
  <si>
    <r>
      <rPr>
        <sz val="10"/>
        <rFont val="Segoe UI"/>
        <family val="2"/>
      </rPr>
      <t>OTROS ADEUDOS Y OBLIGACIONES DEL EXTERIOR</t>
    </r>
  </si>
  <si>
    <r>
      <rPr>
        <sz val="10"/>
        <rFont val="Segoe UI"/>
        <family val="2"/>
      </rPr>
      <t xml:space="preserve">GASTOS POR PAGAR DE ADEUDOS Y OBLIGACIONES FINANCIERAS
</t>
    </r>
    <r>
      <rPr>
        <sz val="10"/>
        <rFont val="Segoe UI"/>
        <family val="2"/>
      </rPr>
      <t>A CORTO PLAZO</t>
    </r>
  </si>
  <si>
    <r>
      <rPr>
        <sz val="10"/>
        <rFont val="Segoe UI"/>
        <family val="2"/>
      </rPr>
      <t xml:space="preserve">Gastos por pagar de adeudos y obligaciones con la Corporación
</t>
    </r>
    <r>
      <rPr>
        <sz val="10"/>
        <rFont val="Segoe UI"/>
        <family val="2"/>
      </rPr>
      <t>Financiera de Desarrollo</t>
    </r>
  </si>
  <si>
    <r>
      <rPr>
        <sz val="10"/>
        <rFont val="Segoe UI"/>
        <family val="2"/>
      </rPr>
      <t xml:space="preserve">Gastos por pagar de adeudos y obligaciones con Coopac y empresas
</t>
    </r>
    <r>
      <rPr>
        <sz val="10"/>
        <rFont val="Segoe UI"/>
        <family val="2"/>
      </rPr>
      <t>del sistema financiero del país</t>
    </r>
  </si>
  <si>
    <r>
      <rPr>
        <sz val="10"/>
        <rFont val="Segoe UI"/>
        <family val="2"/>
      </rPr>
      <t xml:space="preserve">Gastos por pagar de adeudos y obligaciones con instituciones
</t>
    </r>
    <r>
      <rPr>
        <sz val="10"/>
        <rFont val="Segoe UI"/>
        <family val="2"/>
      </rPr>
      <t>financieras del exterior</t>
    </r>
  </si>
  <si>
    <r>
      <rPr>
        <sz val="10"/>
        <rFont val="Segoe UI"/>
        <family val="2"/>
      </rPr>
      <t xml:space="preserve">Gastos por pagar de adeudos y obligaciones con organismos
</t>
    </r>
    <r>
      <rPr>
        <sz val="10"/>
        <rFont val="Segoe UI"/>
        <family val="2"/>
      </rPr>
      <t>financieros internacionales</t>
    </r>
  </si>
  <si>
    <r>
      <rPr>
        <sz val="10"/>
        <rFont val="Segoe UI"/>
        <family val="2"/>
      </rPr>
      <t>Gastos por pagar de otros adeudos y obligaciones del país</t>
    </r>
  </si>
  <si>
    <r>
      <rPr>
        <sz val="10"/>
        <rFont val="Segoe UI"/>
        <family val="2"/>
      </rPr>
      <t>Gastos por pagar de otros adeudos y obligaciones del exterior</t>
    </r>
  </si>
  <si>
    <r>
      <rPr>
        <sz val="10"/>
        <rFont val="Segoe UI"/>
        <family val="2"/>
      </rPr>
      <t>CUENTAS POR PAGAR</t>
    </r>
  </si>
  <si>
    <r>
      <rPr>
        <sz val="10"/>
        <rFont val="Segoe UI"/>
        <family val="2"/>
      </rPr>
      <t>Coberturas de valor razonable</t>
    </r>
  </si>
  <si>
    <r>
      <rPr>
        <sz val="10"/>
        <rFont val="Arial Narrow"/>
        <family val="2"/>
      </rPr>
      <t>Derivados de tasas de interés</t>
    </r>
  </si>
  <si>
    <r>
      <rPr>
        <sz val="10"/>
        <rFont val="Segoe UI"/>
        <family val="2"/>
      </rPr>
      <t>CUENTAS POR PAGAR DIVERSAS</t>
    </r>
  </si>
  <si>
    <r>
      <rPr>
        <sz val="10"/>
        <rFont val="Segoe UI"/>
        <family val="2"/>
      </rPr>
      <t>Acreedores por operaciones con tarjetas de débito</t>
    </r>
  </si>
  <si>
    <r>
      <rPr>
        <sz val="10"/>
        <rFont val="Segoe UI"/>
        <family val="2"/>
      </rPr>
      <t>Seguros por cuenta de prestatarios</t>
    </r>
  </si>
  <si>
    <r>
      <rPr>
        <sz val="10"/>
        <rFont val="Segoe UI"/>
        <family val="2"/>
      </rPr>
      <t>Seguros por cuenta de depositantes</t>
    </r>
  </si>
  <si>
    <r>
      <rPr>
        <sz val="10"/>
        <rFont val="Segoe UI"/>
        <family val="2"/>
      </rPr>
      <t>Retenciones para declaratoria de fábrica</t>
    </r>
  </si>
  <si>
    <r>
      <rPr>
        <sz val="10"/>
        <rFont val="Segoe UI"/>
        <family val="2"/>
      </rPr>
      <t>Garantías por alquileres</t>
    </r>
  </si>
  <si>
    <r>
      <rPr>
        <sz val="10"/>
        <rFont val="Segoe UI"/>
        <family val="2"/>
      </rPr>
      <t>Cuotas por bienes recibidos en arrendamiento financiero</t>
    </r>
  </si>
  <si>
    <r>
      <rPr>
        <sz val="10"/>
        <rFont val="Segoe UI"/>
        <family val="2"/>
      </rPr>
      <t xml:space="preserve">Obligaciones por contratos de capitalización inmobiliaria sobre
</t>
    </r>
    <r>
      <rPr>
        <sz val="10"/>
        <rFont val="Segoe UI"/>
        <family val="2"/>
      </rPr>
      <t>bienes en construcción</t>
    </r>
  </si>
  <si>
    <r>
      <rPr>
        <sz val="10"/>
        <rFont val="Segoe UI"/>
        <family val="2"/>
      </rPr>
      <t>Capitalización individual en contratos de capitalización inmobiliaria</t>
    </r>
  </si>
  <si>
    <r>
      <rPr>
        <sz val="10"/>
        <rFont val="Segoe UI"/>
        <family val="2"/>
      </rPr>
      <t>Cuentas por pagar por operaciones de reporte</t>
    </r>
  </si>
  <si>
    <r>
      <rPr>
        <sz val="10"/>
        <rFont val="Segoe UI"/>
        <family val="2"/>
      </rPr>
      <t>REMANENTES Y REMUNERACIONES POR PAGAR</t>
    </r>
  </si>
  <si>
    <r>
      <rPr>
        <sz val="10"/>
        <rFont val="Segoe UI"/>
        <family val="2"/>
      </rPr>
      <t>Remanentes por pagar</t>
    </r>
  </si>
  <si>
    <r>
      <rPr>
        <sz val="10"/>
        <rFont val="Segoe UI"/>
        <family val="2"/>
      </rPr>
      <t>Compensación por tiempo de servicios</t>
    </r>
  </si>
  <si>
    <r>
      <rPr>
        <sz val="10"/>
        <rFont val="Segoe UI"/>
        <family val="2"/>
      </rPr>
      <t>Remuneraciones por pagar</t>
    </r>
  </si>
  <si>
    <r>
      <rPr>
        <sz val="10"/>
        <rFont val="Segoe UI"/>
        <family val="2"/>
      </rPr>
      <t>Honorarios por pagar</t>
    </r>
  </si>
  <si>
    <r>
      <rPr>
        <sz val="10"/>
        <rFont val="Segoe UI"/>
        <family val="2"/>
      </rPr>
      <t>Dietas por pagar</t>
    </r>
  </si>
  <si>
    <r>
      <rPr>
        <sz val="10"/>
        <rFont val="Segoe UI"/>
        <family val="2"/>
      </rPr>
      <t>Otros gastos de personal</t>
    </r>
  </si>
  <si>
    <r>
      <rPr>
        <sz val="10"/>
        <rFont val="Segoe UI"/>
        <family val="2"/>
      </rPr>
      <t>PROVEEDORES</t>
    </r>
  </si>
  <si>
    <r>
      <rPr>
        <sz val="10"/>
        <rFont val="Segoe UI"/>
        <family val="2"/>
      </rPr>
      <t>Proveedores de bienes</t>
    </r>
  </si>
  <si>
    <r>
      <rPr>
        <sz val="10"/>
        <rFont val="Segoe UI"/>
        <family val="2"/>
      </rPr>
      <t>Proveedores de servicios</t>
    </r>
  </si>
  <si>
    <r>
      <rPr>
        <sz val="10"/>
        <rFont val="Segoe UI"/>
        <family val="2"/>
      </rPr>
      <t xml:space="preserve">PRIMAS AL FONDO DE SEGURO DE DEPÓSITOS, CONTRIBUCIONES
</t>
    </r>
    <r>
      <rPr>
        <sz val="10"/>
        <rFont val="Segoe UI"/>
        <family val="2"/>
      </rPr>
      <t>A LA SBS Y OBLIGACIONES CON INSTITUCIONES RECAUDADORAS DE TRIBUTOS</t>
    </r>
  </si>
  <si>
    <r>
      <rPr>
        <sz val="10"/>
        <rFont val="Segoe UI"/>
        <family val="2"/>
      </rPr>
      <t>Primas al Fondo de Seguro de Depósitos</t>
    </r>
  </si>
  <si>
    <r>
      <rPr>
        <sz val="10"/>
        <rFont val="Segoe UI"/>
        <family val="2"/>
      </rPr>
      <t>Contribución a la SBS</t>
    </r>
  </si>
  <si>
    <r>
      <rPr>
        <sz val="10"/>
        <rFont val="Segoe UI"/>
        <family val="2"/>
      </rPr>
      <t>Tributos por cuenta propia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</si>
  <si>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</si>
  <si>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Impuesto General a las Ventas</t>
    </r>
  </si>
  <si>
    <r>
      <rPr>
        <sz val="10"/>
        <rFont val="Segoe UI"/>
        <family val="2"/>
      </rPr>
      <t>Otras Contribuciones</t>
    </r>
  </si>
  <si>
    <r>
      <rPr>
        <sz val="10"/>
        <rFont val="Segoe UI"/>
        <family val="2"/>
      </rPr>
      <t>Otros tributos por cuenta propia</t>
    </r>
  </si>
  <si>
    <r>
      <rPr>
        <sz val="10"/>
        <rFont val="Segoe UI"/>
        <family val="2"/>
      </rPr>
      <t>Administradoras Privadas de Fondos de Pensiones</t>
    </r>
  </si>
  <si>
    <r>
      <rPr>
        <sz val="10"/>
        <rFont val="Segoe UI"/>
        <family val="2"/>
      </rPr>
      <t>Tributos retenidos</t>
    </r>
  </si>
  <si>
    <r>
      <rPr>
        <sz val="10"/>
        <rFont val="Segoe UI"/>
        <family val="2"/>
      </rPr>
      <t>Tributos recaudados</t>
    </r>
  </si>
  <si>
    <r>
      <rPr>
        <sz val="10"/>
        <rFont val="Segoe UI"/>
        <family val="2"/>
      </rPr>
      <t>GASTOS POR PAGAR DE CUENTAS POR PAGAR</t>
    </r>
  </si>
  <si>
    <r>
      <rPr>
        <sz val="10"/>
        <rFont val="Segoe UI"/>
        <family val="2"/>
      </rPr>
      <t>Gastos por pagar de cuentas por pagar diversas</t>
    </r>
  </si>
  <si>
    <r>
      <rPr>
        <sz val="10"/>
        <rFont val="Segoe UI"/>
        <family val="2"/>
      </rPr>
      <t>Intereses y gastos por pagar por operaciones de reporte</t>
    </r>
  </si>
  <si>
    <r>
      <rPr>
        <sz val="10"/>
        <rFont val="Segoe UI"/>
        <family val="2"/>
      </rPr>
      <t>Intereses y gastos por pagar por otras cuentas por pagar diversas</t>
    </r>
  </si>
  <si>
    <r>
      <rPr>
        <sz val="10"/>
        <rFont val="Segoe UI"/>
        <family val="2"/>
      </rPr>
      <t>Gastos de otras cuentas por pagar</t>
    </r>
  </si>
  <si>
    <r>
      <rPr>
        <sz val="10"/>
        <rFont val="Segoe UI"/>
        <family val="2"/>
      </rPr>
      <t>ADEUDOS Y OBLIGACIONES FINANCIERAS A LARGO PLAZO</t>
    </r>
  </si>
  <si>
    <r>
      <rPr>
        <sz val="10"/>
        <rFont val="Segoe UI"/>
        <family val="2"/>
      </rPr>
      <t xml:space="preserve">GASTOS POR PAGAR DE ADEUDOS Y OBLIGACIONES FINANCIERAS
</t>
    </r>
    <r>
      <rPr>
        <sz val="10"/>
        <rFont val="Segoe UI"/>
        <family val="2"/>
      </rPr>
      <t>A LARGO PLAZO</t>
    </r>
  </si>
  <si>
    <r>
      <rPr>
        <sz val="10"/>
        <rFont val="Segoe UI"/>
        <family val="2"/>
      </rPr>
      <t>PROVISIONES</t>
    </r>
  </si>
  <si>
    <r>
      <rPr>
        <sz val="10"/>
        <rFont val="Segoe UI"/>
        <family val="2"/>
      </rPr>
      <t>PROVISIONES PARA CRÉDITOS CONTINGENTES</t>
    </r>
  </si>
  <si>
    <r>
      <rPr>
        <sz val="10"/>
        <rFont val="Segoe UI"/>
        <family val="2"/>
      </rPr>
      <t>Provisiones específicas para créditos contingentes</t>
    </r>
  </si>
  <si>
    <r>
      <rPr>
        <sz val="10"/>
        <rFont val="Segoe UI"/>
        <family val="2"/>
      </rPr>
      <t>Provisiones genéricas para créditos contingentes</t>
    </r>
  </si>
  <si>
    <r>
      <rPr>
        <sz val="10"/>
        <rFont val="Arial Narrow"/>
        <family val="2"/>
      </rPr>
      <t>Créditos a microempresas</t>
    </r>
  </si>
  <si>
    <r>
      <rPr>
        <sz val="10"/>
        <rFont val="Arial Narrow"/>
        <family val="2"/>
      </rPr>
      <t>Créditos de consumo</t>
    </r>
  </si>
  <si>
    <r>
      <rPr>
        <sz val="10"/>
        <rFont val="Arial Narrow"/>
        <family val="2"/>
      </rPr>
      <t>Créditos hipotecarios para vivienda</t>
    </r>
  </si>
  <si>
    <r>
      <rPr>
        <sz val="10"/>
        <rFont val="Arial Narrow"/>
        <family val="2"/>
      </rPr>
      <t>Créditos a Coopac</t>
    </r>
  </si>
  <si>
    <r>
      <rPr>
        <sz val="10"/>
        <rFont val="Arial Narrow"/>
        <family val="2"/>
      </rPr>
      <t>Créditos corporativos</t>
    </r>
  </si>
  <si>
    <r>
      <rPr>
        <sz val="10"/>
        <rFont val="Arial Narrow"/>
        <family val="2"/>
      </rPr>
      <t>Créditos a grandes empresas</t>
    </r>
  </si>
  <si>
    <r>
      <rPr>
        <sz val="10"/>
        <rFont val="Arial Narrow"/>
        <family val="2"/>
      </rPr>
      <t>Créditos a medianas empresas</t>
    </r>
  </si>
  <si>
    <r>
      <rPr>
        <sz val="10"/>
        <rFont val="Arial Narrow"/>
        <family val="2"/>
      </rPr>
      <t>Créditos a pequeñas empresas</t>
    </r>
  </si>
  <si>
    <r>
      <rPr>
        <sz val="10"/>
        <rFont val="Segoe UI"/>
        <family val="2"/>
      </rPr>
      <t>OTRAS PROVISIONES</t>
    </r>
  </si>
  <si>
    <r>
      <rPr>
        <sz val="10"/>
        <rFont val="Segoe UI"/>
        <family val="2"/>
      </rPr>
      <t>Provisiones para litigios y demandas</t>
    </r>
  </si>
  <si>
    <r>
      <rPr>
        <sz val="10"/>
        <rFont val="Segoe UI"/>
        <family val="2"/>
      </rPr>
      <t>PROVISIONES ASOCIATIVAS</t>
    </r>
  </si>
  <si>
    <r>
      <rPr>
        <sz val="10"/>
        <rFont val="Segoe UI"/>
        <family val="2"/>
      </rPr>
      <t>Provisiones para Programas Educativos</t>
    </r>
  </si>
  <si>
    <r>
      <rPr>
        <sz val="10"/>
        <rFont val="Segoe UI"/>
        <family val="2"/>
      </rPr>
      <t>Recursos Propios</t>
    </r>
  </si>
  <si>
    <r>
      <rPr>
        <sz val="10"/>
        <rFont val="Segoe UI"/>
        <family val="2"/>
      </rPr>
      <t>Otros Recursos</t>
    </r>
  </si>
  <si>
    <r>
      <rPr>
        <sz val="10"/>
        <rFont val="Segoe UI"/>
        <family val="2"/>
      </rPr>
      <t>Provisiones para Programas Previsionales</t>
    </r>
  </si>
  <si>
    <r>
      <rPr>
        <sz val="10"/>
        <rFont val="Segoe UI"/>
        <family val="2"/>
      </rPr>
      <t>VALORES, TÍTULOS Y OBLIGACIONES EN CIRCULACIÓN</t>
    </r>
  </si>
  <si>
    <r>
      <rPr>
        <sz val="10"/>
        <rFont val="Segoe UI"/>
        <family val="2"/>
      </rPr>
      <t>BONOS COMUNES</t>
    </r>
  </si>
  <si>
    <r>
      <rPr>
        <sz val="10"/>
        <rFont val="Segoe UI"/>
        <family val="2"/>
      </rPr>
      <t>BONOS SUBORDINADOS</t>
    </r>
  </si>
  <si>
    <r>
      <rPr>
        <sz val="10"/>
        <rFont val="Segoe UI"/>
        <family val="2"/>
      </rPr>
      <t>OTRAS OBLIGACIONES SUBORDINADAS</t>
    </r>
  </si>
  <si>
    <r>
      <rPr>
        <sz val="10"/>
        <rFont val="Segoe UI"/>
        <family val="2"/>
      </rPr>
      <t>OTROS INSTRUMENTOS REPRESENTATIVOS DE DEUDA</t>
    </r>
  </si>
  <si>
    <r>
      <rPr>
        <sz val="10"/>
        <rFont val="Segoe UI"/>
        <family val="2"/>
      </rPr>
      <t>Obligaciones</t>
    </r>
  </si>
  <si>
    <r>
      <rPr>
        <sz val="10"/>
        <rFont val="Segoe UI"/>
        <family val="2"/>
      </rPr>
      <t>Otros instrumentos representativos de deuda</t>
    </r>
  </si>
  <si>
    <r>
      <rPr>
        <sz val="10"/>
        <rFont val="Segoe UI"/>
        <family val="2"/>
      </rPr>
      <t xml:space="preserve">GASTOS POR PAGAR POR VALORES, TÍTULOS Y OBLIGACIONES EN
</t>
    </r>
    <r>
      <rPr>
        <sz val="10"/>
        <rFont val="Segoe UI"/>
        <family val="2"/>
      </rPr>
      <t>CIRCULACIÓN</t>
    </r>
  </si>
  <si>
    <r>
      <rPr>
        <sz val="10"/>
        <rFont val="Segoe UI"/>
        <family val="2"/>
      </rPr>
      <t>Gastos por pagar por bonos comunes</t>
    </r>
  </si>
  <si>
    <r>
      <rPr>
        <sz val="10"/>
        <rFont val="Segoe UI"/>
        <family val="2"/>
      </rPr>
      <t>Gastos por pagar por bonos subordinados</t>
    </r>
  </si>
  <si>
    <r>
      <rPr>
        <sz val="10"/>
        <rFont val="Segoe UI"/>
        <family val="2"/>
      </rPr>
      <t>Gastos por pagar por otras obligaciones subordinadas</t>
    </r>
  </si>
  <si>
    <r>
      <rPr>
        <sz val="10"/>
        <rFont val="Segoe UI"/>
        <family val="2"/>
      </rPr>
      <t>Gastos por pagar por otros instrumentos representativos de deuda</t>
    </r>
  </si>
  <si>
    <r>
      <rPr>
        <sz val="10"/>
        <rFont val="Segoe UI"/>
        <family val="2"/>
      </rPr>
      <t>OTROS PASIVOS</t>
    </r>
  </si>
  <si>
    <r>
      <rPr>
        <sz val="10"/>
        <rFont val="Segoe UI"/>
        <family val="2"/>
      </rPr>
      <t>INGRESOS DIFERIDOS</t>
    </r>
  </si>
  <si>
    <r>
      <rPr>
        <sz val="10"/>
        <rFont val="Segoe UI"/>
        <family val="2"/>
      </rPr>
      <t>Ingresos por intereses y comisiones</t>
    </r>
  </si>
  <si>
    <r>
      <rPr>
        <sz val="10"/>
        <rFont val="Segoe UI"/>
        <family val="2"/>
      </rPr>
      <t xml:space="preserve">Créditos refinanciados y reestructurados reclasificados como
</t>
    </r>
    <r>
      <rPr>
        <sz val="10"/>
        <rFont val="Segoe UI"/>
        <family val="2"/>
      </rPr>
      <t>vigentes</t>
    </r>
  </si>
  <si>
    <r>
      <rPr>
        <sz val="10"/>
        <rFont val="Segoe UI"/>
        <family val="2"/>
      </rPr>
      <t>Créditos vencidos</t>
    </r>
  </si>
  <si>
    <r>
      <rPr>
        <sz val="10"/>
        <rFont val="Segoe UI"/>
        <family val="2"/>
      </rPr>
      <t>Créditos en cobranza judicial</t>
    </r>
  </si>
  <si>
    <r>
      <rPr>
        <sz val="10"/>
        <rFont val="Segoe UI"/>
        <family val="2"/>
      </rPr>
      <t>Ingresos por intereses y comisiones cobrados por anticipado</t>
    </r>
  </si>
  <si>
    <r>
      <rPr>
        <sz val="10"/>
        <rFont val="Segoe UI"/>
        <family val="2"/>
      </rPr>
      <t>Créditos vigentes</t>
    </r>
  </si>
  <si>
    <r>
      <rPr>
        <sz val="10"/>
        <rFont val="Segoe UI"/>
        <family val="2"/>
      </rPr>
      <t>Créditos indirectos</t>
    </r>
  </si>
  <si>
    <r>
      <rPr>
        <sz val="10"/>
        <rFont val="Segoe UI"/>
        <family val="2"/>
      </rPr>
      <t>Otros ingresos diferidos</t>
    </r>
  </si>
  <si>
    <r>
      <rPr>
        <sz val="10"/>
        <rFont val="Segoe UI"/>
        <family val="2"/>
      </rPr>
      <t>Transferencia de cartera crediticia</t>
    </r>
  </si>
  <si>
    <r>
      <rPr>
        <sz val="10"/>
        <rFont val="Segoe UI"/>
        <family val="2"/>
      </rPr>
      <t>Adquisición de cartera crediticia</t>
    </r>
  </si>
  <si>
    <r>
      <rPr>
        <sz val="10"/>
        <rFont val="Segoe UI"/>
        <family val="2"/>
      </rPr>
      <t>Vigente</t>
    </r>
  </si>
  <si>
    <r>
      <rPr>
        <sz val="10"/>
        <rFont val="Segoe UI"/>
        <family val="2"/>
      </rPr>
      <t>Reestructurado</t>
    </r>
  </si>
  <si>
    <r>
      <rPr>
        <sz val="10"/>
        <rFont val="Segoe UI"/>
        <family val="2"/>
      </rPr>
      <t>Refinanciado</t>
    </r>
  </si>
  <si>
    <r>
      <rPr>
        <sz val="10"/>
        <rFont val="Segoe UI"/>
        <family val="2"/>
      </rPr>
      <t>Vencido</t>
    </r>
  </si>
  <si>
    <r>
      <rPr>
        <sz val="10"/>
        <rFont val="Segoe UI"/>
        <family val="2"/>
      </rPr>
      <t>En cobranza judicial</t>
    </r>
  </si>
  <si>
    <r>
      <rPr>
        <sz val="10"/>
        <rFont val="Segoe UI"/>
        <family val="2"/>
      </rPr>
      <t>Donaciones recibidas</t>
    </r>
  </si>
  <si>
    <r>
      <rPr>
        <sz val="10"/>
        <rFont val="Segoe UI"/>
        <family val="2"/>
      </rPr>
      <t>Ingresos por colocación de bienes adjudicados y recuperados</t>
    </r>
  </si>
  <si>
    <r>
      <rPr>
        <sz val="10"/>
        <rFont val="Segoe UI"/>
        <family val="2"/>
      </rPr>
      <t>Utilidad en colocación de bienes adjudicados y recuperados</t>
    </r>
  </si>
  <si>
    <r>
      <rPr>
        <sz val="10"/>
        <rFont val="Segoe UI"/>
        <family val="2"/>
      </rPr>
      <t>(Costo de ventas diferidos)</t>
    </r>
  </si>
  <si>
    <r>
      <rPr>
        <sz val="10"/>
        <rFont val="Segoe UI"/>
        <family val="2"/>
      </rPr>
      <t>SOBRANTES DE CAJA</t>
    </r>
  </si>
  <si>
    <r>
      <rPr>
        <sz val="10"/>
        <rFont val="Segoe UI"/>
        <family val="2"/>
      </rPr>
      <t>Sobrantes de caja</t>
    </r>
  </si>
  <si>
    <r>
      <rPr>
        <sz val="10"/>
        <rFont val="Segoe UI"/>
        <family val="2"/>
      </rPr>
      <t>Impuesto a la renta diferido</t>
    </r>
  </si>
  <si>
    <r>
      <rPr>
        <sz val="10"/>
        <rFont val="Segoe UI"/>
        <family val="2"/>
      </rPr>
      <t>Entregas por identificar</t>
    </r>
  </si>
  <si>
    <r>
      <rPr>
        <sz val="10"/>
        <rFont val="Segoe UI"/>
        <family val="2"/>
      </rPr>
      <t>Operaciones País</t>
    </r>
  </si>
  <si>
    <r>
      <rPr>
        <sz val="10"/>
        <rFont val="Segoe UI"/>
        <family val="2"/>
      </rPr>
      <t>PATRIMONIO</t>
    </r>
  </si>
  <si>
    <r>
      <rPr>
        <sz val="10"/>
        <rFont val="Segoe UI"/>
        <family val="2"/>
      </rPr>
      <t>CAPITAL SOCIAL</t>
    </r>
  </si>
  <si>
    <r>
      <rPr>
        <sz val="10"/>
        <rFont val="Segoe UI"/>
        <family val="2"/>
      </rPr>
      <t>APORTE PAGADO</t>
    </r>
  </si>
  <si>
    <r>
      <rPr>
        <sz val="10"/>
        <rFont val="Segoe UI"/>
        <family val="2"/>
      </rPr>
      <t>Aportes de los socios</t>
    </r>
  </si>
  <si>
    <r>
      <rPr>
        <sz val="10"/>
        <rFont val="Segoe UI"/>
        <family val="2"/>
      </rPr>
      <t>APORTE SUSCRITO</t>
    </r>
  </si>
  <si>
    <r>
      <rPr>
        <sz val="10"/>
        <rFont val="Segoe UI"/>
        <family val="2"/>
      </rPr>
      <t>Aporte suscrito</t>
    </r>
  </si>
  <si>
    <r>
      <rPr>
        <sz val="10"/>
        <rFont val="Segoe UI"/>
        <family val="2"/>
      </rPr>
      <t>(SUSCRIPCIONES DE APORTES PENDIENTES DE PAGO)</t>
    </r>
  </si>
  <si>
    <r>
      <rPr>
        <sz val="10"/>
        <rFont val="Segoe UI"/>
        <family val="2"/>
      </rPr>
      <t>(Suscripciones de aportes pendientes de pago)</t>
    </r>
  </si>
  <si>
    <r>
      <rPr>
        <sz val="10"/>
        <rFont val="Segoe UI"/>
        <family val="2"/>
      </rPr>
      <t>CAPITAL ADICIONAL</t>
    </r>
  </si>
  <si>
    <r>
      <rPr>
        <sz val="10"/>
        <rFont val="Segoe UI"/>
        <family val="2"/>
      </rPr>
      <t>DONACIONES</t>
    </r>
  </si>
  <si>
    <r>
      <rPr>
        <sz val="10"/>
        <rFont val="Segoe UI"/>
        <family val="2"/>
      </rPr>
      <t>Donaciones</t>
    </r>
  </si>
  <si>
    <r>
      <rPr>
        <sz val="10"/>
        <rFont val="Segoe UI"/>
        <family val="2"/>
      </rPr>
      <t>RESERVAS</t>
    </r>
  </si>
  <si>
    <r>
      <rPr>
        <sz val="10"/>
        <rFont val="Segoe UI"/>
        <family val="2"/>
      </rPr>
      <t>RESERVA COOPERATIVA</t>
    </r>
  </si>
  <si>
    <r>
      <rPr>
        <sz val="10"/>
        <rFont val="Segoe UI"/>
        <family val="2"/>
      </rPr>
      <t>Remanentes</t>
    </r>
  </si>
  <si>
    <r>
      <rPr>
        <sz val="10"/>
        <rFont val="Segoe UI"/>
        <family val="2"/>
      </rPr>
      <t>RESERVAS FACULTATIVAS</t>
    </r>
  </si>
  <si>
    <r>
      <rPr>
        <sz val="10"/>
        <rFont val="Segoe UI"/>
        <family val="2"/>
      </rPr>
      <t xml:space="preserve">Reservas facultativas que sólo pueden ser reducidas con previa
</t>
    </r>
    <r>
      <rPr>
        <sz val="10"/>
        <rFont val="Segoe UI"/>
        <family val="2"/>
      </rPr>
      <t>autorización de la Superintendencia</t>
    </r>
  </si>
  <si>
    <r>
      <rPr>
        <sz val="10"/>
        <rFont val="Segoe UI"/>
        <family val="2"/>
      </rPr>
      <t xml:space="preserve">Reservas facultativas que pueden ser reducidas sin previa
</t>
    </r>
    <r>
      <rPr>
        <sz val="10"/>
        <rFont val="Segoe UI"/>
        <family val="2"/>
      </rPr>
      <t>autorización de la Superintendencia</t>
    </r>
  </si>
  <si>
    <r>
      <rPr>
        <sz val="10"/>
        <rFont val="Segoe UI"/>
        <family val="2"/>
      </rPr>
      <t>AJUSTES AL PATRIMONIO</t>
    </r>
  </si>
  <si>
    <r>
      <rPr>
        <sz val="10"/>
        <rFont val="Segoe UI"/>
        <family val="2"/>
      </rPr>
      <t xml:space="preserve">RESULTADOS NO REALIZADOS POR COBERTURA DE FLUJO DE
</t>
    </r>
    <r>
      <rPr>
        <sz val="10"/>
        <rFont val="Segoe UI"/>
        <family val="2"/>
      </rPr>
      <t>EFECTIVO</t>
    </r>
  </si>
  <si>
    <r>
      <rPr>
        <sz val="10"/>
        <rFont val="Segoe UI"/>
        <family val="2"/>
      </rPr>
      <t>RESULTADOS ACUMULADOS</t>
    </r>
  </si>
  <si>
    <r>
      <rPr>
        <sz val="10"/>
        <rFont val="Segoe UI"/>
        <family val="2"/>
      </rPr>
      <t>REMANENTE ACUMULADO</t>
    </r>
  </si>
  <si>
    <r>
      <rPr>
        <sz val="10"/>
        <rFont val="Segoe UI"/>
        <family val="2"/>
      </rPr>
      <t>Remanente acumulado con acuerdo de capitalización</t>
    </r>
  </si>
  <si>
    <r>
      <rPr>
        <sz val="10"/>
        <rFont val="Segoe UI"/>
        <family val="2"/>
      </rPr>
      <t>Remanente acumulado sin acuerdo de capitalización</t>
    </r>
  </si>
  <si>
    <r>
      <rPr>
        <sz val="10"/>
        <rFont val="Segoe UI"/>
        <family val="2"/>
      </rPr>
      <t>Remanente no realizado por inversiones disponibles para la venta</t>
    </r>
  </si>
  <si>
    <r>
      <rPr>
        <sz val="10"/>
        <rFont val="Segoe UI"/>
        <family val="2"/>
      </rPr>
      <t xml:space="preserve">Remanente por método de participación patrimonial
</t>
    </r>
    <r>
      <rPr>
        <sz val="10"/>
        <rFont val="Segoe UI"/>
        <family val="2"/>
      </rPr>
      <t>correspondiente a inversiones que se deducen del patrimonio efectivo</t>
    </r>
  </si>
  <si>
    <r>
      <rPr>
        <sz val="10"/>
        <rFont val="Segoe UI"/>
        <family val="2"/>
      </rPr>
      <t xml:space="preserve">Remanente por método de participación patrimonial
</t>
    </r>
    <r>
      <rPr>
        <sz val="10"/>
        <rFont val="Segoe UI"/>
        <family val="2"/>
      </rPr>
      <t>correspondiente a inversiones que no se deducen del patrimonio efectivo</t>
    </r>
  </si>
  <si>
    <r>
      <rPr>
        <sz val="10"/>
        <rFont val="Segoe UI"/>
        <family val="2"/>
      </rPr>
      <t>(DÉFICIT ACUMULADO)</t>
    </r>
  </si>
  <si>
    <r>
      <rPr>
        <sz val="10"/>
        <rFont val="Segoe UI"/>
        <family val="2"/>
      </rPr>
      <t>Déficit acumulado</t>
    </r>
  </si>
  <si>
    <r>
      <rPr>
        <sz val="10"/>
        <rFont val="Segoe UI"/>
        <family val="2"/>
      </rPr>
      <t>Déficit no realizado por inversiones disponibles para la venta</t>
    </r>
  </si>
  <si>
    <r>
      <rPr>
        <sz val="10"/>
        <rFont val="Segoe UI"/>
        <family val="2"/>
      </rPr>
      <t xml:space="preserve">Déficit por método de participación patrimonial correspondiente a
</t>
    </r>
    <r>
      <rPr>
        <sz val="10"/>
        <rFont val="Segoe UI"/>
        <family val="2"/>
      </rPr>
      <t>inversiones que se deducen del patrimonio efectivo</t>
    </r>
  </si>
  <si>
    <r>
      <rPr>
        <sz val="10"/>
        <rFont val="Segoe UI"/>
        <family val="2"/>
      </rPr>
      <t xml:space="preserve">Déficit por método de participación patrimonial correspondiente a
</t>
    </r>
    <r>
      <rPr>
        <sz val="10"/>
        <rFont val="Segoe UI"/>
        <family val="2"/>
      </rPr>
      <t>inversiones que no se deducen del patrimonio efectivo</t>
    </r>
  </si>
  <si>
    <r>
      <rPr>
        <sz val="10"/>
        <rFont val="Segoe UI"/>
        <family val="2"/>
      </rPr>
      <t>RESULTADO NETO DEL EJERCICIO</t>
    </r>
  </si>
  <si>
    <r>
      <rPr>
        <sz val="10"/>
        <rFont val="Segoe UI"/>
        <family val="2"/>
      </rPr>
      <t>REMANENTE NETO DEL EJERCICIO</t>
    </r>
  </si>
  <si>
    <r>
      <rPr>
        <sz val="10"/>
        <rFont val="Segoe UI"/>
        <family val="2"/>
      </rPr>
      <t>Remanente neto del ejercicio con acuerdo de capitalización</t>
    </r>
  </si>
  <si>
    <r>
      <rPr>
        <sz val="10"/>
        <rFont val="Segoe UI"/>
        <family val="2"/>
      </rPr>
      <t>Remanente neto del ejercicio sin acuerdo de capitalización</t>
    </r>
  </si>
  <si>
    <r>
      <rPr>
        <sz val="10"/>
        <rFont val="Segoe UI"/>
        <family val="2"/>
      </rPr>
      <t>(DÉFICIT NETO DEL EJERCICIO)</t>
    </r>
  </si>
  <si>
    <r>
      <rPr>
        <sz val="10"/>
        <rFont val="Segoe UI"/>
        <family val="2"/>
      </rPr>
      <t>(Déficit neto del ejercicio)</t>
    </r>
  </si>
  <si>
    <r>
      <rPr>
        <sz val="10"/>
        <rFont val="Segoe UI"/>
        <family val="2"/>
      </rPr>
      <t>GASTOS</t>
    </r>
  </si>
  <si>
    <r>
      <rPr>
        <sz val="10"/>
        <rFont val="Segoe UI"/>
        <family val="2"/>
      </rPr>
      <t>GASTOS FINANCIEROS</t>
    </r>
  </si>
  <si>
    <r>
      <rPr>
        <sz val="10"/>
        <rFont val="Segoe UI"/>
        <family val="2"/>
      </rPr>
      <t>INTERESES Y GASTOS POR OBLIGACIONES CON LOS SOCIOS</t>
    </r>
  </si>
  <si>
    <r>
      <rPr>
        <sz val="10"/>
        <rFont val="Arial Narrow"/>
        <family val="2"/>
      </rPr>
      <t>Intereses y gastos por obligaciones con los socios a la vista</t>
    </r>
  </si>
  <si>
    <r>
      <rPr>
        <sz val="10"/>
        <rFont val="Segoe UI"/>
        <family val="2"/>
      </rPr>
      <t xml:space="preserve">Intereses y gastos por obligaciones con los socios por cuentas de
</t>
    </r>
    <r>
      <rPr>
        <sz val="10"/>
        <rFont val="Segoe UI"/>
        <family val="2"/>
      </rPr>
      <t>ahorro</t>
    </r>
  </si>
  <si>
    <r>
      <rPr>
        <sz val="10"/>
        <rFont val="Segoe UI"/>
        <family val="2"/>
      </rPr>
      <t xml:space="preserve">Intereses y gastos por obligaciones con los socios por cuentas a
</t>
    </r>
    <r>
      <rPr>
        <sz val="10"/>
        <rFont val="Segoe UI"/>
        <family val="2"/>
      </rPr>
      <t>plazo</t>
    </r>
  </si>
  <si>
    <r>
      <rPr>
        <sz val="10"/>
        <rFont val="Segoe UI"/>
        <family val="2"/>
      </rPr>
      <t>Certificados de depósito</t>
    </r>
  </si>
  <si>
    <r>
      <rPr>
        <sz val="10"/>
        <rFont val="Segoe UI"/>
        <family val="2"/>
      </rPr>
      <t>Depósitos compensación tiempo de servicios</t>
    </r>
  </si>
  <si>
    <r>
      <rPr>
        <sz val="10"/>
        <rFont val="Segoe UI"/>
        <family val="2"/>
      </rPr>
      <t>Intereses y gastos por obligaciones con los socios restringidas</t>
    </r>
  </si>
  <si>
    <r>
      <rPr>
        <sz val="10"/>
        <rFont val="Segoe UI"/>
        <family val="2"/>
      </rPr>
      <t>Otras obligaciones con los socios restringidas</t>
    </r>
  </si>
  <si>
    <r>
      <rPr>
        <sz val="10"/>
        <rFont val="Segoe UI"/>
        <family val="2"/>
      </rPr>
      <t>INTERESES Y GASTOS POR FONDOS INTERCOOPERATIVOS</t>
    </r>
  </si>
  <si>
    <r>
      <rPr>
        <sz val="10"/>
        <rFont val="Segoe UI"/>
        <family val="2"/>
      </rPr>
      <t>INTERESES Y GASTOS POR DEPÓSITOS DE COOPAC</t>
    </r>
  </si>
  <si>
    <r>
      <rPr>
        <sz val="10"/>
        <rFont val="Arial Narrow"/>
        <family val="2"/>
      </rPr>
      <t>Intereses y gastos por depósitos a la vista de Coopac</t>
    </r>
  </si>
  <si>
    <r>
      <rPr>
        <sz val="10"/>
        <rFont val="Segoe UI"/>
        <family val="2"/>
      </rPr>
      <t>Intereses y gastos por depósitos de ahorro de Coopac</t>
    </r>
  </si>
  <si>
    <r>
      <rPr>
        <sz val="10"/>
        <rFont val="Segoe UI"/>
        <family val="2"/>
      </rPr>
      <t>Intereses y gastos por depósitos a plazo de Coopac</t>
    </r>
  </si>
  <si>
    <r>
      <rPr>
        <sz val="10"/>
        <rFont val="Segoe UI"/>
        <family val="2"/>
      </rPr>
      <t>INTERESES POR ADEUDOS Y OBLIGACIONES FINANCIERAS</t>
    </r>
  </si>
  <si>
    <r>
      <rPr>
        <sz val="10"/>
        <rFont val="Segoe UI"/>
        <family val="2"/>
      </rPr>
      <t xml:space="preserve">Intereses por adeudos y obligaciones con la Corporación Financiera
</t>
    </r>
    <r>
      <rPr>
        <sz val="10"/>
        <rFont val="Segoe UI"/>
        <family val="2"/>
      </rPr>
      <t>de Desarrollo</t>
    </r>
  </si>
  <si>
    <r>
      <rPr>
        <sz val="10"/>
        <rFont val="Segoe UI"/>
        <family val="2"/>
      </rPr>
      <t>Intereses por préstamos</t>
    </r>
  </si>
  <si>
    <r>
      <rPr>
        <sz val="10"/>
        <rFont val="Segoe UI"/>
        <family val="2"/>
      </rPr>
      <t>Intereses por otras obligaciones</t>
    </r>
  </si>
  <si>
    <r>
      <rPr>
        <sz val="10"/>
        <rFont val="Segoe UI"/>
        <family val="2"/>
      </rPr>
      <t xml:space="preserve">Intereses por adeudos y obligaciones con Coopac y empresas del
</t>
    </r>
    <r>
      <rPr>
        <sz val="10"/>
        <rFont val="Segoe UI"/>
        <family val="2"/>
      </rPr>
      <t>sistema financiero del país</t>
    </r>
  </si>
  <si>
    <r>
      <rPr>
        <sz val="10"/>
        <rFont val="Segoe UI"/>
        <family val="2"/>
      </rPr>
      <t>Intereses por bienes recibidos en arrendamiento financiero</t>
    </r>
  </si>
  <si>
    <r>
      <rPr>
        <sz val="10"/>
        <rFont val="Segoe UI"/>
        <family val="2"/>
      </rPr>
      <t>Intereses por adeudos con subsidiarias</t>
    </r>
  </si>
  <si>
    <r>
      <rPr>
        <sz val="10"/>
        <rFont val="Segoe UI"/>
        <family val="2"/>
      </rPr>
      <t xml:space="preserve">Intereses por adeudos y obligaciones con instituciones financieras
</t>
    </r>
    <r>
      <rPr>
        <sz val="10"/>
        <rFont val="Segoe UI"/>
        <family val="2"/>
      </rPr>
      <t>del exterior</t>
    </r>
  </si>
  <si>
    <r>
      <rPr>
        <sz val="10"/>
        <rFont val="Arial Narrow"/>
        <family val="2"/>
      </rPr>
      <t>Intereses por avances en cuenta corriente</t>
    </r>
  </si>
  <si>
    <r>
      <rPr>
        <sz val="10"/>
        <rFont val="Segoe UI"/>
        <family val="2"/>
      </rPr>
      <t xml:space="preserve">Intereses por adeudos y obligaciones con organismos financieros
</t>
    </r>
    <r>
      <rPr>
        <sz val="10"/>
        <rFont val="Segoe UI"/>
        <family val="2"/>
      </rPr>
      <t>internacionales</t>
    </r>
  </si>
  <si>
    <r>
      <rPr>
        <sz val="10"/>
        <rFont val="Segoe UI"/>
        <family val="2"/>
      </rPr>
      <t>Intereses por adeudos por préstamos</t>
    </r>
  </si>
  <si>
    <r>
      <rPr>
        <sz val="10"/>
        <rFont val="Segoe UI"/>
        <family val="2"/>
      </rPr>
      <t>Intereses por otros adeudos y obligaciones del país</t>
    </r>
  </si>
  <si>
    <r>
      <rPr>
        <sz val="10"/>
        <rFont val="Segoe UI"/>
        <family val="2"/>
      </rPr>
      <t>Intereses por otros préstamos</t>
    </r>
  </si>
  <si>
    <r>
      <rPr>
        <sz val="10"/>
        <rFont val="Segoe UI"/>
        <family val="2"/>
      </rPr>
      <t>Intereses por otros adeudos con subsidiarias</t>
    </r>
  </si>
  <si>
    <r>
      <rPr>
        <sz val="10"/>
        <rFont val="Segoe UI"/>
        <family val="2"/>
      </rPr>
      <t>Intereses por otros adeudos y obligaciones del exterior</t>
    </r>
  </si>
  <si>
    <r>
      <rPr>
        <sz val="10"/>
        <rFont val="Segoe UI"/>
        <family val="2"/>
      </rPr>
      <t>INTERESES DE CUENTAS POR PAGAR</t>
    </r>
  </si>
  <si>
    <r>
      <rPr>
        <sz val="10"/>
        <rFont val="Segoe UI"/>
        <family val="2"/>
      </rPr>
      <t>Intereses de cuentas por pagar</t>
    </r>
  </si>
  <si>
    <r>
      <rPr>
        <sz val="10"/>
        <rFont val="Arial Narrow"/>
        <family val="2"/>
      </rPr>
      <t xml:space="preserve">Intereses y gastos de cuentas por pagar por operaciones de venta con compromiso
</t>
    </r>
    <r>
      <rPr>
        <sz val="10"/>
        <rFont val="Arial Narrow"/>
        <family val="2"/>
      </rPr>
      <t>de recompra</t>
    </r>
  </si>
  <si>
    <r>
      <rPr>
        <sz val="10"/>
        <rFont val="Arial Narrow"/>
        <family val="2"/>
      </rPr>
      <t xml:space="preserve">Intereses y gastos de cuentas por pagar por operaciones de venta y compra
</t>
    </r>
    <r>
      <rPr>
        <sz val="10"/>
        <rFont val="Arial Narrow"/>
        <family val="2"/>
      </rPr>
      <t>simultáneas de valores</t>
    </r>
  </si>
  <si>
    <r>
      <rPr>
        <sz val="10"/>
        <rFont val="Arial Narrow"/>
        <family val="2"/>
      </rPr>
      <t xml:space="preserve">Intereses y gastos de cuentas por pagar por operaciones de transferencia temporal
</t>
    </r>
    <r>
      <rPr>
        <sz val="10"/>
        <rFont val="Arial Narrow"/>
        <family val="2"/>
      </rPr>
      <t>de valores</t>
    </r>
  </si>
  <si>
    <r>
      <rPr>
        <sz val="10"/>
        <rFont val="Segoe UI"/>
        <family val="2"/>
      </rPr>
      <t>Intereses y gastos de otras cuentas por pagar</t>
    </r>
  </si>
  <si>
    <r>
      <rPr>
        <sz val="10"/>
        <rFont val="Segoe UI"/>
        <family val="2"/>
      </rPr>
      <t xml:space="preserve">INTERESES POR VALORES, TÍTULOS Y OBLIGACIONES EN
</t>
    </r>
    <r>
      <rPr>
        <sz val="10"/>
        <rFont val="Segoe UI"/>
        <family val="2"/>
      </rPr>
      <t>CIRCULACION</t>
    </r>
  </si>
  <si>
    <r>
      <rPr>
        <sz val="10"/>
        <rFont val="Segoe UI"/>
        <family val="2"/>
      </rPr>
      <t>Intereses por bonos comunes</t>
    </r>
  </si>
  <si>
    <r>
      <rPr>
        <sz val="10"/>
        <rFont val="Segoe UI"/>
        <family val="2"/>
      </rPr>
      <t>Intereses por bonos subordinados</t>
    </r>
  </si>
  <si>
    <r>
      <rPr>
        <sz val="10"/>
        <rFont val="Segoe UI"/>
        <family val="2"/>
      </rPr>
      <t>Intereses por otras obligaciones subordinadas</t>
    </r>
  </si>
  <si>
    <r>
      <rPr>
        <sz val="10"/>
        <rFont val="Segoe UI"/>
        <family val="2"/>
      </rPr>
      <t>Intereses por otros instrumentos representativos de deuda</t>
    </r>
  </si>
  <si>
    <r>
      <rPr>
        <sz val="10"/>
        <rFont val="Segoe UI"/>
        <family val="2"/>
      </rPr>
      <t>Intereses por pagarés</t>
    </r>
  </si>
  <si>
    <r>
      <rPr>
        <sz val="10"/>
        <rFont val="Segoe UI"/>
        <family val="2"/>
      </rPr>
      <t>Intereses por obligaciones</t>
    </r>
  </si>
  <si>
    <r>
      <rPr>
        <sz val="10"/>
        <rFont val="Segoe UI"/>
        <family val="2"/>
      </rPr>
      <t>COMISIONES Y OTROS CARGOS POR OBLIGACIONES FINANCIERAS</t>
    </r>
  </si>
  <si>
    <r>
      <rPr>
        <sz val="10"/>
        <rFont val="Segoe UI"/>
        <family val="2"/>
      </rPr>
      <t>Adeudos y otras obligaciones financieras</t>
    </r>
  </si>
  <si>
    <r>
      <rPr>
        <sz val="10"/>
        <rFont val="Segoe UI"/>
        <family val="2"/>
      </rPr>
      <t>DIFERENCIA DE CAMBIO</t>
    </r>
  </si>
  <si>
    <r>
      <rPr>
        <sz val="10"/>
        <rFont val="Segoe UI"/>
        <family val="2"/>
      </rPr>
      <t>Diferencia de cambio por operaciones spot de moneda extranjera</t>
    </r>
  </si>
  <si>
    <r>
      <rPr>
        <sz val="10"/>
        <rFont val="Segoe UI"/>
        <family val="2"/>
      </rPr>
      <t>Diferencia por nivelación de cambio</t>
    </r>
  </si>
  <si>
    <r>
      <rPr>
        <sz val="10"/>
        <rFont val="Segoe UI"/>
        <family val="2"/>
      </rPr>
      <t>Inversiones</t>
    </r>
  </si>
  <si>
    <r>
      <rPr>
        <sz val="10"/>
        <rFont val="Segoe UI"/>
        <family val="2"/>
      </rPr>
      <t>CARGAS FINANCIERAS DIVERSAS</t>
    </r>
  </si>
  <si>
    <r>
      <rPr>
        <sz val="10"/>
        <rFont val="Segoe UI"/>
        <family val="2"/>
      </rPr>
      <t>Reajuste por indexación</t>
    </r>
  </si>
  <si>
    <r>
      <rPr>
        <sz val="10"/>
        <rFont val="Segoe UI"/>
        <family val="2"/>
      </rPr>
      <t>Resultado en la compra-venta de valores</t>
    </r>
  </si>
  <si>
    <r>
      <rPr>
        <sz val="10"/>
        <rFont val="Segoe UI"/>
        <family val="2"/>
      </rPr>
      <t>Pérdidas en Inversiones en subsidiarias y asociadas</t>
    </r>
  </si>
  <si>
    <r>
      <rPr>
        <sz val="10"/>
        <rFont val="Segoe UI"/>
        <family val="2"/>
      </rPr>
      <t>Primas para Fondo de Seguro de Depósitos</t>
    </r>
  </si>
  <si>
    <r>
      <rPr>
        <sz val="10"/>
        <rFont val="Segoe UI"/>
        <family val="2"/>
      </rPr>
      <t>Gastos por líneas de crédito</t>
    </r>
  </si>
  <si>
    <r>
      <rPr>
        <sz val="10"/>
        <rFont val="Segoe UI"/>
        <family val="2"/>
      </rPr>
      <t>Cargos por bienes recibidos en arrendamiento financiero</t>
    </r>
  </si>
  <si>
    <r>
      <rPr>
        <sz val="10"/>
        <rFont val="Segoe UI"/>
        <family val="2"/>
      </rPr>
      <t>Gastos por valuación de garantías</t>
    </r>
  </si>
  <si>
    <r>
      <rPr>
        <sz val="10"/>
        <rFont val="Segoe UI"/>
        <family val="2"/>
      </rPr>
      <t>Gastos financieros interoficinas</t>
    </r>
  </si>
  <si>
    <r>
      <rPr>
        <sz val="10"/>
        <rFont val="Segoe UI"/>
        <family val="2"/>
      </rPr>
      <t xml:space="preserve">Valorización de Inversiones negociables a valor razonable con
</t>
    </r>
    <r>
      <rPr>
        <sz val="10"/>
        <rFont val="Segoe UI"/>
        <family val="2"/>
      </rPr>
      <t>cambios en resultados - instrumentos representativos de capital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</si>
  <si>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- instrumentos representativos de deuda</t>
    </r>
  </si>
  <si>
    <r>
      <rPr>
        <sz val="10"/>
        <rFont val="Segoe UI"/>
        <family val="2"/>
      </rPr>
      <t xml:space="preserve">Bonos subordinados y otros instrumentos representativos de deuda
</t>
    </r>
    <r>
      <rPr>
        <sz val="10"/>
        <rFont val="Segoe UI"/>
        <family val="2"/>
      </rPr>
      <t>subordinada</t>
    </r>
  </si>
  <si>
    <r>
      <rPr>
        <sz val="10"/>
        <rFont val="Segoe UI"/>
        <family val="2"/>
      </rPr>
      <t xml:space="preserve">Valorización de inversiones disponibles para la venta -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</si>
  <si>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>Cuotas de participación en Fondos de Inversión</t>
    </r>
  </si>
  <si>
    <r>
      <rPr>
        <sz val="10"/>
        <rFont val="Segoe UI"/>
        <family val="2"/>
      </rPr>
      <t>Cuotas de participación en Fondos Mutuos de Inversión en Valores</t>
    </r>
  </si>
  <si>
    <r>
      <rPr>
        <sz val="10"/>
        <rFont val="Segoe UI"/>
        <family val="2"/>
      </rPr>
      <t xml:space="preserve">Valorización de inversiones disponibles para la venta - instrumentos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</si>
  <si>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Certificado de depósito por mercaderías</t>
    </r>
  </si>
  <si>
    <r>
      <rPr>
        <sz val="10"/>
        <rFont val="Segoe UI"/>
        <family val="2"/>
      </rPr>
      <t>Valores objeto de o entregados en transferencia temporal de valores</t>
    </r>
  </si>
  <si>
    <r>
      <rPr>
        <sz val="10"/>
        <rFont val="Segoe UI"/>
        <family val="2"/>
      </rPr>
      <t>Valorización de Inversiones en Commodities</t>
    </r>
  </si>
  <si>
    <r>
      <rPr>
        <sz val="10"/>
        <rFont val="Arial Narrow"/>
        <family val="2"/>
      </rPr>
      <t>Gastos por productos financieros derivados para negociación</t>
    </r>
  </si>
  <si>
    <r>
      <rPr>
        <sz val="10"/>
        <rFont val="Segoe UI"/>
        <family val="2"/>
      </rPr>
      <t>Gastos por productos financieros derivados con fines de cobertura</t>
    </r>
  </si>
  <si>
    <r>
      <rPr>
        <sz val="10"/>
        <rFont val="Arial Narrow"/>
        <family val="2"/>
      </rPr>
      <t>Derivados de tasa de interés (devengue de tasas)</t>
    </r>
  </si>
  <si>
    <r>
      <rPr>
        <sz val="10"/>
        <rFont val="Arial Narrow"/>
        <family val="2"/>
      </rPr>
      <t>Fluctuación de valor de las obligaciones por venta en corto</t>
    </r>
  </si>
  <si>
    <r>
      <rPr>
        <sz val="10"/>
        <rFont val="Segoe UI"/>
        <family val="2"/>
      </rPr>
      <t>Intereses por pagar sobre capitalización individual</t>
    </r>
  </si>
  <si>
    <r>
      <rPr>
        <sz val="10"/>
        <rFont val="Segoe UI"/>
        <family val="2"/>
      </rPr>
      <t>Gastos por otorgamiento de premio al buen pagador (PBP)</t>
    </r>
  </si>
  <si>
    <r>
      <rPr>
        <sz val="10"/>
        <rFont val="Arial Narrow"/>
        <family val="2"/>
      </rPr>
      <t>Gastos por cobertura de riesgo crediticio (CRC)</t>
    </r>
  </si>
  <si>
    <r>
      <rPr>
        <sz val="10"/>
        <rFont val="Arial Narrow"/>
        <family val="2"/>
      </rPr>
      <t>Ajustes de partidas cubiertas por valor razonable</t>
    </r>
  </si>
  <si>
    <r>
      <rPr>
        <sz val="10"/>
        <rFont val="Arial Narrow"/>
        <family val="2"/>
      </rPr>
      <t>En Coberturas de Valor Razonable</t>
    </r>
  </si>
  <si>
    <r>
      <rPr>
        <sz val="10"/>
        <rFont val="Arial Narrow"/>
        <family val="2"/>
      </rPr>
      <t>Tasas de interés</t>
    </r>
  </si>
  <si>
    <r>
      <rPr>
        <sz val="10"/>
        <rFont val="Arial Narrow"/>
        <family val="2"/>
      </rPr>
      <t>Otros</t>
    </r>
  </si>
  <si>
    <r>
      <rPr>
        <sz val="10"/>
        <rFont val="Segoe UI"/>
        <family val="2"/>
      </rPr>
      <t>Pérdida por compra de cartera crediticia</t>
    </r>
  </si>
  <si>
    <r>
      <rPr>
        <sz val="10"/>
        <rFont val="Segoe UI"/>
        <family val="2"/>
      </rPr>
      <t>Pérdida por venta de cartera crediticia</t>
    </r>
  </si>
  <si>
    <r>
      <rPr>
        <sz val="10"/>
        <rFont val="Segoe UI"/>
        <family val="2"/>
      </rPr>
      <t>GASTOS POR SERVICIOS FINANCIEROS</t>
    </r>
  </si>
  <si>
    <r>
      <rPr>
        <sz val="10"/>
        <rFont val="Segoe UI"/>
        <family val="2"/>
      </rPr>
      <t>GASTOS POR OPERACIONES CONTINGENTES</t>
    </r>
  </si>
  <si>
    <r>
      <rPr>
        <sz val="10"/>
        <rFont val="Segoe UI"/>
        <family val="2"/>
      </rPr>
      <t>Avales</t>
    </r>
  </si>
  <si>
    <r>
      <rPr>
        <sz val="10"/>
        <rFont val="Segoe UI"/>
        <family val="2"/>
      </rPr>
      <t>Cartas Fianza</t>
    </r>
  </si>
  <si>
    <r>
      <rPr>
        <sz val="10"/>
        <rFont val="Segoe UI"/>
        <family val="2"/>
      </rPr>
      <t>Aceptaciones bancarias</t>
    </r>
  </si>
  <si>
    <r>
      <rPr>
        <sz val="10"/>
        <rFont val="Segoe UI"/>
        <family val="2"/>
      </rPr>
      <t>GASTOS POR SERVICIOS FINANCIEROS DIVERSOS</t>
    </r>
  </si>
  <si>
    <r>
      <rPr>
        <sz val="10"/>
        <rFont val="Segoe UI"/>
        <family val="2"/>
      </rPr>
      <t>Mantenimiento de cuentas</t>
    </r>
  </si>
  <si>
    <r>
      <rPr>
        <sz val="10"/>
        <rFont val="Segoe UI"/>
        <family val="2"/>
      </rPr>
      <t>Cobranzas</t>
    </r>
  </si>
  <si>
    <r>
      <rPr>
        <sz val="10"/>
        <rFont val="Segoe UI"/>
        <family val="2"/>
      </rPr>
      <t>Custodia de Valores</t>
    </r>
  </si>
  <si>
    <r>
      <rPr>
        <sz val="10"/>
        <rFont val="Arial Narrow"/>
        <family val="2"/>
      </rPr>
      <t>Fideicomisos</t>
    </r>
  </si>
  <si>
    <r>
      <rPr>
        <sz val="10"/>
        <rFont val="Segoe UI"/>
        <family val="2"/>
      </rPr>
      <t>Tarjetas de débito</t>
    </r>
  </si>
  <si>
    <r>
      <rPr>
        <sz val="10"/>
        <rFont val="Arial Narrow"/>
        <family val="2"/>
      </rPr>
      <t>Giros</t>
    </r>
  </si>
  <si>
    <r>
      <rPr>
        <sz val="10"/>
        <rFont val="Arial Narrow"/>
        <family val="2"/>
      </rPr>
      <t>Transferencias</t>
    </r>
  </si>
  <si>
    <r>
      <rPr>
        <sz val="10"/>
        <rFont val="Arial Narrow"/>
        <family val="2"/>
      </rPr>
      <t>Compraventa de valores</t>
    </r>
  </si>
  <si>
    <r>
      <rPr>
        <sz val="10"/>
        <rFont val="Segoe UI"/>
        <family val="2"/>
      </rPr>
      <t>Compraventa de moneda extranjera por operaciones spot</t>
    </r>
  </si>
  <si>
    <r>
      <rPr>
        <sz val="10"/>
        <rFont val="Segoe UI"/>
        <family val="2"/>
      </rPr>
      <t>Servicios de caja</t>
    </r>
  </si>
  <si>
    <r>
      <rPr>
        <sz val="10"/>
        <rFont val="Segoe UI"/>
        <family val="2"/>
      </rPr>
      <t>Agentes</t>
    </r>
  </si>
  <si>
    <r>
      <rPr>
        <sz val="10"/>
        <rFont val="Arial Narrow"/>
        <family val="2"/>
      </rPr>
      <t>Alquiler de cajas de seguridad</t>
    </r>
  </si>
  <si>
    <r>
      <rPr>
        <sz val="10"/>
        <rFont val="Segoe UI"/>
        <family val="2"/>
      </rPr>
      <t>Otros servicios financieros</t>
    </r>
  </si>
  <si>
    <r>
      <rPr>
        <sz val="10"/>
        <rFont val="Segoe UI"/>
        <family val="2"/>
      </rPr>
      <t xml:space="preserve">PÉRDIDA POR DETERIORO, PROVISIONES PARA INCOBRABILIDAD Y
</t>
    </r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</si>
  <si>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PÉRDIDA POR DETERIORO DE INVERSIONES</t>
    </r>
  </si>
  <si>
    <r>
      <rPr>
        <sz val="10"/>
        <rFont val="Segoe UI"/>
        <family val="2"/>
      </rPr>
      <t>Inversiones negociables</t>
    </r>
  </si>
  <si>
    <r>
      <rPr>
        <sz val="10"/>
        <rFont val="Segoe UI"/>
        <family val="2"/>
      </rPr>
      <t xml:space="preserve">Valores y títulos de operaciones de venta con compromiso de
</t>
    </r>
    <r>
      <rPr>
        <sz val="10"/>
        <rFont val="Segoe UI"/>
        <family val="2"/>
      </rPr>
      <t>recompra</t>
    </r>
  </si>
  <si>
    <r>
      <rPr>
        <sz val="10"/>
        <rFont val="Segoe UI"/>
        <family val="2"/>
      </rPr>
      <t xml:space="preserve">Inversiones negociables Disponibles para la Venta - Valores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</si>
  <si>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Valores y títulos de operaciones de reporte</t>
    </r>
  </si>
  <si>
    <r>
      <rPr>
        <sz val="10"/>
        <rFont val="Segoe UI"/>
        <family val="2"/>
      </rPr>
      <t>Inversiones en subsidiarias y asociadas</t>
    </r>
  </si>
  <si>
    <r>
      <rPr>
        <sz val="10"/>
        <rFont val="Segoe UI"/>
        <family val="2"/>
      </rPr>
      <t>PROVISIONES PARA INCOBRABILIDAD DE CRÉDITOS</t>
    </r>
  </si>
  <si>
    <r>
      <rPr>
        <sz val="10"/>
        <rFont val="Segoe UI"/>
        <family val="2"/>
      </rPr>
      <t>Provisión para créditos a microempresas</t>
    </r>
  </si>
  <si>
    <r>
      <rPr>
        <sz val="10"/>
        <rFont val="Segoe UI"/>
        <family val="2"/>
      </rPr>
      <t>Componente Fijo</t>
    </r>
  </si>
  <si>
    <r>
      <rPr>
        <sz val="10"/>
        <rFont val="Segoe UI"/>
        <family val="2"/>
      </rPr>
      <t>Componente Procíclico</t>
    </r>
  </si>
  <si>
    <r>
      <rPr>
        <sz val="10"/>
        <rFont val="Segoe UI"/>
        <family val="2"/>
      </rPr>
      <t xml:space="preserve">Provisiones para valuación - Operaciones refinanciadas y
</t>
    </r>
    <r>
      <rPr>
        <sz val="10"/>
        <rFont val="Segoe UI"/>
        <family val="2"/>
      </rPr>
      <t>reestructuradas</t>
    </r>
  </si>
  <si>
    <r>
      <rPr>
        <sz val="10"/>
        <rFont val="Segoe UI"/>
        <family val="2"/>
      </rPr>
      <t>Provisión para créditos de consumo</t>
    </r>
  </si>
  <si>
    <r>
      <rPr>
        <sz val="10"/>
        <rFont val="Segoe UI"/>
        <family val="2"/>
      </rPr>
      <t>Provisiones para valuación - Operaciones refinanciadas</t>
    </r>
  </si>
  <si>
    <r>
      <rPr>
        <sz val="10"/>
        <rFont val="Segoe UI"/>
        <family val="2"/>
      </rPr>
      <t>Provisión para créditos hipotecarios para vivienda</t>
    </r>
  </si>
  <si>
    <r>
      <rPr>
        <sz val="10"/>
        <rFont val="Arial Narrow"/>
        <family val="2"/>
      </rPr>
      <t>Provisión para créditos a entidades del sector público</t>
    </r>
  </si>
  <si>
    <r>
      <rPr>
        <sz val="10"/>
        <rFont val="Arial Narrow"/>
        <family val="2"/>
      </rPr>
      <t>Componente Fijo</t>
    </r>
  </si>
  <si>
    <r>
      <rPr>
        <sz val="10"/>
        <rFont val="Arial Narrow"/>
        <family val="2"/>
      </rPr>
      <t>Componente Procíclico</t>
    </r>
  </si>
  <si>
    <r>
      <rPr>
        <sz val="10"/>
        <rFont val="Arial Narrow"/>
        <family val="2"/>
      </rPr>
      <t>Provisiones para valuación - Operaciones refinanciadas y reestructuradas</t>
    </r>
  </si>
  <si>
    <r>
      <rPr>
        <sz val="10"/>
        <rFont val="Segoe UI"/>
        <family val="2"/>
      </rPr>
      <t>Provisión para créditos a Coopac</t>
    </r>
  </si>
  <si>
    <r>
      <rPr>
        <sz val="10"/>
        <rFont val="Segoe UI"/>
        <family val="2"/>
      </rPr>
      <t>Provisión para créditos corporativos</t>
    </r>
  </si>
  <si>
    <r>
      <rPr>
        <sz val="10"/>
        <rFont val="Segoe UI"/>
        <family val="2"/>
      </rPr>
      <t>Provisión para créditos a grandes empresas</t>
    </r>
  </si>
  <si>
    <r>
      <rPr>
        <sz val="10"/>
        <rFont val="Segoe UI"/>
        <family val="2"/>
      </rPr>
      <t>Provisión para créditos a medianas empresas</t>
    </r>
  </si>
  <si>
    <r>
      <rPr>
        <sz val="10"/>
        <rFont val="Segoe UI"/>
        <family val="2"/>
      </rPr>
      <t>Provisión para créditos a pequeñas empresas</t>
    </r>
  </si>
  <si>
    <r>
      <rPr>
        <sz val="10"/>
        <rFont val="Segoe UI"/>
        <family val="2"/>
      </rPr>
      <t>PROVISIONES PARA INCOBRABILIDAD DE CUENTAS POR COBRAR</t>
    </r>
  </si>
  <si>
    <r>
      <rPr>
        <sz val="10"/>
        <rFont val="Segoe UI"/>
        <family val="2"/>
      </rPr>
      <t>Provisión para incobrabilidad de cuentas por cobrar</t>
    </r>
  </si>
  <si>
    <r>
      <rPr>
        <sz val="10"/>
        <rFont val="Arial Narrow"/>
        <family val="2"/>
      </rPr>
      <t>Provisión para cuentas por cobrar por fideicomisos</t>
    </r>
  </si>
  <si>
    <r>
      <rPr>
        <sz val="10"/>
        <rFont val="Segoe UI"/>
        <family val="2"/>
      </rPr>
      <t>Provisión para cuentas por cobrar por operaciones de reporte</t>
    </r>
  </si>
  <si>
    <r>
      <rPr>
        <sz val="10"/>
        <rFont val="Segoe UI"/>
        <family val="2"/>
      </rPr>
      <t xml:space="preserve">Provisión para cuentas por cobrar por operaciones de venta con
</t>
    </r>
    <r>
      <rPr>
        <sz val="10"/>
        <rFont val="Segoe UI"/>
        <family val="2"/>
      </rPr>
      <t>compromiso de recompra</t>
    </r>
  </si>
  <si>
    <r>
      <rPr>
        <sz val="10"/>
        <rFont val="Segoe UI"/>
        <family val="2"/>
      </rPr>
      <t xml:space="preserve">Provisión para cuentas por cobrar por operaciones de venta y
</t>
    </r>
    <r>
      <rPr>
        <sz val="10"/>
        <rFont val="Segoe UI"/>
        <family val="2"/>
      </rPr>
      <t>compra simultáneas de valores</t>
    </r>
  </si>
  <si>
    <r>
      <rPr>
        <sz val="10"/>
        <rFont val="Segoe UI"/>
        <family val="2"/>
      </rPr>
      <t xml:space="preserve">Provisión para cuentas por cobrar por operaciones de transferencia
</t>
    </r>
    <r>
      <rPr>
        <sz val="10"/>
        <rFont val="Segoe UI"/>
        <family val="2"/>
      </rPr>
      <t>temporal de valores</t>
    </r>
  </si>
  <si>
    <r>
      <rPr>
        <sz val="10"/>
        <rFont val="Segoe UI"/>
        <family val="2"/>
      </rPr>
      <t xml:space="preserve">PROVISIONES PARA BIENES REALIZABLES, RECIBIDOS EN PAGO Y
</t>
    </r>
    <r>
      <rPr>
        <sz val="10"/>
        <rFont val="Segoe UI"/>
        <family val="2"/>
      </rPr>
      <t>ADJUDICADOS Y ACTIVOS NO CORRIENTES MANTENIDOS PARA LA VENTA</t>
    </r>
  </si>
  <si>
    <r>
      <rPr>
        <sz val="10"/>
        <rFont val="Segoe UI"/>
        <family val="2"/>
      </rPr>
      <t>Provisión para bienes realizables</t>
    </r>
  </si>
  <si>
    <r>
      <rPr>
        <sz val="10"/>
        <rFont val="Segoe UI"/>
        <family val="2"/>
      </rPr>
      <t>Provisión para bienes recibidos en pago y adjudicados</t>
    </r>
  </si>
  <si>
    <r>
      <rPr>
        <sz val="10"/>
        <rFont val="Segoe UI"/>
        <family val="2"/>
      </rPr>
      <t>Provisión para activos no corrientes mantenidos para la venta</t>
    </r>
  </si>
  <si>
    <r>
      <rPr>
        <sz val="10"/>
        <rFont val="Segoe UI"/>
        <family val="2"/>
      </rPr>
      <t>PROVISIONES PARA CONTINGENCIAS Y OTRAS</t>
    </r>
  </si>
  <si>
    <r>
      <rPr>
        <sz val="10"/>
        <rFont val="Segoe UI"/>
        <family val="2"/>
      </rPr>
      <t>Provisiones asociativas</t>
    </r>
  </si>
  <si>
    <r>
      <rPr>
        <sz val="10"/>
        <rFont val="Segoe UI"/>
        <family val="2"/>
      </rPr>
      <t>Otras provisiones</t>
    </r>
  </si>
  <si>
    <r>
      <rPr>
        <sz val="10"/>
        <rFont val="Segoe UI"/>
        <family val="2"/>
      </rPr>
      <t>DEPRECIACIÓN, AMORTIZACIÓN Y DETERIORO</t>
    </r>
  </si>
  <si>
    <r>
      <rPr>
        <sz val="10"/>
        <rFont val="Segoe UI"/>
        <family val="2"/>
      </rPr>
      <t>DEPRECIACIÓN DE INMUEBLES, MOBILIARIO Y EQUIPO</t>
    </r>
  </si>
  <si>
    <r>
      <rPr>
        <sz val="10"/>
        <rFont val="Segoe UI"/>
        <family val="2"/>
      </rPr>
      <t>Depreciación de edificios e instalaciones</t>
    </r>
  </si>
  <si>
    <r>
      <rPr>
        <sz val="10"/>
        <rFont val="Segoe UI"/>
        <family val="2"/>
      </rPr>
      <t>Depreciación de mobiliario y equipo</t>
    </r>
  </si>
  <si>
    <r>
      <rPr>
        <sz val="10"/>
        <rFont val="Segoe UI"/>
        <family val="2"/>
      </rPr>
      <t>Depreciación de equipos de transporte y maquinarias</t>
    </r>
  </si>
  <si>
    <r>
      <rPr>
        <sz val="10"/>
        <rFont val="Segoe UI"/>
        <family val="2"/>
      </rPr>
      <t>Depreciación de bienes recibidos en arrendamiento financiero</t>
    </r>
  </si>
  <si>
    <r>
      <rPr>
        <sz val="10"/>
        <rFont val="Segoe UI"/>
        <family val="2"/>
      </rPr>
      <t>Depreciación por instalaciones y mejoras en propiedades alquiladas</t>
    </r>
  </si>
  <si>
    <r>
      <rPr>
        <sz val="10"/>
        <rFont val="Segoe UI"/>
        <family val="2"/>
      </rPr>
      <t>AMORTIZACIÓN DE INTANGIBLES</t>
    </r>
  </si>
  <si>
    <r>
      <rPr>
        <sz val="10"/>
        <rFont val="Segoe UI"/>
        <family val="2"/>
      </rPr>
      <t>Amortización de otros activos intangibles</t>
    </r>
  </si>
  <si>
    <r>
      <rPr>
        <sz val="10"/>
        <rFont val="Segoe UI"/>
        <family val="2"/>
      </rPr>
      <t>Amortización del goodwill</t>
    </r>
  </si>
  <si>
    <r>
      <rPr>
        <sz val="10"/>
        <rFont val="Segoe UI"/>
        <family val="2"/>
      </rPr>
      <t>DETERIORO DE VALOR DE INMUEBLES, MOBILIARIO Y EQUIPO</t>
    </r>
  </si>
  <si>
    <r>
      <rPr>
        <sz val="10"/>
        <rFont val="Segoe UI"/>
        <family val="2"/>
      </rPr>
      <t>Deterioro de valor de edificios e instalaciones</t>
    </r>
  </si>
  <si>
    <r>
      <rPr>
        <sz val="10"/>
        <rFont val="Segoe UI"/>
        <family val="2"/>
      </rPr>
      <t>Deterioro de valor de mobiliario y equipo</t>
    </r>
  </si>
  <si>
    <r>
      <rPr>
        <sz val="10"/>
        <rFont val="Segoe UI"/>
        <family val="2"/>
      </rPr>
      <t>Deterioro de equipos de transporte y maquinarias</t>
    </r>
  </si>
  <si>
    <r>
      <rPr>
        <sz val="10"/>
        <rFont val="Segoe UI"/>
        <family val="2"/>
      </rPr>
      <t>Deterioro de valor de bienes recibidos en arrendamiento financiero</t>
    </r>
  </si>
  <si>
    <r>
      <rPr>
        <sz val="10"/>
        <rFont val="Segoe UI"/>
        <family val="2"/>
      </rPr>
      <t>Deterioro de instalaciones y mejoras en bienes alquilados</t>
    </r>
  </si>
  <si>
    <r>
      <rPr>
        <sz val="10"/>
        <rFont val="Segoe UI"/>
        <family val="2"/>
      </rPr>
      <t>DETERIORO DE VALOR DE ACTIVOS INTANGIBLES</t>
    </r>
  </si>
  <si>
    <r>
      <rPr>
        <sz val="10"/>
        <rFont val="Segoe UI"/>
        <family val="2"/>
      </rPr>
      <t>Deterioro de software</t>
    </r>
  </si>
  <si>
    <r>
      <rPr>
        <sz val="10"/>
        <rFont val="Segoe UI"/>
        <family val="2"/>
      </rPr>
      <t>Deterioro de otros activos intangibles</t>
    </r>
  </si>
  <si>
    <r>
      <rPr>
        <sz val="10"/>
        <rFont val="Segoe UI"/>
        <family val="2"/>
      </rPr>
      <t>Deterioro del goodwill</t>
    </r>
  </si>
  <si>
    <r>
      <rPr>
        <sz val="10"/>
        <rFont val="Segoe UI"/>
        <family val="2"/>
      </rPr>
      <t>GASTOS DE ADMINISTRACIÓN</t>
    </r>
  </si>
  <si>
    <r>
      <rPr>
        <sz val="10"/>
        <rFont val="Segoe UI"/>
        <family val="2"/>
      </rPr>
      <t>GASTOS DE PERSONAL</t>
    </r>
  </si>
  <si>
    <r>
      <rPr>
        <sz val="10"/>
        <rFont val="Segoe UI"/>
        <family val="2"/>
      </rPr>
      <t>Remuneraciones</t>
    </r>
  </si>
  <si>
    <r>
      <rPr>
        <sz val="10"/>
        <rFont val="Segoe UI"/>
        <family val="2"/>
      </rPr>
      <t>Bonificaciones</t>
    </r>
  </si>
  <si>
    <r>
      <rPr>
        <sz val="10"/>
        <rFont val="Segoe UI"/>
        <family val="2"/>
      </rPr>
      <t>Gratificaciones</t>
    </r>
  </si>
  <si>
    <r>
      <rPr>
        <sz val="10"/>
        <rFont val="Segoe UI"/>
        <family val="2"/>
      </rPr>
      <t>Asignaciones</t>
    </r>
  </si>
  <si>
    <r>
      <rPr>
        <sz val="10"/>
        <rFont val="Segoe UI"/>
        <family val="2"/>
      </rPr>
      <t>Otras remuneraciones</t>
    </r>
  </si>
  <si>
    <r>
      <rPr>
        <sz val="10"/>
        <rFont val="Segoe UI"/>
        <family val="2"/>
      </rPr>
      <t>Compensación vacacional</t>
    </r>
  </si>
  <si>
    <r>
      <rPr>
        <sz val="10"/>
        <rFont val="Segoe UI"/>
        <family val="2"/>
      </rPr>
      <t>Seguro de vida y accidentes de trabajo</t>
    </r>
  </si>
  <si>
    <r>
      <rPr>
        <sz val="10"/>
        <rFont val="Segoe UI"/>
        <family val="2"/>
      </rPr>
      <t>Seguridad y previsión social</t>
    </r>
  </si>
  <si>
    <r>
      <rPr>
        <sz val="10"/>
        <rFont val="Segoe UI"/>
        <family val="2"/>
      </rPr>
      <t>Fondo de Pensiones</t>
    </r>
  </si>
  <si>
    <r>
      <rPr>
        <sz val="10"/>
        <rFont val="Segoe UI"/>
        <family val="2"/>
      </rPr>
      <t>Viáticos</t>
    </r>
  </si>
  <si>
    <r>
      <rPr>
        <sz val="10"/>
        <rFont val="Segoe UI"/>
        <family val="2"/>
      </rPr>
      <t>Jubilaciones</t>
    </r>
  </si>
  <si>
    <r>
      <rPr>
        <sz val="10"/>
        <rFont val="Segoe UI"/>
        <family val="2"/>
      </rPr>
      <t>Otros gastos</t>
    </r>
  </si>
  <si>
    <r>
      <rPr>
        <sz val="10"/>
        <rFont val="Segoe UI"/>
        <family val="2"/>
      </rPr>
      <t>GASTOS DE DIRECTIVOS</t>
    </r>
  </si>
  <si>
    <r>
      <rPr>
        <sz val="10"/>
        <rFont val="Segoe UI"/>
        <family val="2"/>
      </rPr>
      <t>Dietas</t>
    </r>
  </si>
  <si>
    <r>
      <rPr>
        <sz val="10"/>
        <rFont val="Segoe UI"/>
        <family val="2"/>
      </rPr>
      <t>Dietas Consejo de Administración</t>
    </r>
  </si>
  <si>
    <r>
      <rPr>
        <sz val="10"/>
        <rFont val="Segoe UI"/>
        <family val="2"/>
      </rPr>
      <t>Dietas Consejo de Vigilancia</t>
    </r>
  </si>
  <si>
    <r>
      <rPr>
        <sz val="10"/>
        <rFont val="Segoe UI"/>
        <family val="2"/>
      </rPr>
      <t>Dietas Comité de Educación</t>
    </r>
  </si>
  <si>
    <r>
      <rPr>
        <sz val="10"/>
        <rFont val="Segoe UI"/>
        <family val="2"/>
      </rPr>
      <t>Dietas Comité Electoral</t>
    </r>
  </si>
  <si>
    <r>
      <rPr>
        <sz val="10"/>
        <rFont val="Segoe UI"/>
        <family val="2"/>
      </rPr>
      <t>Atenciones y representaciones</t>
    </r>
  </si>
  <si>
    <r>
      <rPr>
        <sz val="10"/>
        <rFont val="Segoe UI"/>
        <family val="2"/>
      </rPr>
      <t>Gastos de representación</t>
    </r>
  </si>
  <si>
    <r>
      <rPr>
        <sz val="10"/>
        <rFont val="Segoe UI"/>
        <family val="2"/>
      </rPr>
      <t>Viáticos otros comités</t>
    </r>
  </si>
  <si>
    <r>
      <rPr>
        <sz val="10"/>
        <rFont val="Segoe UI"/>
        <family val="2"/>
      </rPr>
      <t>Pasajes</t>
    </r>
  </si>
  <si>
    <r>
      <rPr>
        <sz val="10"/>
        <rFont val="Segoe UI"/>
        <family val="2"/>
      </rPr>
      <t>Pasajes otros comités</t>
    </r>
  </si>
  <si>
    <r>
      <rPr>
        <sz val="10"/>
        <rFont val="Segoe UI"/>
        <family val="2"/>
      </rPr>
      <t>Capacitación de directivos</t>
    </r>
  </si>
  <si>
    <r>
      <rPr>
        <sz val="10"/>
        <rFont val="Segoe UI"/>
        <family val="2"/>
      </rPr>
      <t>Otros gastos de directivos</t>
    </r>
  </si>
  <si>
    <r>
      <rPr>
        <sz val="10"/>
        <rFont val="Segoe UI"/>
        <family val="2"/>
      </rPr>
      <t>GASTOS POR SERVICIOS RECIBIDOS DE TERCEROS</t>
    </r>
  </si>
  <si>
    <r>
      <rPr>
        <sz val="10"/>
        <rFont val="Segoe UI"/>
        <family val="2"/>
      </rPr>
      <t>Domiciliados</t>
    </r>
  </si>
  <si>
    <r>
      <rPr>
        <sz val="10"/>
        <rFont val="Segoe UI"/>
        <family val="2"/>
      </rPr>
      <t>Transporte</t>
    </r>
  </si>
  <si>
    <r>
      <rPr>
        <sz val="10"/>
        <rFont val="Segoe UI"/>
        <family val="2"/>
      </rPr>
      <t>Vigilancia y protección</t>
    </r>
  </si>
  <si>
    <r>
      <rPr>
        <sz val="10"/>
        <rFont val="Segoe UI"/>
        <family val="2"/>
      </rPr>
      <t>Publicidad</t>
    </r>
  </si>
  <si>
    <r>
      <rPr>
        <sz val="10"/>
        <rFont val="Segoe UI"/>
        <family val="2"/>
      </rPr>
      <t>Energía y agua</t>
    </r>
  </si>
  <si>
    <r>
      <rPr>
        <sz val="10"/>
        <rFont val="Segoe UI"/>
        <family val="2"/>
      </rPr>
      <t>Comunicaciones</t>
    </r>
  </si>
  <si>
    <r>
      <rPr>
        <sz val="10"/>
        <rFont val="Segoe UI"/>
        <family val="2"/>
      </rPr>
      <t>Honorarios profesionales</t>
    </r>
  </si>
  <si>
    <r>
      <rPr>
        <sz val="10"/>
        <rFont val="Segoe UI"/>
        <family val="2"/>
      </rPr>
      <t>Seguros</t>
    </r>
  </si>
  <si>
    <r>
      <rPr>
        <sz val="10"/>
        <rFont val="Segoe UI"/>
        <family val="2"/>
      </rPr>
      <t>Alquileres</t>
    </r>
  </si>
  <si>
    <r>
      <rPr>
        <sz val="10"/>
        <rFont val="Segoe UI"/>
        <family val="2"/>
      </rPr>
      <t>Suministros diversos</t>
    </r>
  </si>
  <si>
    <r>
      <rPr>
        <sz val="10"/>
        <rFont val="Segoe UI"/>
        <family val="2"/>
      </rPr>
      <t>Gastos notariales y de registro</t>
    </r>
  </si>
  <si>
    <r>
      <rPr>
        <sz val="10"/>
        <rFont val="Segoe UI"/>
        <family val="2"/>
      </rPr>
      <t>Gastos judiciales</t>
    </r>
  </si>
  <si>
    <r>
      <rPr>
        <sz val="10"/>
        <rFont val="Segoe UI"/>
        <family val="2"/>
      </rPr>
      <t>Suscripciones y cotizaciones</t>
    </r>
  </si>
  <si>
    <r>
      <rPr>
        <sz val="10"/>
        <rFont val="Segoe UI"/>
        <family val="2"/>
      </rPr>
      <t>Limpieza</t>
    </r>
  </si>
  <si>
    <r>
      <rPr>
        <sz val="10"/>
        <rFont val="Segoe UI"/>
        <family val="2"/>
      </rPr>
      <t>Relaciones públicas y eventos</t>
    </r>
  </si>
  <si>
    <r>
      <rPr>
        <sz val="10"/>
        <rFont val="Segoe UI"/>
        <family val="2"/>
      </rPr>
      <t>Gastos de Viaje</t>
    </r>
  </si>
  <si>
    <r>
      <rPr>
        <sz val="10"/>
        <rFont val="Segoe UI"/>
        <family val="2"/>
      </rPr>
      <t>Estudios y proyectos</t>
    </r>
  </si>
  <si>
    <r>
      <rPr>
        <sz val="10"/>
        <rFont val="Segoe UI"/>
        <family val="2"/>
      </rPr>
      <t>Consultorías</t>
    </r>
  </si>
  <si>
    <r>
      <rPr>
        <sz val="10"/>
        <rFont val="Segoe UI"/>
        <family val="2"/>
      </rPr>
      <t>Sociedades de auditoría</t>
    </r>
  </si>
  <si>
    <r>
      <rPr>
        <sz val="10"/>
        <rFont val="Segoe UI"/>
        <family val="2"/>
      </rPr>
      <t>Transferencias electrónicas</t>
    </r>
  </si>
  <si>
    <r>
      <rPr>
        <sz val="10"/>
        <rFont val="Segoe UI"/>
        <family val="2"/>
      </rPr>
      <t>Otros servicios</t>
    </r>
  </si>
  <si>
    <r>
      <rPr>
        <sz val="10"/>
        <rFont val="Segoe UI"/>
        <family val="2"/>
      </rPr>
      <t>No domiciliados</t>
    </r>
  </si>
  <si>
    <r>
      <rPr>
        <sz val="10"/>
        <rFont val="Segoe UI"/>
        <family val="2"/>
      </rPr>
      <t>TRIBUTOS</t>
    </r>
  </si>
  <si>
    <r>
      <rPr>
        <sz val="10"/>
        <rFont val="Segoe UI"/>
        <family val="2"/>
      </rPr>
      <t>Derechos aduaneros</t>
    </r>
  </si>
  <si>
    <r>
      <rPr>
        <sz val="10"/>
        <rFont val="Segoe UI"/>
        <family val="2"/>
      </rPr>
      <t>Tributos a gobiernos locales</t>
    </r>
  </si>
  <si>
    <r>
      <rPr>
        <sz val="10"/>
        <rFont val="Segoe UI"/>
        <family val="2"/>
      </rPr>
      <t>Superintendencia de Banca, Seguros y AFP</t>
    </r>
  </si>
  <si>
    <r>
      <rPr>
        <sz val="10"/>
        <rFont val="Segoe UI"/>
        <family val="2"/>
      </rPr>
      <t>Aportes gremiales</t>
    </r>
  </si>
  <si>
    <r>
      <rPr>
        <sz val="10"/>
        <rFont val="Segoe UI"/>
        <family val="2"/>
      </rPr>
      <t>Otros tributos</t>
    </r>
  </si>
  <si>
    <r>
      <rPr>
        <sz val="10"/>
        <rFont val="Segoe UI"/>
        <family val="2"/>
      </rPr>
      <t>GASTOS DE ACTIVIDADES ASOCIATIVAS</t>
    </r>
  </si>
  <si>
    <r>
      <rPr>
        <sz val="10"/>
        <rFont val="Segoe UI"/>
        <family val="2"/>
      </rPr>
      <t>Gastos de Elecciones</t>
    </r>
  </si>
  <si>
    <r>
      <rPr>
        <sz val="10"/>
        <rFont val="Segoe UI"/>
        <family val="2"/>
      </rPr>
      <t>Gastos de alquiler de local y equipos de Elecciones</t>
    </r>
  </si>
  <si>
    <r>
      <rPr>
        <sz val="10"/>
        <rFont val="Segoe UI"/>
        <family val="2"/>
      </rPr>
      <t>Gastos de movilidad y viáticos de Elecciones</t>
    </r>
  </si>
  <si>
    <r>
      <rPr>
        <sz val="10"/>
        <rFont val="Segoe UI"/>
        <family val="2"/>
      </rPr>
      <t>Gastos de Asamblea General</t>
    </r>
  </si>
  <si>
    <r>
      <rPr>
        <sz val="10"/>
        <rFont val="Segoe UI"/>
        <family val="2"/>
      </rPr>
      <t>OTROS GASTOS</t>
    </r>
  </si>
  <si>
    <r>
      <rPr>
        <sz val="10"/>
        <rFont val="Segoe UI"/>
        <family val="2"/>
      </rPr>
      <t>PÉRDIDA EN VENTA DE INMUEBLES, MOBILIARIO Y EQUIPO</t>
    </r>
  </si>
  <si>
    <r>
      <rPr>
        <sz val="10"/>
        <rFont val="Segoe UI"/>
        <family val="2"/>
      </rPr>
      <t>PÉRDIDA EN BIENES ADJUDICADOS Y RECUPERADOS</t>
    </r>
  </si>
  <si>
    <r>
      <rPr>
        <sz val="10"/>
        <rFont val="Segoe UI"/>
        <family val="2"/>
      </rPr>
      <t>Pérdida en venta o colocación de bienes adjudicados y recuperados</t>
    </r>
  </si>
  <si>
    <r>
      <rPr>
        <sz val="10"/>
        <rFont val="Segoe UI"/>
        <family val="2"/>
      </rPr>
      <t>Gastos por bienes adjudicados y recuperados</t>
    </r>
  </si>
  <si>
    <r>
      <rPr>
        <sz val="10"/>
        <rFont val="Segoe UI"/>
        <family val="2"/>
      </rPr>
      <t xml:space="preserve">PÉRDIDA EN VENTA DE ACTIVOS NO CORRIENTES MANTENIDOS
</t>
    </r>
    <r>
      <rPr>
        <sz val="10"/>
        <rFont val="Segoe UI"/>
        <family val="2"/>
      </rPr>
      <t>PARA LA VENTA</t>
    </r>
  </si>
  <si>
    <r>
      <rPr>
        <sz val="10"/>
        <rFont val="Segoe UI"/>
        <family val="2"/>
      </rPr>
      <t>SANCIONES ADMINISTRATIVAS Y FISCALES</t>
    </r>
  </si>
  <si>
    <r>
      <rPr>
        <sz val="10"/>
        <rFont val="Segoe UI"/>
        <family val="2"/>
      </rPr>
      <t>PÉRDIDAS NO CUBIERTAS POR SEGUROS</t>
    </r>
  </si>
  <si>
    <r>
      <rPr>
        <sz val="10"/>
        <rFont val="Segoe UI"/>
        <family val="2"/>
      </rPr>
      <t>DONACIONES EFECTUADAS</t>
    </r>
  </si>
  <si>
    <r>
      <rPr>
        <sz val="10"/>
        <rFont val="Segoe UI"/>
        <family val="2"/>
      </rPr>
      <t>COSTO DE VENTAS</t>
    </r>
  </si>
  <si>
    <r>
      <rPr>
        <sz val="10"/>
        <rFont val="Segoe UI"/>
        <family val="2"/>
      </rPr>
      <t>COSTO DE VENTAS DE BIENES</t>
    </r>
  </si>
  <si>
    <r>
      <rPr>
        <sz val="10"/>
        <rFont val="Segoe UI"/>
        <family val="2"/>
      </rPr>
      <t>COSTO DE VENTAS DE SERVICIOS</t>
    </r>
  </si>
  <si>
    <r>
      <rPr>
        <sz val="10"/>
        <rFont val="Segoe UI"/>
        <family val="2"/>
      </rPr>
      <t>INGRESOS</t>
    </r>
  </si>
  <si>
    <r>
      <rPr>
        <sz val="10"/>
        <rFont val="Segoe UI"/>
        <family val="2"/>
      </rPr>
      <t>INGRESOS FINANCIEROS</t>
    </r>
  </si>
  <si>
    <r>
      <rPr>
        <sz val="10"/>
        <rFont val="Segoe UI"/>
        <family val="2"/>
      </rPr>
      <t>INTERESES Y RENDIMIENTOS POR DISPONIBLES</t>
    </r>
  </si>
  <si>
    <r>
      <rPr>
        <sz val="10"/>
        <rFont val="Segoe UI"/>
        <family val="2"/>
      </rPr>
      <t xml:space="preserve">Intereses y rendimientos por depósitos en bancos, otras empresas
</t>
    </r>
    <r>
      <rPr>
        <sz val="10"/>
        <rFont val="Segoe UI"/>
        <family val="2"/>
      </rPr>
      <t>del sistema financiero del país y Coopac</t>
    </r>
  </si>
  <si>
    <r>
      <rPr>
        <sz val="10"/>
        <rFont val="Segoe UI"/>
        <family val="2"/>
      </rPr>
      <t xml:space="preserve">Intereses y rendimientos por depósitos en bancos y otras
</t>
    </r>
    <r>
      <rPr>
        <sz val="10"/>
        <rFont val="Segoe UI"/>
        <family val="2"/>
      </rPr>
      <t>instituciones financieras del exterior</t>
    </r>
  </si>
  <si>
    <r>
      <rPr>
        <sz val="10"/>
        <rFont val="Segoe UI"/>
        <family val="2"/>
      </rPr>
      <t>Supervisadas por organismos similares a la SBS</t>
    </r>
  </si>
  <si>
    <r>
      <rPr>
        <sz val="10"/>
        <rFont val="Segoe UI"/>
        <family val="2"/>
      </rPr>
      <t>Intereses y rendimientos por fondos disponibles restringidos</t>
    </r>
  </si>
  <si>
    <r>
      <rPr>
        <sz val="10"/>
        <rFont val="Segoe UI"/>
        <family val="2"/>
      </rPr>
      <t>INTERESES Y RENDIMIENTOS POR FONDOS INTERCOOPERATIVOS</t>
    </r>
  </si>
  <si>
    <r>
      <rPr>
        <sz val="10"/>
        <rFont val="Segoe UI"/>
        <family val="2"/>
      </rPr>
      <t>INGRESOS POR INVERSIONES NEGOCIABLES Y A VENCIMIENTO</t>
    </r>
  </si>
  <si>
    <r>
      <rPr>
        <sz val="10"/>
        <rFont val="Segoe UI"/>
        <family val="2"/>
      </rPr>
      <t xml:space="preserve">Inversiones a Valor Razonable con Cambios en Resultados -
</t>
    </r>
    <r>
      <rPr>
        <sz val="10"/>
        <rFont val="Segoe UI"/>
        <family val="2"/>
      </rPr>
      <t>Instrumentos Representativos de Capital</t>
    </r>
  </si>
  <si>
    <r>
      <rPr>
        <sz val="10"/>
        <rFont val="Segoe UI"/>
        <family val="2"/>
      </rPr>
      <t>Valores y títulos emitidos por otras Coopac</t>
    </r>
  </si>
  <si>
    <r>
      <rPr>
        <sz val="10"/>
        <rFont val="Segoe UI"/>
        <family val="2"/>
      </rPr>
      <t xml:space="preserve">Inversiones Disponibles para la Venta - Instrumentos Representativos
</t>
    </r>
    <r>
      <rPr>
        <sz val="10"/>
        <rFont val="Segoe UI"/>
        <family val="2"/>
      </rPr>
      <t>de Deuda</t>
    </r>
  </si>
  <si>
    <r>
      <rPr>
        <sz val="10"/>
        <rFont val="Segoe UI"/>
        <family val="2"/>
      </rPr>
      <t>Valores y títulos emitidos por el Bancos Centrales</t>
    </r>
  </si>
  <si>
    <r>
      <rPr>
        <sz val="10"/>
        <rFont val="Segoe UI"/>
        <family val="2"/>
      </rPr>
      <t>Inversiones en commodities</t>
    </r>
  </si>
  <si>
    <r>
      <rPr>
        <sz val="10"/>
        <rFont val="Segoe UI"/>
        <family val="2"/>
      </rPr>
      <t>INTERESES POR CRÉDITOS</t>
    </r>
  </si>
  <si>
    <r>
      <rPr>
        <sz val="10"/>
        <rFont val="Segoe UI"/>
        <family val="2"/>
      </rPr>
      <t>Intereses por créditos vigentes</t>
    </r>
  </si>
  <si>
    <r>
      <rPr>
        <sz val="10"/>
        <rFont val="Segoe UI"/>
        <family val="2"/>
      </rPr>
      <t>Intereses por créditos a microempresas</t>
    </r>
  </si>
  <si>
    <r>
      <rPr>
        <sz val="10"/>
        <rFont val="Segoe UI"/>
        <family val="2"/>
      </rPr>
      <t>Intereses por créditos de consumo</t>
    </r>
  </si>
  <si>
    <r>
      <rPr>
        <sz val="10"/>
        <rFont val="Segoe UI"/>
        <family val="2"/>
      </rPr>
      <t>Intereses por créditos hipotecarios para vivienda</t>
    </r>
  </si>
  <si>
    <r>
      <rPr>
        <sz val="10"/>
        <rFont val="Segoe UI"/>
        <family val="2"/>
      </rPr>
      <t>Préstamos del Fondo MiVIVIENDA</t>
    </r>
  </si>
  <si>
    <r>
      <rPr>
        <sz val="10"/>
        <rFont val="Arial Narrow"/>
        <family val="2"/>
      </rPr>
      <t>Intereses por créditos a entidades del sector público</t>
    </r>
  </si>
  <si>
    <r>
      <rPr>
        <sz val="10"/>
        <rFont val="Segoe UI"/>
        <family val="2"/>
      </rPr>
      <t>Intereses por créditos a Coopac</t>
    </r>
  </si>
  <si>
    <r>
      <rPr>
        <sz val="10"/>
        <rFont val="Segoe UI"/>
        <family val="2"/>
      </rPr>
      <t>Intereses por créditos corporativos</t>
    </r>
  </si>
  <si>
    <r>
      <rPr>
        <sz val="10"/>
        <rFont val="Segoe UI"/>
        <family val="2"/>
      </rPr>
      <t>Intereses por créditos a grandes empresas</t>
    </r>
  </si>
  <si>
    <r>
      <rPr>
        <sz val="10"/>
        <rFont val="Segoe UI"/>
        <family val="2"/>
      </rPr>
      <t>Intereses por créditos a medianas empresas</t>
    </r>
  </si>
  <si>
    <r>
      <rPr>
        <sz val="10"/>
        <rFont val="Segoe UI"/>
        <family val="2"/>
      </rPr>
      <t>Intereses por créditos a pequeñas empresas</t>
    </r>
  </si>
  <si>
    <r>
      <rPr>
        <sz val="10"/>
        <rFont val="Segoe UI"/>
        <family val="2"/>
      </rPr>
      <t>Intereses por créditos reestructurados</t>
    </r>
  </si>
  <si>
    <r>
      <rPr>
        <sz val="10"/>
        <rFont val="Segoe UI"/>
        <family val="2"/>
      </rPr>
      <t>Intereses por créditos refinanciados</t>
    </r>
  </si>
  <si>
    <r>
      <rPr>
        <sz val="10"/>
        <rFont val="Segoe UI"/>
        <family val="2"/>
      </rPr>
      <t>Intereses por créditos vencidos</t>
    </r>
  </si>
  <si>
    <r>
      <rPr>
        <sz val="10"/>
        <rFont val="Segoe UI"/>
        <family val="2"/>
      </rPr>
      <t>Intereses por créditos en cobranza judicial</t>
    </r>
  </si>
  <si>
    <r>
      <rPr>
        <sz val="10"/>
        <rFont val="Segoe UI"/>
        <family val="2"/>
      </rPr>
      <t>Intereses de cuentas por cobrar por venta de bienes y servicios</t>
    </r>
  </si>
  <si>
    <r>
      <rPr>
        <sz val="10"/>
        <rFont val="Segoe UI"/>
        <family val="2"/>
      </rPr>
      <t>Intereses de cuentas por cobrar por venta de bienes</t>
    </r>
  </si>
  <si>
    <r>
      <rPr>
        <sz val="10"/>
        <rFont val="Segoe UI"/>
        <family val="2"/>
      </rPr>
      <t>Intereses de cuentas por cobrar por venta de servicios</t>
    </r>
  </si>
  <si>
    <r>
      <rPr>
        <sz val="10"/>
        <rFont val="Segoe UI"/>
        <family val="2"/>
      </rPr>
      <t>Intereses de cuentas por cobrar por alquiler de bienes</t>
    </r>
  </si>
  <si>
    <r>
      <rPr>
        <sz val="10"/>
        <rFont val="Segoe UI"/>
        <family val="2"/>
      </rPr>
      <t xml:space="preserve">Ingresos de cuentas por cobrar por pagos efectuados por cuenta de
</t>
    </r>
    <r>
      <rPr>
        <sz val="10"/>
        <rFont val="Segoe UI"/>
        <family val="2"/>
      </rPr>
      <t>terceros</t>
    </r>
  </si>
  <si>
    <r>
      <rPr>
        <sz val="10"/>
        <rFont val="Segoe UI"/>
        <family val="2"/>
      </rPr>
      <t>Comisiones por cobrar</t>
    </r>
  </si>
  <si>
    <r>
      <rPr>
        <sz val="10"/>
        <rFont val="Segoe UI"/>
        <family val="2"/>
      </rPr>
      <t>Otras comisiones</t>
    </r>
  </si>
  <si>
    <r>
      <rPr>
        <sz val="10"/>
        <rFont val="Segoe UI"/>
        <family val="2"/>
      </rPr>
      <t>Ingresos por cuentas por cobrar diversas</t>
    </r>
  </si>
  <si>
    <r>
      <rPr>
        <sz val="10"/>
        <rFont val="Segoe UI"/>
        <family val="2"/>
      </rPr>
      <t>COMISIONES Y OTROS RENDIMIENTOS POR CREDITOS DIRECTOS</t>
    </r>
  </si>
  <si>
    <r>
      <rPr>
        <sz val="10"/>
        <rFont val="Segoe UI"/>
        <family val="2"/>
      </rPr>
      <t>Créditos</t>
    </r>
  </si>
  <si>
    <r>
      <rPr>
        <sz val="10"/>
        <rFont val="Segoe UI"/>
        <family val="2"/>
      </rPr>
      <t>INGRESOS FINANCIEROS DIVERSOS</t>
    </r>
  </si>
  <si>
    <r>
      <rPr>
        <sz val="10"/>
        <rFont val="Segoe UI"/>
        <family val="2"/>
      </rPr>
      <t>Resultado en la compraventa de valores</t>
    </r>
  </si>
  <si>
    <r>
      <rPr>
        <sz val="10"/>
        <rFont val="Segoe UI"/>
        <family val="2"/>
      </rPr>
      <t>Ganancias en Inversiones en subsidiarias y asociadas</t>
    </r>
  </si>
  <si>
    <r>
      <rPr>
        <sz val="10"/>
        <rFont val="Segoe UI"/>
        <family val="2"/>
      </rPr>
      <t>Ingresos financieros interoficinas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</si>
  <si>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- Instrumentos Representativos de Capital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</si>
  <si>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– Instrumentos Representativos de Deuda</t>
    </r>
  </si>
  <si>
    <r>
      <rPr>
        <sz val="10"/>
        <rFont val="Segoe UI"/>
        <family val="2"/>
      </rPr>
      <t xml:space="preserve">Valorización de Inversiones Disponibles para la Venta –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</si>
  <si>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 xml:space="preserve">Valorización de Inversiones Disponibles para la Venta – Instrumentos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</si>
  <si>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Certificados de depósito y mercaderías</t>
    </r>
  </si>
  <si>
    <r>
      <rPr>
        <sz val="10"/>
        <rFont val="Arial Narrow"/>
        <family val="2"/>
      </rPr>
      <t>Valorización de inversiones en commodities</t>
    </r>
  </si>
  <si>
    <r>
      <rPr>
        <sz val="10"/>
        <rFont val="Arial Narrow"/>
        <family val="2"/>
      </rPr>
      <t>Ingresos por productos financieros derivados para negociación</t>
    </r>
  </si>
  <si>
    <r>
      <rPr>
        <sz val="10"/>
        <rFont val="Segoe UI"/>
        <family val="2"/>
      </rPr>
      <t>Ingresos por productos financieros derivados con fines de cobertura</t>
    </r>
  </si>
  <si>
    <r>
      <rPr>
        <sz val="10"/>
        <rFont val="Arial Narrow"/>
        <family val="2"/>
      </rPr>
      <t>Derivados de tasas de interés (devengue de tasas)</t>
    </r>
  </si>
  <si>
    <r>
      <rPr>
        <sz val="10"/>
        <rFont val="Arial Narrow"/>
        <family val="2"/>
      </rPr>
      <t>Fluctuación de valor de las obligaciones por ventas en corto</t>
    </r>
  </si>
  <si>
    <r>
      <rPr>
        <sz val="10"/>
        <rFont val="Segoe UI"/>
        <family val="2"/>
      </rPr>
      <t>Utilidad por compra de cartera crediticia</t>
    </r>
  </si>
  <si>
    <r>
      <rPr>
        <sz val="10"/>
        <rFont val="Segoe UI"/>
        <family val="2"/>
      </rPr>
      <t>Utilidad por venta de cartera crediticia</t>
    </r>
  </si>
  <si>
    <r>
      <rPr>
        <sz val="10"/>
        <rFont val="Segoe UI"/>
        <family val="2"/>
      </rPr>
      <t>Ingresos por recuperación de cartera castigada</t>
    </r>
  </si>
  <si>
    <r>
      <rPr>
        <sz val="10"/>
        <rFont val="Segoe UI"/>
        <family val="2"/>
      </rPr>
      <t>Ingresos relacionados a operaciones de reporte</t>
    </r>
  </si>
  <si>
    <r>
      <rPr>
        <sz val="10"/>
        <rFont val="Segoe UI"/>
        <family val="2"/>
      </rPr>
      <t>INGRESOS POR SERVICIOS FINANCIEROS</t>
    </r>
  </si>
  <si>
    <r>
      <rPr>
        <sz val="10"/>
        <rFont val="Segoe UI"/>
        <family val="2"/>
      </rPr>
      <t>INGRESOS POR CRÉDITOS INDIRECTOS</t>
    </r>
  </si>
  <si>
    <r>
      <rPr>
        <sz val="10"/>
        <rFont val="Segoe UI"/>
        <family val="2"/>
      </rPr>
      <t>Cartas fianza</t>
    </r>
  </si>
  <si>
    <r>
      <rPr>
        <sz val="10"/>
        <rFont val="Segoe UI"/>
        <family val="2"/>
      </rPr>
      <t xml:space="preserve">Líneas de crédito no utilizadas y créditos concedidos no
</t>
    </r>
    <r>
      <rPr>
        <sz val="10"/>
        <rFont val="Segoe UI"/>
        <family val="2"/>
      </rPr>
      <t>desembolsados</t>
    </r>
  </si>
  <si>
    <r>
      <rPr>
        <sz val="10"/>
        <rFont val="Segoe UI"/>
        <family val="2"/>
      </rPr>
      <t>INGRESOS POR SERVICIOS DIVERSOS</t>
    </r>
  </si>
  <si>
    <r>
      <rPr>
        <sz val="10"/>
        <rFont val="Segoe UI"/>
        <family val="2"/>
      </rPr>
      <t>Mantenimiento de cuentas corrientes</t>
    </r>
  </si>
  <si>
    <r>
      <rPr>
        <sz val="10"/>
        <rFont val="Segoe UI"/>
        <family val="2"/>
      </rPr>
      <t>Custodia de valores</t>
    </r>
  </si>
  <si>
    <r>
      <rPr>
        <sz val="10"/>
        <rFont val="Arial Narrow"/>
        <family val="2"/>
      </rPr>
      <t>Órdenes de pago</t>
    </r>
  </si>
  <si>
    <r>
      <rPr>
        <sz val="10"/>
        <rFont val="Segoe UI"/>
        <family val="2"/>
      </rPr>
      <t>Estudios técnicos y legales</t>
    </r>
  </si>
  <si>
    <r>
      <rPr>
        <sz val="10"/>
        <rFont val="Segoe UI"/>
        <family val="2"/>
      </rPr>
      <t>Asesoría financiera</t>
    </r>
  </si>
  <si>
    <r>
      <rPr>
        <sz val="10"/>
        <rFont val="Segoe UI"/>
        <family val="2"/>
      </rPr>
      <t>Cobro de tributos</t>
    </r>
  </si>
  <si>
    <r>
      <rPr>
        <sz val="10"/>
        <rFont val="Segoe UI"/>
        <family val="2"/>
      </rPr>
      <t>Compraventa de valores</t>
    </r>
  </si>
  <si>
    <r>
      <rPr>
        <sz val="10"/>
        <rFont val="Segoe UI"/>
        <family val="2"/>
      </rPr>
      <t>Otros ingresos por servicios</t>
    </r>
  </si>
  <si>
    <r>
      <rPr>
        <sz val="10"/>
        <rFont val="Segoe UI"/>
        <family val="2"/>
      </rPr>
      <t>INGRESOS POR ARRENDAMIENTOS</t>
    </r>
  </si>
  <si>
    <r>
      <rPr>
        <sz val="10"/>
        <rFont val="Segoe UI"/>
        <family val="2"/>
      </rPr>
      <t>Bienes propios</t>
    </r>
  </si>
  <si>
    <r>
      <rPr>
        <sz val="10"/>
        <rFont val="Segoe UI"/>
        <family val="2"/>
      </rPr>
      <t>Bienes recibidos en pago y adjudicados</t>
    </r>
  </si>
  <si>
    <r>
      <rPr>
        <sz val="10"/>
        <rFont val="Segoe UI"/>
        <family val="2"/>
      </rPr>
      <t>REVERSIÓN DE PÉRDIDAS POR DETERIORO Y RECUPERACIÓN DE DETERIORO EN INMUEBLES, MOBILIARIO Y EQUIPO, E INTANGIBLES</t>
    </r>
  </si>
  <si>
    <r>
      <rPr>
        <sz val="10"/>
        <rFont val="Segoe UI"/>
        <family val="2"/>
      </rPr>
      <t>Reversión por deterioro de inversiones negociables y a vencimiento</t>
    </r>
  </si>
  <si>
    <r>
      <rPr>
        <sz val="10"/>
        <rFont val="Segoe UI"/>
        <family val="2"/>
      </rPr>
      <t xml:space="preserve">Inversiones Disponibles para la Venta – Instrumentos Representativos
</t>
    </r>
    <r>
      <rPr>
        <sz val="10"/>
        <rFont val="Segoe UI"/>
        <family val="2"/>
      </rPr>
      <t>de Deuda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</si>
  <si>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</si>
  <si>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 xml:space="preserve">RECUPERACIÓN DE DETERIORO EN INMUEBLES, MOBILIARIO Y
</t>
    </r>
    <r>
      <rPr>
        <sz val="10"/>
        <rFont val="Segoe UI"/>
        <family val="2"/>
      </rPr>
      <t>EQUIPO</t>
    </r>
  </si>
  <si>
    <r>
      <rPr>
        <sz val="10"/>
        <rFont val="Segoe UI"/>
        <family val="2"/>
      </rPr>
      <t>Edificios e instalaciones</t>
    </r>
  </si>
  <si>
    <r>
      <rPr>
        <sz val="10"/>
        <rFont val="Segoe UI"/>
        <family val="2"/>
      </rPr>
      <t>Bienes recibidos en arrendamiento financiero</t>
    </r>
  </si>
  <si>
    <r>
      <rPr>
        <sz val="10"/>
        <rFont val="Segoe UI"/>
        <family val="2"/>
      </rPr>
      <t>Instalaciones y mejoras en bienes alquilados</t>
    </r>
  </si>
  <si>
    <r>
      <rPr>
        <sz val="10"/>
        <rFont val="Segoe UI"/>
        <family val="2"/>
      </rPr>
      <t>RECUPERACIÓN DE DETERIORO DE ACTIVOS INTANGIBLES</t>
    </r>
  </si>
  <si>
    <r>
      <rPr>
        <sz val="10"/>
        <rFont val="Segoe UI"/>
        <family val="2"/>
      </rPr>
      <t>Otros Activos Intangibles</t>
    </r>
  </si>
  <si>
    <r>
      <rPr>
        <sz val="10"/>
        <rFont val="Segoe UI"/>
        <family val="2"/>
      </rPr>
      <t>REVERSIÓN DE PROVISIONES</t>
    </r>
  </si>
  <si>
    <r>
      <rPr>
        <sz val="10"/>
        <rFont val="Segoe UI"/>
        <family val="2"/>
      </rPr>
      <t>REVERSIÓN DE PROVISIONES POR CRÉDITOS</t>
    </r>
  </si>
  <si>
    <r>
      <rPr>
        <sz val="10"/>
        <rFont val="Segoe UI"/>
        <family val="2"/>
      </rPr>
      <t>Créditos directos</t>
    </r>
  </si>
  <si>
    <r>
      <rPr>
        <sz val="10"/>
        <rFont val="Segoe UI"/>
        <family val="2"/>
      </rPr>
      <t>REVERSIÓN DE PROVISIONES POR CUENTAS POR COBRAR</t>
    </r>
  </si>
  <si>
    <r>
      <rPr>
        <sz val="10"/>
        <rFont val="Segoe UI"/>
        <family val="2"/>
      </rPr>
      <t xml:space="preserve">REVERSIÓN DE PROVISIONES POR BIENES REALIZABLES,
</t>
    </r>
    <r>
      <rPr>
        <sz val="10"/>
        <rFont val="Segoe UI"/>
        <family val="2"/>
      </rPr>
      <t>RECUPERADOS Y RECIBIDOS EN PAGO Y ADJUDICADOS</t>
    </r>
  </si>
  <si>
    <r>
      <rPr>
        <sz val="10"/>
        <rFont val="Segoe UI"/>
        <family val="2"/>
      </rPr>
      <t>OTROS INGRESOS</t>
    </r>
  </si>
  <si>
    <r>
      <rPr>
        <sz val="10"/>
        <rFont val="Segoe UI"/>
        <family val="2"/>
      </rPr>
      <t>UTILIDAD EN VENTA DE INMUEBLES, MOBILIARIO Y EQUIPO</t>
    </r>
  </si>
  <si>
    <r>
      <rPr>
        <sz val="10"/>
        <rFont val="Segoe UI"/>
        <family val="2"/>
      </rPr>
      <t>UTILIDAD EN VENTA DE BIENES ADJUDICADOS Y RECUPERADOS</t>
    </r>
  </si>
  <si>
    <r>
      <rPr>
        <sz val="10"/>
        <rFont val="Segoe UI"/>
        <family val="2"/>
      </rPr>
      <t xml:space="preserve">UTILIDAD EN VENTA DE ACTIVOS NO CORRIENTES MANTENIDOS
</t>
    </r>
    <r>
      <rPr>
        <sz val="10"/>
        <rFont val="Segoe UI"/>
        <family val="2"/>
      </rPr>
      <t>PARA LA VENTA</t>
    </r>
  </si>
  <si>
    <r>
      <rPr>
        <sz val="10"/>
        <rFont val="Segoe UI"/>
        <family val="2"/>
      </rPr>
      <t>DONACIONES RECIBIDAS PARA COBERTURA DE GASTOS</t>
    </r>
  </si>
  <si>
    <r>
      <rPr>
        <sz val="10"/>
        <rFont val="Segoe UI"/>
        <family val="2"/>
      </rPr>
      <t>VENTAS</t>
    </r>
  </si>
  <si>
    <r>
      <rPr>
        <sz val="10"/>
        <rFont val="Segoe UI"/>
        <family val="2"/>
      </rPr>
      <t>BIENES</t>
    </r>
  </si>
  <si>
    <r>
      <rPr>
        <sz val="10"/>
        <rFont val="Segoe UI"/>
        <family val="2"/>
      </rPr>
      <t>SERVICIOS</t>
    </r>
  </si>
  <si>
    <r>
      <rPr>
        <sz val="10"/>
        <rFont val="Segoe UI"/>
        <family val="2"/>
      </rPr>
      <t>CARGAS IMPUTABLES</t>
    </r>
  </si>
  <si>
    <r>
      <rPr>
        <sz val="10"/>
        <rFont val="Segoe UI"/>
        <family val="2"/>
      </rPr>
      <t>CUENTAS DE RESULTADO</t>
    </r>
  </si>
  <si>
    <r>
      <rPr>
        <sz val="10"/>
        <rFont val="Segoe UI"/>
        <family val="2"/>
      </rPr>
      <t>RESULTADO DE OPERACION</t>
    </r>
  </si>
  <si>
    <r>
      <rPr>
        <sz val="10"/>
        <rFont val="Segoe UI"/>
        <family val="2"/>
      </rPr>
      <t>Resultado de operación</t>
    </r>
  </si>
  <si>
    <r>
      <rPr>
        <sz val="10"/>
        <rFont val="Segoe UI"/>
        <family val="2"/>
      </rPr>
      <t>RESULTADO DEL EJERCICIO ANTES DE IMPUESTO A LA RENTA</t>
    </r>
  </si>
  <si>
    <r>
      <rPr>
        <sz val="10"/>
        <rFont val="Segoe UI"/>
        <family val="2"/>
      </rPr>
      <t>Resultado del ejercicio antes de impuesto a la renta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</si>
  <si>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</si>
  <si>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</si>
  <si>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Resultado neto del ejercicio</t>
    </r>
  </si>
  <si>
    <r>
      <rPr>
        <sz val="10"/>
        <rFont val="Segoe UI"/>
        <family val="2"/>
      </rPr>
      <t>CONTINGENTES</t>
    </r>
  </si>
  <si>
    <r>
      <rPr>
        <sz val="10"/>
        <rFont val="Segoe UI"/>
        <family val="2"/>
      </rPr>
      <t>CONTINGENTES DEUDORAS</t>
    </r>
  </si>
  <si>
    <r>
      <rPr>
        <sz val="10"/>
        <rFont val="Segoe UI"/>
        <family val="2"/>
      </rPr>
      <t>AVALES OTORGADOS</t>
    </r>
  </si>
  <si>
    <r>
      <rPr>
        <sz val="10"/>
        <rFont val="Segoe UI"/>
        <family val="2"/>
      </rPr>
      <t>CARTAS FIANZAS OTORGADAS</t>
    </r>
  </si>
  <si>
    <r>
      <rPr>
        <sz val="10"/>
        <rFont val="Segoe UI"/>
        <family val="2"/>
      </rPr>
      <t xml:space="preserve">LÍNEAS DE CRÉDITO NO UTILIZADAS Y CREDITOS CONCEDIDOS NO
</t>
    </r>
    <r>
      <rPr>
        <sz val="10"/>
        <rFont val="Segoe UI"/>
        <family val="2"/>
      </rPr>
      <t>DESEMBOLSADOS</t>
    </r>
  </si>
  <si>
    <r>
      <rPr>
        <sz val="10"/>
        <rFont val="Segoe UI"/>
        <family val="2"/>
      </rPr>
      <t>PRODUCTOS FINANCIEROS DERIVADOS</t>
    </r>
  </si>
  <si>
    <r>
      <rPr>
        <sz val="10"/>
        <rFont val="Arial Narrow"/>
        <family val="2"/>
      </rPr>
      <t>Swaps de Monedas (Cross-Currency Swaps)</t>
    </r>
  </si>
  <si>
    <r>
      <rPr>
        <sz val="10"/>
        <rFont val="Segoe UI"/>
        <family val="2"/>
      </rPr>
      <t>Forwards</t>
    </r>
  </si>
  <si>
    <r>
      <rPr>
        <sz val="10"/>
        <rFont val="Arial Narrow"/>
        <family val="2"/>
      </rPr>
      <t>Futuros</t>
    </r>
  </si>
  <si>
    <r>
      <rPr>
        <sz val="10"/>
        <rFont val="Arial Narrow"/>
        <family val="2"/>
      </rPr>
      <t>Opciones</t>
    </r>
  </si>
  <si>
    <r>
      <rPr>
        <sz val="10"/>
        <rFont val="Arial Narrow"/>
        <family val="2"/>
      </rPr>
      <t>Otros derivados de moneda extranjera</t>
    </r>
  </si>
  <si>
    <r>
      <rPr>
        <sz val="10"/>
        <rFont val="Segoe UI"/>
        <family val="2"/>
      </rPr>
      <t>RESPONSABILIDADES DIVERSAS</t>
    </r>
  </si>
  <si>
    <r>
      <rPr>
        <sz val="10"/>
        <rFont val="Segoe UI"/>
        <family val="2"/>
      </rPr>
      <t>CONTINGENTES ACREEDORAS</t>
    </r>
  </si>
  <si>
    <r>
      <rPr>
        <sz val="10"/>
        <rFont val="Segoe UI"/>
        <family val="2"/>
      </rPr>
      <t>RESPONSABILIDAD POR AVALES OTORGADOS</t>
    </r>
  </si>
  <si>
    <r>
      <rPr>
        <sz val="10"/>
        <rFont val="Segoe UI"/>
        <family val="2"/>
      </rPr>
      <t>RESPONSABILIDAD POR CARTAS FIANZAS OTORGADAS</t>
    </r>
  </si>
  <si>
    <r>
      <rPr>
        <sz val="10"/>
        <rFont val="Segoe UI"/>
        <family val="2"/>
      </rPr>
      <t xml:space="preserve">RESPONSABILIDAD POR LÍNEAS DE CRÉDITO NO UTILIZADAS Y
</t>
    </r>
    <r>
      <rPr>
        <sz val="10"/>
        <rFont val="Segoe UI"/>
        <family val="2"/>
      </rPr>
      <t>CREDITOS CONCEDIDOS NO DESEMBOLSADOS</t>
    </r>
  </si>
  <si>
    <r>
      <rPr>
        <sz val="10"/>
        <rFont val="Segoe UI"/>
        <family val="2"/>
      </rPr>
      <t>Responsabilidad por líneas de crédito en cuenta corriente</t>
    </r>
  </si>
  <si>
    <r>
      <rPr>
        <sz val="10"/>
        <rFont val="Segoe UI"/>
        <family val="2"/>
      </rPr>
      <t>Responsabilidad por líneas de crédito en descuentos</t>
    </r>
  </si>
  <si>
    <r>
      <rPr>
        <sz val="10"/>
        <rFont val="Segoe UI"/>
        <family val="2"/>
      </rPr>
      <t xml:space="preserve">Responsabilidad por líneas de crédito en descuentos a
</t>
    </r>
    <r>
      <rPr>
        <sz val="10"/>
        <rFont val="Segoe UI"/>
        <family val="2"/>
      </rPr>
      <t>microempresas</t>
    </r>
  </si>
  <si>
    <r>
      <rPr>
        <sz val="10"/>
        <rFont val="Segoe UI"/>
        <family val="2"/>
      </rPr>
      <t>Responsabilidad por líneas de crédito revolventes</t>
    </r>
  </si>
  <si>
    <r>
      <rPr>
        <sz val="10"/>
        <rFont val="Segoe UI"/>
        <family val="2"/>
      </rPr>
      <t>Responsabilidad por líneas de crédito no revolventes</t>
    </r>
  </si>
  <si>
    <r>
      <rPr>
        <sz val="10"/>
        <rFont val="Arial Narrow"/>
        <family val="2"/>
      </rPr>
      <t>Responsabilidad por líneas de crédito con entidades del sector público</t>
    </r>
  </si>
  <si>
    <r>
      <rPr>
        <sz val="10"/>
        <rFont val="Segoe UI"/>
        <family val="2"/>
      </rPr>
      <t>Responsabilidad por líneas de crédito con Coopac</t>
    </r>
  </si>
  <si>
    <r>
      <rPr>
        <sz val="10"/>
        <rFont val="Segoe UI"/>
        <family val="2"/>
      </rPr>
      <t xml:space="preserve">Responsabilidad por líneas de crédito con otras entidades
</t>
    </r>
    <r>
      <rPr>
        <sz val="10"/>
        <rFont val="Segoe UI"/>
        <family val="2"/>
      </rPr>
      <t>corporativas</t>
    </r>
  </si>
  <si>
    <r>
      <rPr>
        <sz val="10"/>
        <rFont val="Segoe UI"/>
        <family val="2"/>
      </rPr>
      <t>Responsabilidad por líneas de crédito con grandes empresas</t>
    </r>
  </si>
  <si>
    <r>
      <rPr>
        <sz val="10"/>
        <rFont val="Segoe UI"/>
        <family val="2"/>
      </rPr>
      <t>Responsabilidad por líneas de crédito con medianas empresas</t>
    </r>
  </si>
  <si>
    <r>
      <rPr>
        <sz val="10"/>
        <rFont val="Segoe UI"/>
        <family val="2"/>
      </rPr>
      <t>Responsabilidad por líneas de crédito con pequeñas empresas</t>
    </r>
  </si>
  <si>
    <r>
      <rPr>
        <sz val="10"/>
        <rFont val="Segoe UI"/>
        <family val="2"/>
      </rPr>
      <t>Responsabilidad por líneas de crédito en préstamo</t>
    </r>
  </si>
  <si>
    <r>
      <rPr>
        <sz val="10"/>
        <rFont val="Segoe UI"/>
        <family val="2"/>
      </rPr>
      <t>Responsabilidad por líneas de crédito en préstamo a microempresas</t>
    </r>
  </si>
  <si>
    <r>
      <rPr>
        <sz val="10"/>
        <rFont val="Segoe UI"/>
        <family val="2"/>
      </rPr>
      <t>Responsabilidad por líneas de crédito en préstamos de consumo</t>
    </r>
  </si>
  <si>
    <r>
      <rPr>
        <sz val="10"/>
        <rFont val="Segoe UI"/>
        <family val="2"/>
      </rPr>
      <t>Responsabilidad por líneas de crédito en avales y fianzas</t>
    </r>
  </si>
  <si>
    <r>
      <rPr>
        <sz val="10"/>
        <rFont val="Segoe UI"/>
        <family val="2"/>
      </rPr>
      <t xml:space="preserve">Responsabilidad por líneas de crédito en avales y fianzas a
</t>
    </r>
    <r>
      <rPr>
        <sz val="10"/>
        <rFont val="Segoe UI"/>
        <family val="2"/>
      </rPr>
      <t>microempresas</t>
    </r>
  </si>
  <si>
    <r>
      <rPr>
        <sz val="10"/>
        <rFont val="Segoe UI"/>
        <family val="2"/>
      </rPr>
      <t xml:space="preserve">Responsabilidad por líneas de crédito en avales y fianzas de
</t>
    </r>
    <r>
      <rPr>
        <sz val="10"/>
        <rFont val="Segoe UI"/>
        <family val="2"/>
      </rPr>
      <t>consumo</t>
    </r>
  </si>
  <si>
    <r>
      <rPr>
        <sz val="10"/>
        <rFont val="Arial Narrow"/>
        <family val="2"/>
      </rPr>
      <t xml:space="preserve">Responsabilidad por líneas de crédito en avales y fianzas con entidades del sector
</t>
    </r>
    <r>
      <rPr>
        <sz val="10"/>
        <rFont val="Arial Narrow"/>
        <family val="2"/>
      </rPr>
      <t>público</t>
    </r>
  </si>
  <si>
    <r>
      <rPr>
        <sz val="10"/>
        <rFont val="Segoe UI"/>
        <family val="2"/>
      </rPr>
      <t>Responsabilidad por líneas de crédito en avales y fianzas a Coopac</t>
    </r>
  </si>
  <si>
    <r>
      <rPr>
        <sz val="10"/>
        <rFont val="Segoe UI"/>
        <family val="2"/>
      </rPr>
      <t xml:space="preserve">Responsabilidad por líneas de crédito en avales y fianzas con otras
</t>
    </r>
    <r>
      <rPr>
        <sz val="10"/>
        <rFont val="Segoe UI"/>
        <family val="2"/>
      </rPr>
      <t>entidades corporativas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</si>
  <si>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grandes empresas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</si>
  <si>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medianas empresas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</si>
  <si>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pequeñas empresas</t>
    </r>
  </si>
  <si>
    <r>
      <rPr>
        <sz val="10"/>
        <rFont val="Segoe UI"/>
        <family val="2"/>
      </rPr>
      <t>Responsabilidad por líneas de crédito en tarjetas de crédito</t>
    </r>
  </si>
  <si>
    <r>
      <rPr>
        <sz val="10"/>
        <rFont val="Segoe UI"/>
        <family val="2"/>
      </rPr>
      <t>Responsabilidad por créditos otorgados no desembolsados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</si>
  <si>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créditos a microempresas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</si>
  <si>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 de consumo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</si>
  <si>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créditos hipotecarios para vivienda</t>
    </r>
  </si>
  <si>
    <r>
      <rPr>
        <sz val="10"/>
        <rFont val="Arial Narrow"/>
        <family val="2"/>
      </rPr>
      <t xml:space="preserve">Responsabilidad por créditos otorgados no desembolsados a entidades del sector
</t>
    </r>
    <r>
      <rPr>
        <sz val="10"/>
        <rFont val="Arial Narrow"/>
        <family val="2"/>
      </rPr>
      <t>público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</si>
  <si>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</si>
  <si>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otras entidades corporativas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</si>
  <si>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grandes empresas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</si>
  <si>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medianas empresas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</si>
  <si>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pequeñas empresas</t>
    </r>
  </si>
  <si>
    <r>
      <rPr>
        <sz val="10"/>
        <rFont val="Segoe UI"/>
        <family val="2"/>
      </rPr>
      <t>Responsabilidad por otras contingencias</t>
    </r>
  </si>
  <si>
    <r>
      <rPr>
        <sz val="10"/>
        <rFont val="Segoe UI"/>
        <family val="2"/>
      </rPr>
      <t>Responsabilidad por sindicación de créditos</t>
    </r>
  </si>
  <si>
    <r>
      <rPr>
        <sz val="10"/>
        <rFont val="Segoe UI"/>
        <family val="2"/>
      </rPr>
      <t>Responsabilidad por sindicación de garantías</t>
    </r>
  </si>
  <si>
    <r>
      <rPr>
        <sz val="10"/>
        <rFont val="Segoe UI"/>
        <family val="2"/>
      </rPr>
      <t xml:space="preserve">Responsabilidad por garantías de créditos especiales y
</t>
    </r>
    <r>
      <rPr>
        <sz val="10"/>
        <rFont val="Segoe UI"/>
        <family val="2"/>
      </rPr>
      <t>promocionales</t>
    </r>
  </si>
  <si>
    <r>
      <rPr>
        <sz val="10"/>
        <rFont val="Segoe UI"/>
        <family val="2"/>
      </rPr>
      <t>Responsabilidad por contingencias varias</t>
    </r>
  </si>
  <si>
    <r>
      <rPr>
        <sz val="10"/>
        <rFont val="Segoe UI"/>
        <family val="2"/>
      </rPr>
      <t>CUENTAS DE ORDEN</t>
    </r>
  </si>
  <si>
    <r>
      <rPr>
        <sz val="10"/>
        <rFont val="Segoe UI"/>
        <family val="2"/>
      </rPr>
      <t>CUENTAS DE ORDEN DEUDORAS</t>
    </r>
  </si>
  <si>
    <r>
      <rPr>
        <sz val="10"/>
        <rFont val="Segoe UI"/>
        <family val="2"/>
      </rPr>
      <t>VALORES Y BIENES PROPIOS EN CUSTODIA</t>
    </r>
  </si>
  <si>
    <r>
      <rPr>
        <sz val="10"/>
        <rFont val="Segoe UI"/>
        <family val="2"/>
      </rPr>
      <t>Títulos y valores en custodia</t>
    </r>
  </si>
  <si>
    <r>
      <rPr>
        <sz val="10"/>
        <rFont val="Segoe UI"/>
        <family val="2"/>
      </rPr>
      <t>Documentos en custodia</t>
    </r>
  </si>
  <si>
    <r>
      <rPr>
        <sz val="10"/>
        <rFont val="Segoe UI"/>
        <family val="2"/>
      </rPr>
      <t>Bienes en custodia</t>
    </r>
  </si>
  <si>
    <r>
      <rPr>
        <sz val="10"/>
        <rFont val="Segoe UI"/>
        <family val="2"/>
      </rPr>
      <t>VALORES PROPIOS EN COBRANZA</t>
    </r>
  </si>
  <si>
    <r>
      <rPr>
        <sz val="10"/>
        <rFont val="Segoe UI"/>
        <family val="2"/>
      </rPr>
      <t>Valores propios en cobranza de oficina principal</t>
    </r>
  </si>
  <si>
    <r>
      <rPr>
        <sz val="10"/>
        <rFont val="Segoe UI"/>
        <family val="2"/>
      </rPr>
      <t>Valores propios en cobranza de agencias</t>
    </r>
  </si>
  <si>
    <r>
      <rPr>
        <sz val="10"/>
        <rFont val="Segoe UI"/>
        <family val="2"/>
      </rPr>
      <t>CUENTAS INCOBRABLES CASTIGADAS</t>
    </r>
  </si>
  <si>
    <r>
      <rPr>
        <sz val="10"/>
        <rFont val="Segoe UI"/>
        <family val="2"/>
      </rPr>
      <t>Inversiones castigadas</t>
    </r>
  </si>
  <si>
    <r>
      <rPr>
        <sz val="10"/>
        <rFont val="Segoe UI"/>
        <family val="2"/>
      </rPr>
      <t>Créditos castigados</t>
    </r>
  </si>
  <si>
    <r>
      <rPr>
        <sz val="10"/>
        <rFont val="Segoe UI"/>
        <family val="2"/>
      </rPr>
      <t>Cuentas por cobrar castigadas</t>
    </r>
  </si>
  <si>
    <r>
      <rPr>
        <sz val="10"/>
        <rFont val="Segoe UI"/>
        <family val="2"/>
      </rPr>
      <t>Intereses castigados</t>
    </r>
  </si>
  <si>
    <r>
      <rPr>
        <sz val="10"/>
        <rFont val="Segoe UI"/>
        <family val="2"/>
      </rPr>
      <t>Comisiones castigadas</t>
    </r>
  </si>
  <si>
    <r>
      <rPr>
        <sz val="10"/>
        <rFont val="Segoe UI"/>
        <family val="2"/>
      </rPr>
      <t>RENDIMIENTOS DE CRÉDITOS Y RENTAS EN SUSPENSO</t>
    </r>
  </si>
  <si>
    <r>
      <rPr>
        <sz val="10"/>
        <rFont val="Segoe UI"/>
        <family val="2"/>
      </rPr>
      <t>Rendimiento de créditos refinanciados en suspenso</t>
    </r>
  </si>
  <si>
    <r>
      <rPr>
        <sz val="10"/>
        <rFont val="Segoe UI"/>
        <family val="2"/>
      </rPr>
      <t>Rendimiento de créditos en cobranza judicial en suspenso</t>
    </r>
  </si>
  <si>
    <r>
      <rPr>
        <sz val="10"/>
        <rFont val="Segoe UI"/>
        <family val="2"/>
      </rPr>
      <t>Rendimiento de créditos reestructurados en suspenso</t>
    </r>
  </si>
  <si>
    <r>
      <rPr>
        <sz val="10"/>
        <rFont val="Segoe UI"/>
        <family val="2"/>
      </rPr>
      <t>Rentas en suspenso</t>
    </r>
  </si>
  <si>
    <r>
      <rPr>
        <sz val="10"/>
        <rFont val="Segoe UI"/>
        <family val="2"/>
      </rPr>
      <t>Otros rendimientos en suspenso</t>
    </r>
  </si>
  <si>
    <r>
      <rPr>
        <sz val="10"/>
        <rFont val="Segoe UI"/>
        <family val="2"/>
      </rPr>
      <t>VALORES Y BIENES PROPIOS OTORGADOS EN GARANTÍA</t>
    </r>
  </si>
  <si>
    <r>
      <rPr>
        <sz val="10"/>
        <rFont val="Segoe UI"/>
        <family val="2"/>
      </rPr>
      <t>Valores propios</t>
    </r>
  </si>
  <si>
    <r>
      <rPr>
        <sz val="10"/>
        <rFont val="Segoe UI"/>
        <family val="2"/>
      </rPr>
      <t>Documentos propios</t>
    </r>
  </si>
  <si>
    <r>
      <rPr>
        <sz val="10"/>
        <rFont val="Segoe UI"/>
        <family val="2"/>
      </rPr>
      <t>Hipotecas cedidas</t>
    </r>
  </si>
  <si>
    <r>
      <rPr>
        <sz val="10"/>
        <rFont val="Segoe UI"/>
        <family val="2"/>
      </rPr>
      <t>Créditos otorgados en garantía de financiamiento</t>
    </r>
  </si>
  <si>
    <r>
      <rPr>
        <sz val="10"/>
        <rFont val="Segoe UI"/>
        <family val="2"/>
      </rPr>
      <t>Créditos a cooperativas</t>
    </r>
  </si>
  <si>
    <r>
      <rPr>
        <sz val="10"/>
        <rFont val="Segoe UI"/>
        <family val="2"/>
      </rPr>
      <t>Provisiones</t>
    </r>
  </si>
  <si>
    <r>
      <rPr>
        <sz val="10"/>
        <rFont val="Segoe UI"/>
        <family val="2"/>
      </rPr>
      <t>Otras garantías cedidas</t>
    </r>
  </si>
  <si>
    <r>
      <rPr>
        <sz val="10"/>
        <rFont val="Segoe UI"/>
        <family val="2"/>
      </rPr>
      <t>UTILIZACIÓN DE FONDOS ESPECIALES</t>
    </r>
  </si>
  <si>
    <r>
      <rPr>
        <sz val="10"/>
        <rFont val="Segoe UI"/>
        <family val="2"/>
      </rPr>
      <t>Disponible</t>
    </r>
  </si>
  <si>
    <r>
      <rPr>
        <sz val="10"/>
        <rFont val="Segoe UI"/>
        <family val="2"/>
      </rPr>
      <t>Otros activos</t>
    </r>
  </si>
  <si>
    <r>
      <rPr>
        <sz val="10"/>
        <rFont val="Segoe UI"/>
        <family val="2"/>
      </rPr>
      <t>OTRAS CUENTAS DE ORDEN DEUDORAS</t>
    </r>
  </si>
  <si>
    <r>
      <rPr>
        <sz val="10"/>
        <rFont val="Segoe UI"/>
        <family val="2"/>
      </rPr>
      <t>Activo fijo depreciado</t>
    </r>
  </si>
  <si>
    <r>
      <rPr>
        <sz val="10"/>
        <rFont val="Segoe UI"/>
        <family val="2"/>
      </rPr>
      <t>Bienes no depreciables</t>
    </r>
  </si>
  <si>
    <r>
      <rPr>
        <sz val="10"/>
        <rFont val="Segoe UI"/>
        <family val="2"/>
      </rPr>
      <t>Útiles de oficina</t>
    </r>
  </si>
  <si>
    <r>
      <rPr>
        <sz val="10"/>
        <rFont val="Segoe UI"/>
        <family val="2"/>
      </rPr>
      <t>Reclamos en trámite</t>
    </r>
  </si>
  <si>
    <r>
      <rPr>
        <sz val="10"/>
        <rFont val="Segoe UI"/>
        <family val="2"/>
      </rPr>
      <t>Líneas de crédito a favor de la Coopac no utilizada - país</t>
    </r>
  </si>
  <si>
    <r>
      <rPr>
        <sz val="10"/>
        <rFont val="Segoe UI"/>
        <family val="2"/>
      </rPr>
      <t>Líneas de crédito a favor de la Coopac no utilizada - exterior</t>
    </r>
  </si>
  <si>
    <r>
      <rPr>
        <sz val="10"/>
        <rFont val="Segoe UI"/>
        <family val="2"/>
      </rPr>
      <t>Cobertura de seguros</t>
    </r>
  </si>
  <si>
    <r>
      <rPr>
        <sz val="10"/>
        <rFont val="Segoe UI"/>
        <family val="2"/>
      </rPr>
      <t>Documentos descontados</t>
    </r>
  </si>
  <si>
    <r>
      <rPr>
        <sz val="10"/>
        <rFont val="Segoe UI"/>
        <family val="2"/>
      </rPr>
      <t>Créditos condonados</t>
    </r>
  </si>
  <si>
    <r>
      <rPr>
        <sz val="10"/>
        <rFont val="Segoe UI"/>
        <family val="2"/>
      </rPr>
      <t>Créditos Reprogramados por efectos climáticos</t>
    </r>
  </si>
  <si>
    <r>
      <rPr>
        <sz val="10"/>
        <rFont val="Segoe UI"/>
        <family val="2"/>
      </rPr>
      <t>Créditos bajo esquema del financiamiento FAE - MYPE 1</t>
    </r>
  </si>
  <si>
    <r>
      <rPr>
        <sz val="10"/>
        <rFont val="Segoe UI"/>
        <family val="2"/>
      </rPr>
      <t>Créditos Vigentes - Microempresas</t>
    </r>
  </si>
  <si>
    <r>
      <rPr>
        <sz val="10"/>
        <rFont val="Segoe UI"/>
        <family val="2"/>
      </rPr>
      <t>Créditos con garantía del FAE - MYPE</t>
    </r>
  </si>
  <si>
    <r>
      <rPr>
        <sz val="10"/>
        <rFont val="Segoe UI"/>
        <family val="2"/>
      </rPr>
      <t>Créditos sin garantía del FAE - MYPE</t>
    </r>
  </si>
  <si>
    <r>
      <rPr>
        <sz val="10"/>
        <rFont val="Segoe UI"/>
        <family val="2"/>
      </rPr>
      <t>Créditos Vigentes - Pequeñas empresas</t>
    </r>
  </si>
  <si>
    <r>
      <rPr>
        <sz val="10"/>
        <rFont val="Segoe UI"/>
        <family val="2"/>
      </rPr>
      <t>Créditos Vigentes - Medianas empresas</t>
    </r>
  </si>
  <si>
    <r>
      <rPr>
        <sz val="10"/>
        <rFont val="Segoe UI"/>
        <family val="2"/>
      </rPr>
      <t>Créditos Vencidos - Microempresas</t>
    </r>
  </si>
  <si>
    <r>
      <rPr>
        <sz val="10"/>
        <rFont val="Segoe UI"/>
        <family val="2"/>
      </rPr>
      <t>Créditos Vencidos - Pequeñas empresas</t>
    </r>
  </si>
  <si>
    <r>
      <rPr>
        <sz val="10"/>
        <rFont val="Segoe UI"/>
        <family val="2"/>
      </rPr>
      <t>Créditos Vencidos - Medianas empresas</t>
    </r>
  </si>
  <si>
    <r>
      <rPr>
        <sz val="10"/>
        <rFont val="Segoe UI"/>
        <family val="2"/>
      </rPr>
      <t>Créditos Refinanciados - Microempresas</t>
    </r>
  </si>
  <si>
    <r>
      <rPr>
        <sz val="10"/>
        <rFont val="Segoe UI"/>
        <family val="2"/>
      </rPr>
      <t>Créditos Refinanciados - Pequeñas empresas</t>
    </r>
  </si>
  <si>
    <r>
      <rPr>
        <sz val="10"/>
        <rFont val="Segoe UI"/>
        <family val="2"/>
      </rPr>
      <t>Créditos Refinanciados - Medianas empresas</t>
    </r>
  </si>
  <si>
    <r>
      <rPr>
        <sz val="10"/>
        <rFont val="Segoe UI"/>
        <family val="2"/>
      </rPr>
      <t>Rendimientos - Créditos a Microempresas</t>
    </r>
  </si>
  <si>
    <r>
      <rPr>
        <sz val="10"/>
        <rFont val="Segoe UI"/>
        <family val="2"/>
      </rPr>
      <t>Criterio devengado</t>
    </r>
  </si>
  <si>
    <r>
      <rPr>
        <sz val="10"/>
        <rFont val="Segoe UI"/>
        <family val="2"/>
      </rPr>
      <t>Criterio percibido</t>
    </r>
  </si>
  <si>
    <r>
      <rPr>
        <sz val="10"/>
        <rFont val="Segoe UI"/>
        <family val="2"/>
      </rPr>
      <t>Rendimientos - Créditos a Pequeñas empresas</t>
    </r>
  </si>
  <si>
    <r>
      <rPr>
        <sz val="10"/>
        <rFont val="Segoe UI"/>
        <family val="2"/>
      </rPr>
      <t>Rendimientos - Créditos a Medianas empresas</t>
    </r>
  </si>
  <si>
    <r>
      <rPr>
        <sz val="10"/>
        <rFont val="Segoe UI"/>
        <family val="2"/>
      </rPr>
      <t>Créditos bajo esquema del financiamiento FAE - MYPE 2</t>
    </r>
  </si>
  <si>
    <r>
      <rPr>
        <sz val="10"/>
        <rFont val="Segoe UI"/>
        <family val="2"/>
      </rPr>
      <t>CONTRA CUENTA DE CUENTAS DE ORDEN DEUDORAS</t>
    </r>
  </si>
  <si>
    <r>
      <rPr>
        <sz val="10"/>
        <rFont val="Segoe UI"/>
        <family val="2"/>
      </rPr>
      <t>CONTRA CUENTA DE CUENTAS DE ORDEN ACREEDORAS</t>
    </r>
  </si>
  <si>
    <r>
      <rPr>
        <sz val="10"/>
        <rFont val="Segoe UI"/>
        <family val="2"/>
      </rPr>
      <t>CUENTAS DE ORDEN ACREEDORAS</t>
    </r>
  </si>
  <si>
    <r>
      <rPr>
        <sz val="10"/>
        <rFont val="Segoe UI"/>
        <family val="2"/>
      </rPr>
      <t>VALORES Y BIENES RECIBIDOS EN CUSTODIA</t>
    </r>
  </si>
  <si>
    <r>
      <rPr>
        <sz val="10"/>
        <rFont val="Segoe UI"/>
        <family val="2"/>
      </rPr>
      <t>Valores y bienes de clientes</t>
    </r>
  </si>
  <si>
    <r>
      <rPr>
        <sz val="10"/>
        <rFont val="Segoe UI"/>
        <family val="2"/>
      </rPr>
      <t>VALORES RECIBIDOS EN COBRANZA PAÍS</t>
    </r>
  </si>
  <si>
    <r>
      <rPr>
        <sz val="10"/>
        <rFont val="Segoe UI"/>
        <family val="2"/>
      </rPr>
      <t>Valores recibidos en cobranza oficina principal</t>
    </r>
  </si>
  <si>
    <r>
      <rPr>
        <sz val="10"/>
        <rFont val="Segoe UI"/>
        <family val="2"/>
      </rPr>
      <t>Valores recibidos en cobranza agencias</t>
    </r>
  </si>
  <si>
    <r>
      <rPr>
        <sz val="10"/>
        <rFont val="Segoe UI"/>
        <family val="2"/>
      </rPr>
      <t>GARANTÍAS RECIBIDAS POR OPERACIONES DE CRÉDITO</t>
    </r>
  </si>
  <si>
    <r>
      <rPr>
        <sz val="10"/>
        <rFont val="Segoe UI"/>
        <family val="2"/>
      </rPr>
      <t>Garantías preferidas de muy rápida realización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</si>
  <si>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 pública externa o de obligaciones del BCRP</t>
    </r>
  </si>
  <si>
    <r>
      <rPr>
        <sz val="10"/>
        <rFont val="Arial Narrow"/>
        <family val="2"/>
      </rPr>
      <t xml:space="preserve">Primera garantía mobiliaria sobre instrumentos representativos de deuda con grado
</t>
    </r>
    <r>
      <rPr>
        <sz val="10"/>
        <rFont val="Arial Narrow"/>
        <family val="2"/>
      </rPr>
      <t>de inversión emitidos por gobiernos centrales o bancos centrales</t>
    </r>
  </si>
  <si>
    <r>
      <rPr>
        <sz val="10"/>
        <rFont val="Arial Narrow"/>
        <family val="2"/>
      </rPr>
      <t xml:space="preserve">Primera garantía mobiliaria sobre valores mobiliarios incluidos en el Listado que
</t>
    </r>
    <r>
      <rPr>
        <sz val="10"/>
        <rFont val="Arial Narrow"/>
        <family val="2"/>
      </rPr>
      <t>publica la SBS, con excepción de los emitidos por empresas deudora y acreedora</t>
    </r>
  </si>
  <si>
    <r>
      <rPr>
        <sz val="10"/>
        <rFont val="Segoe UI"/>
        <family val="2"/>
      </rPr>
      <t>Primera garantía mobiliaria sobre warrants de commodities</t>
    </r>
  </si>
  <si>
    <r>
      <rPr>
        <sz val="10"/>
        <rFont val="Segoe UI"/>
        <family val="2"/>
      </rPr>
      <t xml:space="preserve">Primera garantía mobiliaria sobre los valores mobiliarios incluidos en
</t>
    </r>
    <r>
      <rPr>
        <sz val="10"/>
        <rFont val="Segoe UI"/>
        <family val="2"/>
      </rPr>
      <t>el Índice Selectivo de la Bolsa de Valores de Lima</t>
    </r>
  </si>
  <si>
    <r>
      <rPr>
        <sz val="10"/>
        <rFont val="Segoe UI"/>
        <family val="2"/>
      </rPr>
      <t xml:space="preserve">Fideicomiso en garantía bienes considerados como garantías
</t>
    </r>
    <r>
      <rPr>
        <sz val="10"/>
        <rFont val="Segoe UI"/>
        <family val="2"/>
      </rPr>
      <t>preferidas de muy rápida realización</t>
    </r>
  </si>
  <si>
    <r>
      <rPr>
        <sz val="10"/>
        <rFont val="Segoe UI"/>
        <family val="2"/>
      </rPr>
      <t>Garantías preferidas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</si>
  <si>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 no subordinada</t>
    </r>
  </si>
  <si>
    <r>
      <rPr>
        <sz val="10"/>
        <rFont val="Segoe UI"/>
        <family val="2"/>
      </rPr>
      <t>Empresas del sistema financiero y sistema de seguros del país</t>
    </r>
  </si>
  <si>
    <r>
      <rPr>
        <sz val="10"/>
        <rFont val="Segoe UI"/>
        <family val="2"/>
      </rPr>
      <t xml:space="preserve">Empresas del sistema financiero y de seguros del exterior de primer
</t>
    </r>
    <r>
      <rPr>
        <sz val="10"/>
        <rFont val="Segoe UI"/>
        <family val="2"/>
      </rPr>
      <t>nivel</t>
    </r>
  </si>
  <si>
    <r>
      <rPr>
        <sz val="10"/>
        <rFont val="Segoe UI"/>
        <family val="2"/>
      </rPr>
      <t>Bancos e instituciones multilaterales de desarrollo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</si>
  <si>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</t>
    </r>
  </si>
  <si>
    <r>
      <rPr>
        <sz val="10"/>
        <rFont val="Segoe UI"/>
        <family val="2"/>
      </rPr>
      <t>Cotizados en mecanismos centralizados de negociación del país</t>
    </r>
  </si>
  <si>
    <r>
      <rPr>
        <sz val="10"/>
        <rFont val="Segoe UI"/>
        <family val="2"/>
      </rPr>
      <t>Cotizados en mecanismos centralizados de negociación del exterior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</si>
  <si>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capital</t>
    </r>
  </si>
  <si>
    <r>
      <rPr>
        <sz val="10"/>
        <rFont val="Segoe UI"/>
        <family val="2"/>
      </rPr>
      <t>Negociados en mecanismos centralizados de negociación del país</t>
    </r>
  </si>
  <si>
    <r>
      <rPr>
        <sz val="10"/>
        <rFont val="Segoe UI"/>
        <family val="2"/>
      </rPr>
      <t xml:space="preserve">Considerados en índices de mecanismos centralizados de
</t>
    </r>
    <r>
      <rPr>
        <sz val="10"/>
        <rFont val="Segoe UI"/>
        <family val="2"/>
      </rPr>
      <t>negociación del exterior</t>
    </r>
  </si>
  <si>
    <r>
      <rPr>
        <sz val="10"/>
        <rFont val="Segoe UI"/>
        <family val="2"/>
      </rPr>
      <t>Primera garantía mobiliaria sobre certificados de participación</t>
    </r>
  </si>
  <si>
    <r>
      <rPr>
        <sz val="10"/>
        <rFont val="Segoe UI"/>
        <family val="2"/>
      </rPr>
      <t>Fondos mutuos</t>
    </r>
  </si>
  <si>
    <r>
      <rPr>
        <sz val="10"/>
        <rFont val="Segoe UI"/>
        <family val="2"/>
      </rPr>
      <t>Fondos de inversión</t>
    </r>
  </si>
  <si>
    <r>
      <rPr>
        <sz val="10"/>
        <rFont val="Segoe UI"/>
        <family val="2"/>
      </rPr>
      <t>Primera garantía mobiliaria sobre joyas y metales preciosos</t>
    </r>
  </si>
  <si>
    <r>
      <rPr>
        <sz val="10"/>
        <rFont val="Segoe UI"/>
        <family val="2"/>
      </rPr>
      <t xml:space="preserve">Primera garantía mobiliaria sobre conocimientos de embarque y
</t>
    </r>
    <r>
      <rPr>
        <sz val="10"/>
        <rFont val="Segoe UI"/>
        <family val="2"/>
      </rPr>
      <t>cartas de porte</t>
    </r>
  </si>
  <si>
    <r>
      <rPr>
        <sz val="10"/>
        <rFont val="Segoe UI"/>
        <family val="2"/>
      </rPr>
      <t xml:space="preserve">Primera garantía mobiliaria sobre bienes de fácil realización
</t>
    </r>
    <r>
      <rPr>
        <sz val="10"/>
        <rFont val="Segoe UI"/>
        <family val="2"/>
      </rPr>
      <t>destinados a la explotación agropecuaria, industrial y minera</t>
    </r>
  </si>
  <si>
    <r>
      <rPr>
        <sz val="10"/>
        <rFont val="Segoe UI"/>
        <family val="2"/>
      </rPr>
      <t xml:space="preserve">Primera garantía mobiliaria sobre medios de transporte terrestre,
</t>
    </r>
    <r>
      <rPr>
        <sz val="10"/>
        <rFont val="Segoe UI"/>
        <family val="2"/>
      </rPr>
      <t>naves y aeronaves destinados a la explotación agropecuaria, industrial y minera</t>
    </r>
  </si>
  <si>
    <r>
      <rPr>
        <sz val="10"/>
        <rFont val="Segoe UI"/>
        <family val="2"/>
      </rPr>
      <t xml:space="preserve">Productos y mercaderías de fácil realización, afectados mediante
</t>
    </r>
    <r>
      <rPr>
        <sz val="10"/>
        <rFont val="Segoe UI"/>
        <family val="2"/>
      </rPr>
      <t>warrants endosados conforme a Ley</t>
    </r>
  </si>
  <si>
    <r>
      <rPr>
        <sz val="10"/>
        <rFont val="Segoe UI"/>
        <family val="2"/>
      </rPr>
      <t>Fideicomiso en garantía constituido sobre garantías preferidas</t>
    </r>
  </si>
  <si>
    <r>
      <rPr>
        <sz val="10"/>
        <rFont val="Segoe UI"/>
        <family val="2"/>
      </rPr>
      <t>Cartas fianzas que respaldan futura constitución de hipoteca</t>
    </r>
  </si>
  <si>
    <r>
      <rPr>
        <sz val="10"/>
        <rFont val="Segoe UI"/>
        <family val="2"/>
      </rPr>
      <t>Otras que determine la SBS</t>
    </r>
  </si>
  <si>
    <r>
      <rPr>
        <sz val="10"/>
        <rFont val="Arial Narrow"/>
        <family val="2"/>
      </rPr>
      <t>Fondo Hipotecario de Promoción de la Vivienda - Mi Vivienda</t>
    </r>
  </si>
  <si>
    <r>
      <rPr>
        <sz val="10"/>
        <rFont val="Segoe UI"/>
        <family val="2"/>
      </rPr>
      <t>Garantías preferidas autoliquidables</t>
    </r>
  </si>
  <si>
    <r>
      <rPr>
        <sz val="10"/>
        <rFont val="Segoe UI"/>
        <family val="2"/>
      </rPr>
      <t xml:space="preserve">Depósitos en efectivo en moneda nacional y moneda extranjera
</t>
    </r>
    <r>
      <rPr>
        <sz val="10"/>
        <rFont val="Segoe UI"/>
        <family val="2"/>
      </rPr>
      <t>constituidos en la Coopac prestamista</t>
    </r>
  </si>
  <si>
    <r>
      <rPr>
        <sz val="10"/>
        <rFont val="Segoe UI"/>
        <family val="2"/>
      </rPr>
      <t xml:space="preserve">Cartas de crédito stand by u otras similares, irrevocables, con
</t>
    </r>
    <r>
      <rPr>
        <sz val="10"/>
        <rFont val="Segoe UI"/>
        <family val="2"/>
      </rPr>
      <t>documentos negociados sin discrepancias, pendientes de cobro del banco emisor cuando este sea una empresa del sistema financiero del exterior de primer nivel</t>
    </r>
  </si>
  <si>
    <r>
      <rPr>
        <sz val="10"/>
        <rFont val="Arial Narrow"/>
        <family val="2"/>
      </rPr>
      <t>Oro en lingotes en custodia de la Coopac prestamista</t>
    </r>
  </si>
  <si>
    <r>
      <rPr>
        <sz val="10"/>
        <rFont val="Segoe UI"/>
        <family val="2"/>
      </rPr>
      <t>Cobertura de riesgo provista por el Fondo MiVivienda S.A.</t>
    </r>
  </si>
  <si>
    <r>
      <rPr>
        <sz val="10"/>
        <rFont val="Segoe UI"/>
        <family val="2"/>
      </rPr>
      <t>Sustitución de contra-parte crediticia</t>
    </r>
  </si>
  <si>
    <r>
      <rPr>
        <sz val="10"/>
        <rFont val="Segoe UI"/>
        <family val="2"/>
      </rPr>
      <t>Cartas fianzas solidarias</t>
    </r>
  </si>
  <si>
    <r>
      <rPr>
        <sz val="10"/>
        <rFont val="Arial Narrow"/>
        <family val="2"/>
      </rPr>
      <t>Avales</t>
    </r>
  </si>
  <si>
    <r>
      <rPr>
        <sz val="10"/>
        <rFont val="Segoe UI"/>
        <family val="2"/>
      </rPr>
      <t>Cartas de crédito, cartas de crédito stand by u otras similares</t>
    </r>
  </si>
  <si>
    <r>
      <rPr>
        <sz val="10"/>
        <rFont val="Arial Narrow"/>
        <family val="2"/>
      </rPr>
      <t>Aceptaciones bancarias</t>
    </r>
  </si>
  <si>
    <r>
      <rPr>
        <sz val="10"/>
        <rFont val="Arial Narrow"/>
        <family val="2"/>
      </rPr>
      <t>Seguro de crédito a la exportación</t>
    </r>
  </si>
  <si>
    <r>
      <rPr>
        <sz val="10"/>
        <rFont val="Arial Narrow"/>
        <family val="2"/>
      </rPr>
      <t>Derivados crediticios (total return swap y credit default swap)</t>
    </r>
  </si>
  <si>
    <r>
      <rPr>
        <sz val="10"/>
        <rFont val="Arial Narrow"/>
        <family val="2"/>
      </rPr>
      <t>Cobertura de seguro de crédito extendida por un patrimonio de seguro de crédito</t>
    </r>
  </si>
  <si>
    <r>
      <rPr>
        <sz val="10"/>
        <rFont val="Segoe UI"/>
        <family val="2"/>
      </rPr>
      <t>Derivados crediticios (total return swap y credit default swap)</t>
    </r>
  </si>
  <si>
    <r>
      <rPr>
        <sz val="10"/>
        <rFont val="Segoe UI"/>
        <family val="2"/>
      </rPr>
      <t>Cobertura de riesgo del Fondo MIVIVIENDA</t>
    </r>
  </si>
  <si>
    <r>
      <rPr>
        <sz val="10"/>
        <rFont val="Segoe UI"/>
        <family val="2"/>
      </rPr>
      <t>Garantías del FAE - MYPE 1</t>
    </r>
  </si>
  <si>
    <r>
      <rPr>
        <sz val="10"/>
        <rFont val="Segoe UI"/>
        <family val="2"/>
      </rPr>
      <t>Garantías del FAE - MYPE 2</t>
    </r>
  </si>
  <si>
    <r>
      <rPr>
        <sz val="10"/>
        <rFont val="Segoe UI"/>
        <family val="2"/>
      </rPr>
      <t>Garantías no preferidas</t>
    </r>
  </si>
  <si>
    <r>
      <rPr>
        <sz val="10"/>
        <rFont val="Segoe UI"/>
        <family val="2"/>
      </rPr>
      <t>GARANTÍAS RECIBIDAS POR SERVICIOS</t>
    </r>
  </si>
  <si>
    <r>
      <rPr>
        <sz val="10"/>
        <rFont val="Segoe UI"/>
        <family val="2"/>
      </rPr>
      <t>Hipoteca sobre inmuebles</t>
    </r>
  </si>
  <si>
    <r>
      <rPr>
        <sz val="10"/>
        <rFont val="Segoe UI"/>
        <family val="2"/>
      </rPr>
      <t>Garantía mobiliaria sobre valores y títulos mobiliarios</t>
    </r>
  </si>
  <si>
    <r>
      <rPr>
        <sz val="10"/>
        <rFont val="Segoe UI"/>
        <family val="2"/>
      </rPr>
      <t xml:space="preserve">Garantía mobiliaria sobre medios de transporte terrestre, naves y
</t>
    </r>
    <r>
      <rPr>
        <sz val="10"/>
        <rFont val="Segoe UI"/>
        <family val="2"/>
      </rPr>
      <t>aeronaves destinados a la explotación agropecuaria, industrial y minera</t>
    </r>
  </si>
  <si>
    <r>
      <rPr>
        <sz val="10"/>
        <rFont val="Segoe UI"/>
        <family val="2"/>
      </rPr>
      <t xml:space="preserve">Garantía mobiliaria sobre bienes de fácil realización destinados a la
</t>
    </r>
    <r>
      <rPr>
        <sz val="10"/>
        <rFont val="Segoe UI"/>
        <family val="2"/>
      </rPr>
      <t>explotación agropecuaria, industrial y minera</t>
    </r>
  </si>
  <si>
    <r>
      <rPr>
        <sz val="10"/>
        <rFont val="Segoe UI"/>
        <family val="2"/>
      </rPr>
      <t xml:space="preserve">Depósitos en efectivo en moneda nacional y moneda extranjera
</t>
    </r>
    <r>
      <rPr>
        <sz val="10"/>
        <rFont val="Segoe UI"/>
        <family val="2"/>
      </rPr>
      <t>constituidos en las Coopac y empresas del sistema financiero</t>
    </r>
  </si>
  <si>
    <r>
      <rPr>
        <sz val="10"/>
        <rFont val="Segoe UI"/>
        <family val="2"/>
      </rPr>
      <t>Fideicomiso en garantía</t>
    </r>
  </si>
  <si>
    <r>
      <rPr>
        <sz val="10"/>
        <rFont val="Segoe UI"/>
        <family val="2"/>
      </rPr>
      <t>Otras garantías</t>
    </r>
  </si>
  <si>
    <r>
      <rPr>
        <sz val="10"/>
        <rFont val="Segoe UI"/>
        <family val="2"/>
      </rPr>
      <t>CONSIGNACIONES RECIBIDAS</t>
    </r>
  </si>
  <si>
    <r>
      <rPr>
        <sz val="10"/>
        <rFont val="Segoe UI"/>
        <family val="2"/>
      </rPr>
      <t>Cheques de viajero</t>
    </r>
  </si>
  <si>
    <r>
      <rPr>
        <sz val="10"/>
        <rFont val="Segoe UI"/>
        <family val="2"/>
      </rPr>
      <t>Valores recibidos en consignación</t>
    </r>
  </si>
  <si>
    <r>
      <rPr>
        <sz val="10"/>
        <rFont val="Segoe UI"/>
        <family val="2"/>
      </rPr>
      <t>Bienes recibidos en consignación</t>
    </r>
  </si>
  <si>
    <r>
      <rPr>
        <sz val="10"/>
        <rFont val="Segoe UI"/>
        <family val="2"/>
      </rPr>
      <t>OTRAS CUENTAS DE ORDEN ACREEDORAS</t>
    </r>
  </si>
  <si>
    <r>
      <rPr>
        <sz val="10"/>
        <rFont val="Segoe UI"/>
        <family val="2"/>
      </rPr>
      <t>Bienes vendidos por entregar</t>
    </r>
  </si>
  <si>
    <r>
      <rPr>
        <sz val="10"/>
        <rFont val="Segoe UI"/>
        <family val="2"/>
      </rPr>
      <t>Seguros contratados</t>
    </r>
  </si>
  <si>
    <r>
      <rPr>
        <sz val="10"/>
        <rFont val="Segoe UI"/>
        <family val="2"/>
      </rPr>
      <t>Cajas de seguridad</t>
    </r>
  </si>
  <si>
    <r>
      <rPr>
        <sz val="10"/>
        <rFont val="Arial Narrow"/>
        <family val="2"/>
      </rPr>
      <t>FIDEICOMISOS Y COMISIONES DE CONFIANZA DEUDORAS</t>
    </r>
  </si>
  <si>
    <r>
      <rPr>
        <sz val="10"/>
        <rFont val="Arial Narrow"/>
        <family val="2"/>
      </rPr>
      <t>ACTIVOS DE FIDEICOMISO</t>
    </r>
  </si>
  <si>
    <r>
      <rPr>
        <sz val="10"/>
        <rFont val="Arial Narrow"/>
        <family val="2"/>
      </rPr>
      <t>GASTOS DE FIDEICOMISO</t>
    </r>
  </si>
  <si>
    <r>
      <rPr>
        <sz val="10"/>
        <rFont val="Arial Narrow"/>
        <family val="2"/>
      </rPr>
      <t>COMISIONES DE CONFIANZA</t>
    </r>
  </si>
  <si>
    <r>
      <rPr>
        <sz val="10"/>
        <rFont val="Arial Narrow"/>
        <family val="2"/>
      </rPr>
      <t>FIDEICOMISOS - ACREEDORAS POR EL CONTRARIO</t>
    </r>
  </si>
  <si>
    <r>
      <rPr>
        <sz val="10"/>
        <rFont val="Arial Narrow"/>
        <family val="2"/>
      </rPr>
      <t>Pasivo del fideicomiso</t>
    </r>
  </si>
  <si>
    <r>
      <rPr>
        <sz val="10"/>
        <rFont val="Arial Narrow"/>
        <family val="2"/>
      </rPr>
      <t>Patrimonio del fideicomiso</t>
    </r>
  </si>
  <si>
    <r>
      <rPr>
        <sz val="10"/>
        <rFont val="Arial Narrow"/>
        <family val="2"/>
      </rPr>
      <t>Ingresos del fideicomiso</t>
    </r>
  </si>
  <si>
    <r>
      <rPr>
        <sz val="10"/>
        <rFont val="Arial Narrow"/>
        <family val="2"/>
      </rPr>
      <t>FIDEICOMISOS Y COMISIONES DE CONFIANZA ACREEDORAS</t>
    </r>
  </si>
  <si>
    <r>
      <rPr>
        <sz val="10"/>
        <rFont val="Arial Narrow"/>
        <family val="2"/>
      </rPr>
      <t>PASIVOS DE FIDEICOMISO</t>
    </r>
  </si>
  <si>
    <r>
      <rPr>
        <sz val="10"/>
        <rFont val="Arial Narrow"/>
        <family val="2"/>
      </rPr>
      <t>PATRIMONIO DE FIDEICOMISO</t>
    </r>
  </si>
  <si>
    <r>
      <rPr>
        <sz val="10"/>
        <rFont val="Arial Narrow"/>
        <family val="2"/>
      </rPr>
      <t>INGRESOS DE FIDEICOMISO</t>
    </r>
  </si>
  <si>
    <r>
      <rPr>
        <sz val="10"/>
        <rFont val="Arial Narrow"/>
        <family val="2"/>
      </rPr>
      <t>FIDEICOMISOS - DEUDORAS POR EL CONTRARIO</t>
    </r>
  </si>
  <si>
    <r>
      <rPr>
        <sz val="10"/>
        <rFont val="Arial Narrow"/>
        <family val="2"/>
      </rPr>
      <t>Activos del fideicomiso</t>
    </r>
  </si>
  <si>
    <r>
      <rPr>
        <sz val="10"/>
        <rFont val="Arial Narrow"/>
        <family val="2"/>
      </rPr>
      <t>Gastos del fideicomiso</t>
    </r>
  </si>
  <si>
    <r>
      <rPr>
        <sz val="10"/>
        <rFont val="Segoe UI"/>
        <family val="2"/>
      </rPr>
      <t>PATRIMONIOS AUTÓNOMOS - DEUDORAS</t>
    </r>
  </si>
  <si>
    <r>
      <rPr>
        <sz val="10"/>
        <rFont val="Segoe UI"/>
        <family val="2"/>
      </rPr>
      <t>ACTIVOS DEL PATRIMONIO AUTÓNOMO</t>
    </r>
  </si>
  <si>
    <r>
      <rPr>
        <sz val="10"/>
        <rFont val="Segoe UI"/>
        <family val="2"/>
      </rPr>
      <t>GASTOS DEL PATRIMONIO AUTÓNOMO</t>
    </r>
  </si>
  <si>
    <r>
      <rPr>
        <sz val="10"/>
        <rFont val="Segoe UI"/>
        <family val="2"/>
      </rPr>
      <t>PATRIMONIOS AUTÓNOMOS - ACREEDORAS POR EL CONTRARIO</t>
    </r>
  </si>
  <si>
    <r>
      <rPr>
        <sz val="10"/>
        <rFont val="Segoe UI"/>
        <family val="2"/>
      </rPr>
      <t>Pasivo del patrimonio autónomo</t>
    </r>
  </si>
  <si>
    <r>
      <rPr>
        <sz val="10"/>
        <rFont val="Segoe UI"/>
        <family val="2"/>
      </rPr>
      <t>Patrimonio del patrimonio autónomo</t>
    </r>
  </si>
  <si>
    <r>
      <rPr>
        <sz val="10"/>
        <rFont val="Segoe UI"/>
        <family val="2"/>
      </rPr>
      <t>Ingresos del patrimonio autónomo</t>
    </r>
  </si>
  <si>
    <r>
      <rPr>
        <sz val="10"/>
        <rFont val="Segoe UI"/>
        <family val="2"/>
      </rPr>
      <t>PATRIMONIOS AUTÓNOMOS - ACREEDORAS</t>
    </r>
  </si>
  <si>
    <r>
      <rPr>
        <sz val="10"/>
        <rFont val="Segoe UI"/>
        <family val="2"/>
      </rPr>
      <t>PASIVO DEL PATRIMONIO AUTÓNOMO</t>
    </r>
  </si>
  <si>
    <r>
      <rPr>
        <sz val="10"/>
        <rFont val="Segoe UI"/>
        <family val="2"/>
      </rPr>
      <t>PATRIMONIO DEL PATRIMONIO AUTÓNOMO</t>
    </r>
  </si>
  <si>
    <r>
      <rPr>
        <sz val="10"/>
        <rFont val="Segoe UI"/>
        <family val="2"/>
      </rPr>
      <t>INGRESOS DEL PATRIMONIO AUTÓNOMO</t>
    </r>
  </si>
  <si>
    <r>
      <rPr>
        <sz val="10"/>
        <rFont val="Segoe UI"/>
        <family val="2"/>
      </rPr>
      <t>PATRIMONIOS AUTÓNOMOS - DEUDORAS POR EL CONTRARIO</t>
    </r>
  </si>
  <si>
    <r>
      <rPr>
        <sz val="10"/>
        <rFont val="Segoe UI"/>
        <family val="2"/>
      </rPr>
      <t>Activos del patrimonio autónomo</t>
    </r>
  </si>
  <si>
    <r>
      <rPr>
        <sz val="10"/>
        <rFont val="Segoe UI"/>
        <family val="2"/>
      </rPr>
      <t>Gastos del patrimonio autónomo</t>
    </r>
  </si>
  <si>
    <t>BANCOS, OTRAS EMPRESAS DEL SISTEMA FINANCIERO DEL PAÍS Y COOPAC</t>
  </si>
  <si>
    <t>Supervisados por la oficina matriz sujeta a supervisión de organismos similares a la SBS</t>
  </si>
  <si>
    <t>11010101</t>
  </si>
  <si>
    <t>Caja Oficina Principal  Soles</t>
  </si>
  <si>
    <t>11010205</t>
  </si>
  <si>
    <t>Caja Playa Carabaya</t>
  </si>
  <si>
    <t>11010208</t>
  </si>
  <si>
    <t>Caja Tarapoto Hotel</t>
  </si>
  <si>
    <t>11010209</t>
  </si>
  <si>
    <t>Caja Playa Barranco</t>
  </si>
  <si>
    <t>11010210</t>
  </si>
  <si>
    <t>Caja Hotel Piura</t>
  </si>
  <si>
    <t>11010901</t>
  </si>
  <si>
    <t>Remesa en Transito</t>
  </si>
  <si>
    <t>Bco Nación Cta Cte</t>
  </si>
  <si>
    <t>1103010102</t>
  </si>
  <si>
    <t>Bco Nación Cta Cte 00-010-092779 - Detracciones</t>
  </si>
  <si>
    <t>1103010301</t>
  </si>
  <si>
    <t>BCP Cta Cte</t>
  </si>
  <si>
    <t>1103010321</t>
  </si>
  <si>
    <t>BCP Cta Cte 001473503177-96</t>
  </si>
  <si>
    <t>1103010401</t>
  </si>
  <si>
    <t>Bco. Interbank 115-300135290-0</t>
  </si>
  <si>
    <t>1103010421</t>
  </si>
  <si>
    <t>Bco. Interbank 115-300135291-8</t>
  </si>
  <si>
    <t>1103010501</t>
  </si>
  <si>
    <t>Bco Scotiabank CtaCte 000-0152536</t>
  </si>
  <si>
    <t>1103010601</t>
  </si>
  <si>
    <t>BVVA Cta Cte 11-114-0100013991-63</t>
  </si>
  <si>
    <t>1103010621</t>
  </si>
  <si>
    <t>BBVA Cta Cte 11-0114-0100022893-60</t>
  </si>
  <si>
    <t>1103010801</t>
  </si>
  <si>
    <t>Bco Comercio Cta.Cte. 110-01-0442262</t>
  </si>
  <si>
    <t>1103060211</t>
  </si>
  <si>
    <t>Coopac Credicoop DPF</t>
  </si>
  <si>
    <t>11070101</t>
  </si>
  <si>
    <t>Fondo Fijo - OEP Arequipa</t>
  </si>
  <si>
    <t>11070102</t>
  </si>
  <si>
    <t>Fondo Fijo - OEP Piura</t>
  </si>
  <si>
    <t>11070103</t>
  </si>
  <si>
    <t>Fondo Fijo - OEP Iquitos</t>
  </si>
  <si>
    <t>11070104</t>
  </si>
  <si>
    <t>Fondo Fijo - OEP Ayacucho</t>
  </si>
  <si>
    <t>11070105</t>
  </si>
  <si>
    <t>Fondo Fijo - Hotel Tarapoto</t>
  </si>
  <si>
    <t>11070106</t>
  </si>
  <si>
    <t>Fondo Fijo - OEP Tarapoto</t>
  </si>
  <si>
    <t>11070107</t>
  </si>
  <si>
    <t>Fondo Fijo - Hotel Piura</t>
  </si>
  <si>
    <t>11070108</t>
  </si>
  <si>
    <t>Fondo Fijo - Caja Chica Caseta</t>
  </si>
  <si>
    <t>11070109</t>
  </si>
  <si>
    <t>Fondo Fijo - OEP Huancayo</t>
  </si>
  <si>
    <t>1303130101</t>
  </si>
  <si>
    <t>Central CAC Caja Central Ltda</t>
  </si>
  <si>
    <t>1303130102</t>
  </si>
  <si>
    <t>Central Cooperativa de Servicios - Serviperu</t>
  </si>
  <si>
    <t>1303130103</t>
  </si>
  <si>
    <t>Coopac Sata Maria Magdalena</t>
  </si>
  <si>
    <t>1303130104</t>
  </si>
  <si>
    <t>Coopac La Florida</t>
  </si>
  <si>
    <t>1303130105</t>
  </si>
  <si>
    <t>Coopac Credicoop</t>
  </si>
  <si>
    <t>1309031301</t>
  </si>
  <si>
    <t>Prov Deterioro Aportes</t>
  </si>
  <si>
    <t>1401030603</t>
  </si>
  <si>
    <t>Prést Vigente Consumo No Revolv para libre disponibilidad</t>
  </si>
  <si>
    <t>1404039902</t>
  </si>
  <si>
    <t>Créd Vig Refinanc No revolventes</t>
  </si>
  <si>
    <t>1405030603</t>
  </si>
  <si>
    <t>Prést Vencido Consumo No Revolv para libre disponibilidad</t>
  </si>
  <si>
    <t>1405031906</t>
  </si>
  <si>
    <t>Prést Refinanc Venc no revolventes</t>
  </si>
  <si>
    <t>1408030106</t>
  </si>
  <si>
    <t>Rend Deveng Crédito consumo - Préstamo</t>
  </si>
  <si>
    <t>14090301</t>
  </si>
  <si>
    <t>Prov Específica Créd Consumo</t>
  </si>
  <si>
    <t>1409030201</t>
  </si>
  <si>
    <t>Prov Gener Cred Consumo Componente Fijo</t>
  </si>
  <si>
    <t>14091901</t>
  </si>
  <si>
    <t>Provisión voluntaria por reasignación de provisiones</t>
  </si>
  <si>
    <t>15070101</t>
  </si>
  <si>
    <t>Reclamos a Terceros</t>
  </si>
  <si>
    <t>15070201</t>
  </si>
  <si>
    <t>Adelanto de sueldo</t>
  </si>
  <si>
    <t>15070202</t>
  </si>
  <si>
    <t>Adelanto de Vacaciones</t>
  </si>
  <si>
    <t>15070203</t>
  </si>
  <si>
    <t>Cuentas por Cobrar al Personal</t>
  </si>
  <si>
    <t>15070204</t>
  </si>
  <si>
    <t>Adelanto de Gratificación</t>
  </si>
  <si>
    <t>15071901</t>
  </si>
  <si>
    <t>Rimac Seguros</t>
  </si>
  <si>
    <t>15071902</t>
  </si>
  <si>
    <t>Comercializ y Distribuidora Bolognesi - Refin SUNAT</t>
  </si>
  <si>
    <t>15071903</t>
  </si>
  <si>
    <t>Club Crl. Francisco Bolognesi</t>
  </si>
  <si>
    <t>15071905</t>
  </si>
  <si>
    <t>Serviperú</t>
  </si>
  <si>
    <t>15071907</t>
  </si>
  <si>
    <t>Garantia por Adelanto Alquiler</t>
  </si>
  <si>
    <t>15071908</t>
  </si>
  <si>
    <t>Por Cobrar Terceros</t>
  </si>
  <si>
    <t>15071909</t>
  </si>
  <si>
    <t>Comercializ y Distribuidora Bolognesi</t>
  </si>
  <si>
    <t>15071910</t>
  </si>
  <si>
    <t>Otras Cuentas por Cobrar</t>
  </si>
  <si>
    <t>15071911</t>
  </si>
  <si>
    <t>Por Cobrar Aval - Prev. Social</t>
  </si>
  <si>
    <t>15071912</t>
  </si>
  <si>
    <t>Adelanto Devolución -  Socio</t>
  </si>
  <si>
    <t>15071913</t>
  </si>
  <si>
    <t>Subsidios por Cobrar</t>
  </si>
  <si>
    <t>15071915</t>
  </si>
  <si>
    <t>Cuenta por Cobrar - Capital Trabajo Cafetin</t>
  </si>
  <si>
    <t>15071916</t>
  </si>
  <si>
    <t>Por Cobrar - Socio</t>
  </si>
  <si>
    <t>15071917</t>
  </si>
  <si>
    <t>Por Cobrar Fondo del Sorteo</t>
  </si>
  <si>
    <t>15071918</t>
  </si>
  <si>
    <t>Por Cobrar Fenacrep</t>
  </si>
  <si>
    <t>15071919</t>
  </si>
  <si>
    <t>Por Cobrar Socios Ap.</t>
  </si>
  <si>
    <t>15071961</t>
  </si>
  <si>
    <t>DITELE</t>
  </si>
  <si>
    <t>15071962</t>
  </si>
  <si>
    <t>DINI</t>
  </si>
  <si>
    <t>15071963</t>
  </si>
  <si>
    <t>Caja Pensiones Militar Policia</t>
  </si>
  <si>
    <t>15071964</t>
  </si>
  <si>
    <t>Comando Conjunto FFAA</t>
  </si>
  <si>
    <t>15071965</t>
  </si>
  <si>
    <t>F.A.P.</t>
  </si>
  <si>
    <t>15071966</t>
  </si>
  <si>
    <t>MARINA</t>
  </si>
  <si>
    <t>15071967</t>
  </si>
  <si>
    <t>Coopac Bolognesi - Préstamos al Personal</t>
  </si>
  <si>
    <t>15071968</t>
  </si>
  <si>
    <t>OPREFA</t>
  </si>
  <si>
    <t>1509071901</t>
  </si>
  <si>
    <t>Prov para Cuentas por Cobrar Diversas</t>
  </si>
  <si>
    <t>1509071902</t>
  </si>
  <si>
    <t>Prov Cuenta por Cobrar  Dv Créd por Cobrar</t>
  </si>
  <si>
    <t>17010206</t>
  </si>
  <si>
    <t>Comercializadora y Distribuidora</t>
  </si>
  <si>
    <t>17010207</t>
  </si>
  <si>
    <t>Proyecto Policlinico</t>
  </si>
  <si>
    <t>17010208</t>
  </si>
  <si>
    <t>Rumbo Inversiones Crl. Francisco bolognesi Ltda.</t>
  </si>
  <si>
    <t>18010101</t>
  </si>
  <si>
    <t>Terreno Av. Bolognesi N   238 - Barranco</t>
  </si>
  <si>
    <t>18010102</t>
  </si>
  <si>
    <t>Terreno Av. Bolognesi N. 202 - Barranco</t>
  </si>
  <si>
    <t>18010103</t>
  </si>
  <si>
    <t>Terreno Arequipa</t>
  </si>
  <si>
    <t>18010104</t>
  </si>
  <si>
    <t>Terreno Piura</t>
  </si>
  <si>
    <t>18010105</t>
  </si>
  <si>
    <t>Terreno Iquitos</t>
  </si>
  <si>
    <t>18010106</t>
  </si>
  <si>
    <t>Terreno Ayacucho</t>
  </si>
  <si>
    <t>18010107</t>
  </si>
  <si>
    <t>Terreno Tarapoto</t>
  </si>
  <si>
    <t>18010108</t>
  </si>
  <si>
    <t>Terreno AV. Bolognesi 230 Barranco</t>
  </si>
  <si>
    <t>18010109</t>
  </si>
  <si>
    <t>"San Miguel - Av. Los Patriotas Nro. 240 – 242 – 244</t>
  </si>
  <si>
    <t>18010110</t>
  </si>
  <si>
    <t>Terreno Jr. Carabaya Nº 1012 - Lima</t>
  </si>
  <si>
    <t>18010111</t>
  </si>
  <si>
    <t>Terreno La Planicie Piura III Etapa Mz. D-3 Lt.19</t>
  </si>
  <si>
    <t>18010112</t>
  </si>
  <si>
    <t>Terreno La Planicie Piura III Etapa Mz. D-3 Lt.21</t>
  </si>
  <si>
    <t>18010113</t>
  </si>
  <si>
    <t>Terreno La Planicie Piura III Etapa Mz. D-3 Lt.22</t>
  </si>
  <si>
    <t>18010114</t>
  </si>
  <si>
    <t>Terreno La Planicie Piura III Etapa Mz. D-3 Lt.23</t>
  </si>
  <si>
    <t>18010115</t>
  </si>
  <si>
    <t>Terreno La Planicie Piura III Etapa Mz. D-3 Lt.24</t>
  </si>
  <si>
    <t>18010116</t>
  </si>
  <si>
    <t>Terreno La Planicie Piura III Etapa Mz. D-3 Lt.20</t>
  </si>
  <si>
    <t>18020101</t>
  </si>
  <si>
    <t>Edificio Jr. Carabaya</t>
  </si>
  <si>
    <t>18020102</t>
  </si>
  <si>
    <t>Edificio Av Bolognesi N° 238 - Barranco</t>
  </si>
  <si>
    <t>18020103</t>
  </si>
  <si>
    <t>Edificio Arequipa</t>
  </si>
  <si>
    <t>18020104</t>
  </si>
  <si>
    <t>Edificio Piura</t>
  </si>
  <si>
    <t>18020105</t>
  </si>
  <si>
    <t>Edificio Iquitos</t>
  </si>
  <si>
    <t>18020106</t>
  </si>
  <si>
    <t>Edificio  Ayacucho</t>
  </si>
  <si>
    <t>18020107</t>
  </si>
  <si>
    <t>Edificio Tarapoto</t>
  </si>
  <si>
    <t>18020201</t>
  </si>
  <si>
    <t>Instalaciones Jr Carabaya N° 1012 - Lima</t>
  </si>
  <si>
    <t>18020202</t>
  </si>
  <si>
    <t>Instalaciones Av Bolognesi N° 238 - Lima</t>
  </si>
  <si>
    <t>18030101</t>
  </si>
  <si>
    <t>Mobiliario de Oficina</t>
  </si>
  <si>
    <t>18030201</t>
  </si>
  <si>
    <t>Equipo de Cómputo</t>
  </si>
  <si>
    <t>18030901</t>
  </si>
  <si>
    <t>Equipos de Oficina</t>
  </si>
  <si>
    <t>18030902</t>
  </si>
  <si>
    <t>Otros Bienes de Oficina</t>
  </si>
  <si>
    <t>18030903</t>
  </si>
  <si>
    <t>Equipos de Comunicación</t>
  </si>
  <si>
    <t>18030904</t>
  </si>
  <si>
    <t>Otros Equipos Diversos</t>
  </si>
  <si>
    <t>18030905</t>
  </si>
  <si>
    <t>Equipo Area Medicina Física y Rehabilitación</t>
  </si>
  <si>
    <t>18030906</t>
  </si>
  <si>
    <t>Equipo Diversos Área Peluquería</t>
  </si>
  <si>
    <t>18030907</t>
  </si>
  <si>
    <t>Equipos Diversos Cafetería Bolognesi 238 Barranco</t>
  </si>
  <si>
    <t>18040101</t>
  </si>
  <si>
    <t>Vehículos</t>
  </si>
  <si>
    <t>180601010101</t>
  </si>
  <si>
    <t>Av. Bolognesi Nº 202 - Barranco</t>
  </si>
  <si>
    <t>180601010102</t>
  </si>
  <si>
    <t>Av. Ayacucho, Dist Morales Prov Tarapoto</t>
  </si>
  <si>
    <t>180601010103</t>
  </si>
  <si>
    <t>Av. Bolognesi Nº 230 - Barranco</t>
  </si>
  <si>
    <t>180601010104</t>
  </si>
  <si>
    <t>Av.Los Patriotas N° 240-242-244 Urb. Maranga 2da Etapa - San Miguel</t>
  </si>
  <si>
    <t>180601010105</t>
  </si>
  <si>
    <t>Ca.Lima 1016  In.01 Cent.Piua-Piura</t>
  </si>
  <si>
    <t>180601010106</t>
  </si>
  <si>
    <t>Jr Carabaya Nº     - Playa Carabaya</t>
  </si>
  <si>
    <t>180601010107</t>
  </si>
  <si>
    <t>Av. Bolognesi N° 238 - Barranco</t>
  </si>
  <si>
    <t>1809020101</t>
  </si>
  <si>
    <t>Deprec Acum Edif Jr Carabaya Nº 1012</t>
  </si>
  <si>
    <t>1809020102</t>
  </si>
  <si>
    <t>Deprec Acum Edif Av Bolognesi Nº 238</t>
  </si>
  <si>
    <t>1809020103</t>
  </si>
  <si>
    <t>Deprec Acum Edif Arequipa</t>
  </si>
  <si>
    <t>1809020104</t>
  </si>
  <si>
    <t>Deprec Acum Edif Piura</t>
  </si>
  <si>
    <t>1809020105</t>
  </si>
  <si>
    <t>Deprec Acum Edif Iquitos</t>
  </si>
  <si>
    <t>1809020106</t>
  </si>
  <si>
    <t>Deprec Acum Edif Ayacucho</t>
  </si>
  <si>
    <t>1809020107</t>
  </si>
  <si>
    <t>Deprec Acum Edif Tarapoto</t>
  </si>
  <si>
    <t>1809020201</t>
  </si>
  <si>
    <t>Deprec Acum Instalac Jr Carabaya Nº 1012</t>
  </si>
  <si>
    <t>1809020202</t>
  </si>
  <si>
    <t>Deprec Acum Instalac Av Bolognesi Nº 238</t>
  </si>
  <si>
    <t>18090301</t>
  </si>
  <si>
    <t>Deprec Acum Mobiliario de Oficina</t>
  </si>
  <si>
    <t>18090302</t>
  </si>
  <si>
    <t>Deprec Acum Equipo de Cómputo</t>
  </si>
  <si>
    <t>18090303</t>
  </si>
  <si>
    <t>Deprec Acum Equipo de Oficina</t>
  </si>
  <si>
    <t>18090304</t>
  </si>
  <si>
    <t>Deprec Acum Otros Bienes de Oficina</t>
  </si>
  <si>
    <t>18090305</t>
  </si>
  <si>
    <t>Deprec Acum Equipos de Comunicación</t>
  </si>
  <si>
    <t>18090306</t>
  </si>
  <si>
    <t>Deprec Acum Otros Equipos Diversos</t>
  </si>
  <si>
    <t>18090307</t>
  </si>
  <si>
    <t>Deprec Acum Equipo Ar Médica y Rehabilitac</t>
  </si>
  <si>
    <t>18090308</t>
  </si>
  <si>
    <t>Deprec Acum Equipo Divers Peluquería</t>
  </si>
  <si>
    <t>18090309</t>
  </si>
  <si>
    <t>Deprec Acum Equipo Divers Cafetería</t>
  </si>
  <si>
    <t>1809090401</t>
  </si>
  <si>
    <t>Deprec Acum Vehiculos</t>
  </si>
  <si>
    <t>19010601</t>
  </si>
  <si>
    <t>Entregas a Rendir Cuenta - Administrac Lima</t>
  </si>
  <si>
    <t>19010602</t>
  </si>
  <si>
    <t>Entregas a Rendir Cuenta - Consejos y Comités</t>
  </si>
  <si>
    <t>19010603</t>
  </si>
  <si>
    <t>Entregas a Rendir Cuenta - Campañas</t>
  </si>
  <si>
    <t>19010604</t>
  </si>
  <si>
    <t>Entregas a Rendir Cuenta - Día de la Madre</t>
  </si>
  <si>
    <t>19010605</t>
  </si>
  <si>
    <t>Entregas a Rendir Cuenta - Fiestas Navideña</t>
  </si>
  <si>
    <t>19010607</t>
  </si>
  <si>
    <t>Entregas a Rendir - Asesores y Funcionarios</t>
  </si>
  <si>
    <t>19010609</t>
  </si>
  <si>
    <t>Entregas a Rendir Cuenta - Administrac Provincia</t>
  </si>
  <si>
    <t>19010613</t>
  </si>
  <si>
    <t>Entregas a Rendir Cuenta - Teceros</t>
  </si>
  <si>
    <t>19010614</t>
  </si>
  <si>
    <t>Entregas a Rendir Cuenta - Fiestas Patrias</t>
  </si>
  <si>
    <t>19010701</t>
  </si>
  <si>
    <t>Suministros - Utiles de Oficina</t>
  </si>
  <si>
    <t>19010704</t>
  </si>
  <si>
    <t>Suministros - Diversos</t>
  </si>
  <si>
    <t>19010705</t>
  </si>
  <si>
    <t>Suministros - Bazar Merchandising</t>
  </si>
  <si>
    <t>1903020201</t>
  </si>
  <si>
    <t>Pagos a Cuenta del Impuesto a la Renta</t>
  </si>
  <si>
    <t>1903020202</t>
  </si>
  <si>
    <t>Impuesto Temporal Activos Netos - ITAN</t>
  </si>
  <si>
    <t>19040301</t>
  </si>
  <si>
    <t>Software - Globalsof playa estacionamientos</t>
  </si>
  <si>
    <t>19040903</t>
  </si>
  <si>
    <t>(Amortización y deterioro acumulado de software)</t>
  </si>
  <si>
    <t>1907090101</t>
  </si>
  <si>
    <t>1907090102</t>
  </si>
  <si>
    <t>Suministros - Medicamentos</t>
  </si>
  <si>
    <t>1907090103</t>
  </si>
  <si>
    <t>Suministros - Computo Electronico</t>
  </si>
  <si>
    <t>1907090104</t>
  </si>
  <si>
    <t>Suministros - Utiles de Aseo</t>
  </si>
  <si>
    <t>1907090106</t>
  </si>
  <si>
    <t>Suministros - Institucional</t>
  </si>
  <si>
    <t>1907090107</t>
  </si>
  <si>
    <t>1907090108</t>
  </si>
  <si>
    <t>1907090109</t>
  </si>
  <si>
    <t>Suministros - Prevención Covid</t>
  </si>
  <si>
    <t>19080101</t>
  </si>
  <si>
    <t>Cheques Rechazados</t>
  </si>
  <si>
    <t>19080501</t>
  </si>
  <si>
    <t>Diferencias por regularizar</t>
  </si>
  <si>
    <t>19080601</t>
  </si>
  <si>
    <t>Adelanto a Proveedores - Servicios</t>
  </si>
  <si>
    <t>19080602</t>
  </si>
  <si>
    <t>Adelanto de Honorarios</t>
  </si>
  <si>
    <t>19080710</t>
  </si>
  <si>
    <t>Operaciones por Liquidar</t>
  </si>
  <si>
    <t>19080711</t>
  </si>
  <si>
    <t>Operaciones por liquidar - Prestamo</t>
  </si>
  <si>
    <t>19080712</t>
  </si>
  <si>
    <t>Por Liquidar - Terreno Piura</t>
  </si>
  <si>
    <t>19080713</t>
  </si>
  <si>
    <t>Por Liquidar - Software Integrado IGIM F/ IGIM C</t>
  </si>
  <si>
    <t>19080714</t>
  </si>
  <si>
    <t>Por Liquidar - Software Integrado CODERS FREE</t>
  </si>
  <si>
    <t>19090101</t>
  </si>
  <si>
    <t>Oficina Lima</t>
  </si>
  <si>
    <t>19090102</t>
  </si>
  <si>
    <t>Oficina Piura</t>
  </si>
  <si>
    <t>19090103</t>
  </si>
  <si>
    <t>Oficina Iquitos</t>
  </si>
  <si>
    <t>19090104</t>
  </si>
  <si>
    <t>Oficina Ayacucho</t>
  </si>
  <si>
    <t>19090105</t>
  </si>
  <si>
    <t>Oficina Arequipa</t>
  </si>
  <si>
    <t>19090106</t>
  </si>
  <si>
    <t>Oficina Carabaya</t>
  </si>
  <si>
    <t>19090107</t>
  </si>
  <si>
    <t>Oficina Tarapoto</t>
  </si>
  <si>
    <t>19090108</t>
  </si>
  <si>
    <t>Oficina Huancayo</t>
  </si>
  <si>
    <t>19090109</t>
  </si>
  <si>
    <t>Oficina Tarapoto - Hotel</t>
  </si>
  <si>
    <t>19090110</t>
  </si>
  <si>
    <t>Oficina Playa Barranco</t>
  </si>
  <si>
    <t>19090111</t>
  </si>
  <si>
    <t>Oficina Piura - Hotel</t>
  </si>
  <si>
    <t>21020101</t>
  </si>
  <si>
    <t>Dep Ahorro Activo, pers natur y jurid sin fines lucro</t>
  </si>
  <si>
    <t>21020201</t>
  </si>
  <si>
    <t>Dep Ahorro Inactivo, pers natur y jurid sin fines lucro</t>
  </si>
  <si>
    <t>21030301</t>
  </si>
  <si>
    <t>Personas naturales y jurídicas privadas sin fines de lucro</t>
  </si>
  <si>
    <t>2103030101</t>
  </si>
  <si>
    <t>Depósito Plazo  90 Días</t>
  </si>
  <si>
    <t>2103030102</t>
  </si>
  <si>
    <t>Depósito Plazo 180 Días</t>
  </si>
  <si>
    <t>2103030104</t>
  </si>
  <si>
    <t>Depósito Plazo 360 Días</t>
  </si>
  <si>
    <t>2103030105</t>
  </si>
  <si>
    <t>Depósito Plazo &gt; 360 Días</t>
  </si>
  <si>
    <t>21080301</t>
  </si>
  <si>
    <t>2108030101</t>
  </si>
  <si>
    <t>Int x Pagar Depósito a Plazo     90 Días</t>
  </si>
  <si>
    <t>2108030102</t>
  </si>
  <si>
    <t>Int x Pagar Depósito a Plazo   180 Días</t>
  </si>
  <si>
    <t>2108030104</t>
  </si>
  <si>
    <t>Int x Pagar Depósito a Plazo   360 Días</t>
  </si>
  <si>
    <t>2108030105</t>
  </si>
  <si>
    <t>Int x Pagar Depósito a Plazo &gt; 360 Días</t>
  </si>
  <si>
    <t>25041901</t>
  </si>
  <si>
    <t>Seguros por Cuenta de Prestatarios - Desgravamen</t>
  </si>
  <si>
    <t>25041902</t>
  </si>
  <si>
    <t>Garantías por alquileres</t>
  </si>
  <si>
    <t>25041903</t>
  </si>
  <si>
    <t>Fondo de  Sorteo</t>
  </si>
  <si>
    <t>25041904</t>
  </si>
  <si>
    <t>Fondo Club Deportivo Bolognesi</t>
  </si>
  <si>
    <t>25041908</t>
  </si>
  <si>
    <t>Cta x Pagar Conv - Transporte Cruz del Sur</t>
  </si>
  <si>
    <t>25041912</t>
  </si>
  <si>
    <t>Cta x Pagar Covn. - VACARO MOTOR SRL.</t>
  </si>
  <si>
    <t>25041915</t>
  </si>
  <si>
    <t>Cta x Pagar / Rimac Seguros</t>
  </si>
  <si>
    <t>25041920</t>
  </si>
  <si>
    <t>Cuenta por Pagar Ex-Socio</t>
  </si>
  <si>
    <t>25041921</t>
  </si>
  <si>
    <t>Cta x Pagar - FAP</t>
  </si>
  <si>
    <t>25041922</t>
  </si>
  <si>
    <t>Cta. x Pagar - Cafeteria Colabadores</t>
  </si>
  <si>
    <t>25041923</t>
  </si>
  <si>
    <t>Cta x Pagar - Colaborador</t>
  </si>
  <si>
    <t>25041925</t>
  </si>
  <si>
    <t>Cta x Pagar - DINI</t>
  </si>
  <si>
    <t>25041926</t>
  </si>
  <si>
    <t>Cta x Pagar - Prestamo Colaboradores</t>
  </si>
  <si>
    <t>25041927</t>
  </si>
  <si>
    <t>CtaxPagar - Cuota Cero</t>
  </si>
  <si>
    <t>25041928</t>
  </si>
  <si>
    <t>Cta.xPagar - DITELE</t>
  </si>
  <si>
    <t>25041929</t>
  </si>
  <si>
    <t>Cta x Pagar - Impuesto por Pagar</t>
  </si>
  <si>
    <t>25041930</t>
  </si>
  <si>
    <t>Cta x Pagar - RANA Y MAS ASOC.</t>
  </si>
  <si>
    <t>25041931</t>
  </si>
  <si>
    <t>Cta x Pagar - Clientes Varios</t>
  </si>
  <si>
    <t>25050201</t>
  </si>
  <si>
    <t>Compensación por tiempo de servicios</t>
  </si>
  <si>
    <t>25050401</t>
  </si>
  <si>
    <t>Remuneraciones por Pagar</t>
  </si>
  <si>
    <t>25050402</t>
  </si>
  <si>
    <t>Gratificaciones por Pagar</t>
  </si>
  <si>
    <t>25050403</t>
  </si>
  <si>
    <t>Vacaciones por Pagar</t>
  </si>
  <si>
    <t>25050404</t>
  </si>
  <si>
    <t>Descuento en Remuneraciones</t>
  </si>
  <si>
    <t>25050501</t>
  </si>
  <si>
    <t>Honorarios por Pagar</t>
  </si>
  <si>
    <t>25060101</t>
  </si>
  <si>
    <t>Proveedores de Bienes</t>
  </si>
  <si>
    <t>25060201</t>
  </si>
  <si>
    <t>Proveedores de servicios por pagar</t>
  </si>
  <si>
    <t>25070302</t>
  </si>
  <si>
    <t>Impuesto General a las Ventas</t>
  </si>
  <si>
    <t>2507030301</t>
  </si>
  <si>
    <t>ESSALUD</t>
  </si>
  <si>
    <t>25070501</t>
  </si>
  <si>
    <t>Retención Renta 4ta Categoria</t>
  </si>
  <si>
    <t>25070502</t>
  </si>
  <si>
    <t>Retención Renta 5ta Categoria</t>
  </si>
  <si>
    <t>25070503</t>
  </si>
  <si>
    <t>O.N.P.</t>
  </si>
  <si>
    <t>25070504</t>
  </si>
  <si>
    <t>AFP Retenciones</t>
  </si>
  <si>
    <t>25070601</t>
  </si>
  <si>
    <t>Detracciones</t>
  </si>
  <si>
    <t>2703040101</t>
  </si>
  <si>
    <t>Fondo Previsión Social</t>
  </si>
  <si>
    <t>2703040102</t>
  </si>
  <si>
    <t>Seguro Préstamo</t>
  </si>
  <si>
    <t>2703040105</t>
  </si>
  <si>
    <t>Servicio Socio y Familiar - Odontología</t>
  </si>
  <si>
    <t>2703040107</t>
  </si>
  <si>
    <t>Servicio Socio y Familiar - Terapia Fisica</t>
  </si>
  <si>
    <t>29010201</t>
  </si>
  <si>
    <t>Interés cobrado por anticip créditos vigentes</t>
  </si>
  <si>
    <t>29080601</t>
  </si>
  <si>
    <t>Entrega por Identificar - Bco Nación</t>
  </si>
  <si>
    <t>29080602</t>
  </si>
  <si>
    <t>Entrega por Identificar - Bco Crédito</t>
  </si>
  <si>
    <t>29080604</t>
  </si>
  <si>
    <t>Entrega por Identificar - Bco BVVA</t>
  </si>
  <si>
    <t>29080605</t>
  </si>
  <si>
    <t>Entrega por Identificar - Bco Comercio</t>
  </si>
  <si>
    <t>29080606</t>
  </si>
  <si>
    <t>Entrega por Identificar - Bco Interbank</t>
  </si>
  <si>
    <t>2908070101</t>
  </si>
  <si>
    <t>Operac x Liquidar</t>
  </si>
  <si>
    <t>2908070103</t>
  </si>
  <si>
    <t>Operaciones por Liquidar - Créditos</t>
  </si>
  <si>
    <t>2908070104</t>
  </si>
  <si>
    <t>Por revisar</t>
  </si>
  <si>
    <t>2908070201</t>
  </si>
  <si>
    <t>Otras Cuentas por Liquidar - Bco Nacion</t>
  </si>
  <si>
    <t>2908070202</t>
  </si>
  <si>
    <t>Otras Cuentas por Liquidar - Bco Credito</t>
  </si>
  <si>
    <t>2908070204</t>
  </si>
  <si>
    <t>Otras Cuentas por Liquidar - Bco BBVA</t>
  </si>
  <si>
    <t>2908070205</t>
  </si>
  <si>
    <t>Otras Cuentas por Liquidar - Bco Scotiabank</t>
  </si>
  <si>
    <t>2908070206</t>
  </si>
  <si>
    <t>Otras Cuentas por Liquidar - Bco Interbank</t>
  </si>
  <si>
    <t>2908070207</t>
  </si>
  <si>
    <t>Otras Cuentas por Liquidar - Bco Nacion (Detracción)</t>
  </si>
  <si>
    <t>29080704</t>
  </si>
  <si>
    <t>Por liquidar - Prestamos</t>
  </si>
  <si>
    <t>29080901</t>
  </si>
  <si>
    <t>Tranf. Internas - Operaciones Colocaciones</t>
  </si>
  <si>
    <t>29080902</t>
  </si>
  <si>
    <t>Tranf. Internas - Devoluciones</t>
  </si>
  <si>
    <t>29080903</t>
  </si>
  <si>
    <t>Tranf. Internas - Ahorro Cafeteria</t>
  </si>
  <si>
    <t>29080904</t>
  </si>
  <si>
    <t>Tranf. Internas - Cafateria SNACKS</t>
  </si>
  <si>
    <t>29080905</t>
  </si>
  <si>
    <t>Tranf. Internas - Recaudación cobranzas</t>
  </si>
  <si>
    <t>31010101</t>
  </si>
  <si>
    <t>Aporte Ordinario</t>
  </si>
  <si>
    <t>33010201</t>
  </si>
  <si>
    <t>Reserva por Remanentes</t>
  </si>
  <si>
    <t>3301090101</t>
  </si>
  <si>
    <t>Otras Reservas</t>
  </si>
  <si>
    <t>38020101</t>
  </si>
  <si>
    <t>Pérdida Acumulada</t>
  </si>
  <si>
    <t>41010201</t>
  </si>
  <si>
    <t>Interes Depósito Ahorro Activos</t>
  </si>
  <si>
    <t>41010303</t>
  </si>
  <si>
    <t>Interés Deposito Plazo Fijo</t>
  </si>
  <si>
    <t>4101030301</t>
  </si>
  <si>
    <t>41010309</t>
  </si>
  <si>
    <t>Otras obligaciones con los socios por cuentas a plazo.</t>
  </si>
  <si>
    <t>41010704</t>
  </si>
  <si>
    <t>Depósitos en garantía</t>
  </si>
  <si>
    <t>41080101</t>
  </si>
  <si>
    <t>Diferencia de cambio por operaciones spot de moneda extranjera</t>
  </si>
  <si>
    <t>41080409</t>
  </si>
  <si>
    <t>Dif Cambio Otros</t>
  </si>
  <si>
    <t>41090501</t>
  </si>
  <si>
    <t>Primas para Fondo de Seguro Depósitos</t>
  </si>
  <si>
    <t>42020101</t>
  </si>
  <si>
    <t>Mantenimiento de Cuentas</t>
  </si>
  <si>
    <t>42021201</t>
  </si>
  <si>
    <t>Prosegur - Remesas</t>
  </si>
  <si>
    <t>42022901</t>
  </si>
  <si>
    <t>Comisión Serv Bancarios</t>
  </si>
  <si>
    <t>4301010313</t>
  </si>
  <si>
    <t>Valores y títulos emitidos por Coopac</t>
  </si>
  <si>
    <t>43020301</t>
  </si>
  <si>
    <t>Créd Consumo Provisión específica</t>
  </si>
  <si>
    <t>4302030201</t>
  </si>
  <si>
    <t>Créd Consumo Prov Gen Componente Fijo</t>
  </si>
  <si>
    <t>43030109</t>
  </si>
  <si>
    <t>Provisión para incobrabilidad de otras cuentas por cobrar</t>
  </si>
  <si>
    <t>4401020101</t>
  </si>
  <si>
    <t>Deprec Edif Jr Carabaya</t>
  </si>
  <si>
    <t>4401020102</t>
  </si>
  <si>
    <t>Deprec Edif Av Bolognesi Nº 238</t>
  </si>
  <si>
    <t>4401020103</t>
  </si>
  <si>
    <t>Deprec Edif Arequipa</t>
  </si>
  <si>
    <t>4401020104</t>
  </si>
  <si>
    <t>Deprec Edif Piura</t>
  </si>
  <si>
    <t>4401020105</t>
  </si>
  <si>
    <t>Deprec Edif Iquitos</t>
  </si>
  <si>
    <t>4401020106</t>
  </si>
  <si>
    <t>Deprec Edif Ayacucho</t>
  </si>
  <si>
    <t>4401020107</t>
  </si>
  <si>
    <t>Deprec Edif Tarapoto</t>
  </si>
  <si>
    <t>4401020201</t>
  </si>
  <si>
    <t>Deprec Instalac Jr Carabaya Nº 1012</t>
  </si>
  <si>
    <t>4401020202</t>
  </si>
  <si>
    <t>Deprec Instalac Av Bolognesi Nº 238</t>
  </si>
  <si>
    <t>44010301</t>
  </si>
  <si>
    <t>Deprec. Mobliario de Oficina</t>
  </si>
  <si>
    <t>44010302</t>
  </si>
  <si>
    <t>Deprec. Equipo de Computo</t>
  </si>
  <si>
    <t>44010303</t>
  </si>
  <si>
    <t>Deprec. Equipo de Oficina</t>
  </si>
  <si>
    <t>44010304</t>
  </si>
  <si>
    <t>Deprec. Otros Bienes de Oficina</t>
  </si>
  <si>
    <t>44010305</t>
  </si>
  <si>
    <t>44010306</t>
  </si>
  <si>
    <t>Deprec. Equipo de Comunicacion</t>
  </si>
  <si>
    <t>44010307</t>
  </si>
  <si>
    <t>Deprec. Otr Equipos Diversos</t>
  </si>
  <si>
    <t>44010308</t>
  </si>
  <si>
    <t>Deprec Equip Area Medicina Fis y Reha</t>
  </si>
  <si>
    <t>44010309</t>
  </si>
  <si>
    <t>Deprec Equip Divers Area Peluqueria</t>
  </si>
  <si>
    <t>44010310</t>
  </si>
  <si>
    <t>Deprec Equip Divers Cafeteria</t>
  </si>
  <si>
    <t>440303</t>
  </si>
  <si>
    <t>Amortización de gastos por software</t>
  </si>
  <si>
    <t>44010401</t>
  </si>
  <si>
    <t>Depreciacion de Vehiculos</t>
  </si>
  <si>
    <t>440401</t>
  </si>
  <si>
    <t>Deterioro de valor de terrenos</t>
  </si>
  <si>
    <t>45010101</t>
  </si>
  <si>
    <t>Básica</t>
  </si>
  <si>
    <t>4501010202</t>
  </si>
  <si>
    <t>Bonificación al Cargo</t>
  </si>
  <si>
    <t>4501010203</t>
  </si>
  <si>
    <t>Bonificación por Riesgo de Caja</t>
  </si>
  <si>
    <t>4501010204</t>
  </si>
  <si>
    <t>Bonificación Extraordinaria Ley 29351</t>
  </si>
  <si>
    <t>4501010205</t>
  </si>
  <si>
    <t>Otras Bonificaciones</t>
  </si>
  <si>
    <t>4501010301</t>
  </si>
  <si>
    <t>Gratificaciones Ordinarias</t>
  </si>
  <si>
    <t>4501010401</t>
  </si>
  <si>
    <t>Asignación Familiar</t>
  </si>
  <si>
    <t>45010105</t>
  </si>
  <si>
    <t>Horas extras</t>
  </si>
  <si>
    <t>45010201</t>
  </si>
  <si>
    <t>Compensación Vacacional</t>
  </si>
  <si>
    <t>45010301</t>
  </si>
  <si>
    <t>Seguro Vida Ley  DL 688</t>
  </si>
  <si>
    <t>4501040101</t>
  </si>
  <si>
    <t>45010402</t>
  </si>
  <si>
    <t>AFP .</t>
  </si>
  <si>
    <t>45010501</t>
  </si>
  <si>
    <t>Compensación por Tiempo de Servicios</t>
  </si>
  <si>
    <t>45010901</t>
  </si>
  <si>
    <t>Refrigerio de Personal</t>
  </si>
  <si>
    <t>45010902</t>
  </si>
  <si>
    <t>Uniformes</t>
  </si>
  <si>
    <t>45010903</t>
  </si>
  <si>
    <t>Asistencia médica</t>
  </si>
  <si>
    <t>45010904</t>
  </si>
  <si>
    <t>Capacitación</t>
  </si>
  <si>
    <t>45010906</t>
  </si>
  <si>
    <t>Atenciones al Personal</t>
  </si>
  <si>
    <t>4501090901</t>
  </si>
  <si>
    <t>Otros Gastos del Personal</t>
  </si>
  <si>
    <t>4501090908</t>
  </si>
  <si>
    <t>Indemnizaciones Laborales</t>
  </si>
  <si>
    <t>4501090909</t>
  </si>
  <si>
    <t>Indemnización Vacaciones no Gozadas</t>
  </si>
  <si>
    <t>4501090910</t>
  </si>
  <si>
    <t>Abono a Titulo Gratuito D.S. 001-97 Tr.57</t>
  </si>
  <si>
    <t>45020301</t>
  </si>
  <si>
    <t>Gastos de atenciones</t>
  </si>
  <si>
    <t>45020302</t>
  </si>
  <si>
    <t>Gastos de representación</t>
  </si>
  <si>
    <t>45020601</t>
  </si>
  <si>
    <t>Viáticos Consejo de Administración</t>
  </si>
  <si>
    <t>45020602</t>
  </si>
  <si>
    <t>Viáticos Consejo de Vigilancia</t>
  </si>
  <si>
    <t>45020603</t>
  </si>
  <si>
    <t>Viáticos Comité de Educación</t>
  </si>
  <si>
    <t>45020604</t>
  </si>
  <si>
    <t>Viáticos Comité Electoral</t>
  </si>
  <si>
    <t>45020701</t>
  </si>
  <si>
    <t>Pasajes Consejo de Administración</t>
  </si>
  <si>
    <t>45020702</t>
  </si>
  <si>
    <t>Pasajes Consejo de Vigilancia</t>
  </si>
  <si>
    <t>45020703</t>
  </si>
  <si>
    <t>Pasajes Comité de Educación</t>
  </si>
  <si>
    <t>45020704</t>
  </si>
  <si>
    <t>Pasajes Comité Electoral</t>
  </si>
  <si>
    <t>45020801</t>
  </si>
  <si>
    <t>Capacitación a Directivos</t>
  </si>
  <si>
    <t>45020901</t>
  </si>
  <si>
    <t>Refrigerio Consejo Administración</t>
  </si>
  <si>
    <t>45020902</t>
  </si>
  <si>
    <t>Refrigerio Consejo Vigilancia</t>
  </si>
  <si>
    <t>45020903</t>
  </si>
  <si>
    <t>Refrigerio Comité Educación</t>
  </si>
  <si>
    <t>45020906</t>
  </si>
  <si>
    <t>Otros Gst Direc - Utiles Oficina</t>
  </si>
  <si>
    <t>45020907</t>
  </si>
  <si>
    <t>Otros Gst Direc - Combustible</t>
  </si>
  <si>
    <t>45020908</t>
  </si>
  <si>
    <t>Movilidad Delegados</t>
  </si>
  <si>
    <t>45020909</t>
  </si>
  <si>
    <t>Otros Gastos Delegados</t>
  </si>
  <si>
    <t>45020910</t>
  </si>
  <si>
    <t>Otros Gastos Directivos</t>
  </si>
  <si>
    <t>45030101</t>
  </si>
  <si>
    <t>Transporte</t>
  </si>
  <si>
    <t>4503010101</t>
  </si>
  <si>
    <t>Transporte Local</t>
  </si>
  <si>
    <t>4503010102</t>
  </si>
  <si>
    <t>Transporte Nacional</t>
  </si>
  <si>
    <t>4503010104</t>
  </si>
  <si>
    <t>Peaje</t>
  </si>
  <si>
    <t>4503010105</t>
  </si>
  <si>
    <t>Combustible - Diversos</t>
  </si>
  <si>
    <t>45030102</t>
  </si>
  <si>
    <t>Reparación y mantenimiento</t>
  </si>
  <si>
    <t>4503010201</t>
  </si>
  <si>
    <t>Rep. Mant Edif y Construcción</t>
  </si>
  <si>
    <t>4503010202</t>
  </si>
  <si>
    <t>Rep. Mant Equi Ofic y Cómputo</t>
  </si>
  <si>
    <t>4503010203</t>
  </si>
  <si>
    <t>Rep. Mant Equi Diversos</t>
  </si>
  <si>
    <t>4503010204</t>
  </si>
  <si>
    <t>Rep. Mant Unid Transporte</t>
  </si>
  <si>
    <t>45030103</t>
  </si>
  <si>
    <t>Vigilancia y protección</t>
  </si>
  <si>
    <t>45030104</t>
  </si>
  <si>
    <t>Trabajos eventuales</t>
  </si>
  <si>
    <t>4503010401</t>
  </si>
  <si>
    <t>Servicios Administrativos</t>
  </si>
  <si>
    <t>4503010402</t>
  </si>
  <si>
    <t>Servicios Administrativos - TIC</t>
  </si>
  <si>
    <t>45030105</t>
  </si>
  <si>
    <t>Publicidad</t>
  </si>
  <si>
    <t>4503010601</t>
  </si>
  <si>
    <t>Energia Eléctrica</t>
  </si>
  <si>
    <t>4503010602</t>
  </si>
  <si>
    <t>Agua</t>
  </si>
  <si>
    <t>45030107</t>
  </si>
  <si>
    <t>Comunicaciones</t>
  </si>
  <si>
    <t>4503010701</t>
  </si>
  <si>
    <t>Teléfono</t>
  </si>
  <si>
    <t>4503010702</t>
  </si>
  <si>
    <t>Internet / Cable</t>
  </si>
  <si>
    <t>4503010703</t>
  </si>
  <si>
    <t>Central de Riesgos Comerciales</t>
  </si>
  <si>
    <t>4503010704</t>
  </si>
  <si>
    <t>Correspondencia</t>
  </si>
  <si>
    <t>4503010801</t>
  </si>
  <si>
    <t>Contador Publico</t>
  </si>
  <si>
    <t>4503010803</t>
  </si>
  <si>
    <t>Asesor Legal</t>
  </si>
  <si>
    <t>4503010809</t>
  </si>
  <si>
    <t>Otras Asesorías</t>
  </si>
  <si>
    <t>4503010902</t>
  </si>
  <si>
    <t>Seguro Vehicular - SOAT</t>
  </si>
  <si>
    <t>4503011001</t>
  </si>
  <si>
    <t>Alquiler de Oficina</t>
  </si>
  <si>
    <t>4503011002</t>
  </si>
  <si>
    <t>Hospedaje</t>
  </si>
  <si>
    <t>4503011003</t>
  </si>
  <si>
    <t>Alquiler y comisiones POS - IZIPAY SAC</t>
  </si>
  <si>
    <t>4503011101</t>
  </si>
  <si>
    <t>Utiles de Oficina</t>
  </si>
  <si>
    <t>4503011102</t>
  </si>
  <si>
    <t>Impresos y Formularios</t>
  </si>
  <si>
    <t>4503011103</t>
  </si>
  <si>
    <t>Suministros de Cómputo</t>
  </si>
  <si>
    <t>4503011104</t>
  </si>
  <si>
    <t>Utiles de Limpieza y Aseo</t>
  </si>
  <si>
    <t>4503011105</t>
  </si>
  <si>
    <t>Tipeo, Copia y Anillados</t>
  </si>
  <si>
    <t>4503011106</t>
  </si>
  <si>
    <t>Agua Mineral</t>
  </si>
  <si>
    <t>4503011107</t>
  </si>
  <si>
    <t>Activo de Menor Cuantía</t>
  </si>
  <si>
    <t>4503011108</t>
  </si>
  <si>
    <t>Suministros de Ferreteria</t>
  </si>
  <si>
    <t>4503011109</t>
  </si>
  <si>
    <t>4503011110</t>
  </si>
  <si>
    <t>Suministros Prevención COVID</t>
  </si>
  <si>
    <t>4503011111</t>
  </si>
  <si>
    <t>Suministros - Prev. Social Diversos</t>
  </si>
  <si>
    <t>4503011112</t>
  </si>
  <si>
    <t>Suministros-Merchandising</t>
  </si>
  <si>
    <t>45030112</t>
  </si>
  <si>
    <t>45030113</t>
  </si>
  <si>
    <t>Gastos notariales y de registro</t>
  </si>
  <si>
    <t>4503011301</t>
  </si>
  <si>
    <t>Gastos Notariales</t>
  </si>
  <si>
    <t>4503011302</t>
  </si>
  <si>
    <t>Gastos Registrales</t>
  </si>
  <si>
    <t>4503011401</t>
  </si>
  <si>
    <t>Gastos Judiciales Administrativos</t>
  </si>
  <si>
    <t>4503011402</t>
  </si>
  <si>
    <t>Gastos Judiciales Colocaciones</t>
  </si>
  <si>
    <t>45030115</t>
  </si>
  <si>
    <t>Suscripciones y cotizaciones</t>
  </si>
  <si>
    <t>4503011501</t>
  </si>
  <si>
    <t>RENIEC - Consultas Online</t>
  </si>
  <si>
    <t>4503011503</t>
  </si>
  <si>
    <t>Otras suscripciones</t>
  </si>
  <si>
    <t>45030117</t>
  </si>
  <si>
    <t>Limpieza</t>
  </si>
  <si>
    <t>4503011701</t>
  </si>
  <si>
    <t>Limpieza Oficina</t>
  </si>
  <si>
    <t>45030118</t>
  </si>
  <si>
    <t>Procesamiento electrónico</t>
  </si>
  <si>
    <t>45030120</t>
  </si>
  <si>
    <t>Gastos de Viaje</t>
  </si>
  <si>
    <t>4503012001</t>
  </si>
  <si>
    <t>Gastos de Viaje - Funcionarios / Empleados</t>
  </si>
  <si>
    <t>4503012002</t>
  </si>
  <si>
    <t>Gastos de Viaje - Asesores</t>
  </si>
  <si>
    <t>45030121</t>
  </si>
  <si>
    <t>Estudios y proyectos</t>
  </si>
  <si>
    <t>45030122</t>
  </si>
  <si>
    <t>Consultorías</t>
  </si>
  <si>
    <t>4503012303</t>
  </si>
  <si>
    <t>Sociedades Auditoria - Audi. Externa</t>
  </si>
  <si>
    <t>4503012901</t>
  </si>
  <si>
    <t>Otros servicios de Terceros</t>
  </si>
  <si>
    <t>4503012902</t>
  </si>
  <si>
    <t>Otros gastos varios</t>
  </si>
  <si>
    <t>4503012903</t>
  </si>
  <si>
    <t>Implementación Software Global</t>
  </si>
  <si>
    <t>4503012904</t>
  </si>
  <si>
    <t>Celebraciones Diversas</t>
  </si>
  <si>
    <t>4503012905</t>
  </si>
  <si>
    <t>Gastos Gestion Créditos/Cobranza MN</t>
  </si>
  <si>
    <t>4503012907</t>
  </si>
  <si>
    <t>4503012908</t>
  </si>
  <si>
    <t>Rendondeo Bancos</t>
  </si>
  <si>
    <t>4503012909</t>
  </si>
  <si>
    <t>Gastos Campaña Captación - Colocacion</t>
  </si>
  <si>
    <t>4503012910</t>
  </si>
  <si>
    <t>Prev. Social - Suministros Diversos</t>
  </si>
  <si>
    <t>4503012911</t>
  </si>
  <si>
    <t>Atencion a Terceros</t>
  </si>
  <si>
    <t>4503012913</t>
  </si>
  <si>
    <t>Recarga OLO</t>
  </si>
  <si>
    <t>4503012915</t>
  </si>
  <si>
    <t>Alquiler Software Globalsoft</t>
  </si>
  <si>
    <t>4503012916</t>
  </si>
  <si>
    <t>Implementación Windows Server</t>
  </si>
  <si>
    <t>4503012917</t>
  </si>
  <si>
    <t>Celebración Diversa - Día de la Madre</t>
  </si>
  <si>
    <t>4503012920</t>
  </si>
  <si>
    <t>Atención a Socios</t>
  </si>
  <si>
    <t>4503012921</t>
  </si>
  <si>
    <t>Arreglo Floral</t>
  </si>
  <si>
    <t>4503012922</t>
  </si>
  <si>
    <t>Celebración Diversa - Día del Padre</t>
  </si>
  <si>
    <t>4503012924</t>
  </si>
  <si>
    <t>Redondeo Caja - Operaciones</t>
  </si>
  <si>
    <t>4503012925</t>
  </si>
  <si>
    <t>Celebración Diversa - Día del Niño</t>
  </si>
  <si>
    <t>4503012926</t>
  </si>
  <si>
    <t>Donaciones</t>
  </si>
  <si>
    <t>4503012927</t>
  </si>
  <si>
    <t>Implementación Software IGIM</t>
  </si>
  <si>
    <t>Rendondeo Compras - SUNAT</t>
  </si>
  <si>
    <t>45030202</t>
  </si>
  <si>
    <t>45030204</t>
  </si>
  <si>
    <t>45030208</t>
  </si>
  <si>
    <t>Honorarios profesionales</t>
  </si>
  <si>
    <t>45030211</t>
  </si>
  <si>
    <t>Suministros diversos</t>
  </si>
  <si>
    <t>45030214</t>
  </si>
  <si>
    <t>Gastos judiciales</t>
  </si>
  <si>
    <t>45030218</t>
  </si>
  <si>
    <t>45030220</t>
  </si>
  <si>
    <t>45040101</t>
  </si>
  <si>
    <t>45040301</t>
  </si>
  <si>
    <t>Impuesto Patrimonio Predial</t>
  </si>
  <si>
    <t>45040302</t>
  </si>
  <si>
    <t>Arbitrios Municipales</t>
  </si>
  <si>
    <t>45040303</t>
  </si>
  <si>
    <t>Otros Impuestos y Arbitrios Municipales</t>
  </si>
  <si>
    <t>45040304</t>
  </si>
  <si>
    <t>Impuesto Patrimonio Vehicular</t>
  </si>
  <si>
    <t>45040401</t>
  </si>
  <si>
    <t>Contribución a la SBS</t>
  </si>
  <si>
    <t>45040501</t>
  </si>
  <si>
    <t>Supervisión FENACREP</t>
  </si>
  <si>
    <t>45040901</t>
  </si>
  <si>
    <t>Imp Transacc Financieras - ITF</t>
  </si>
  <si>
    <t>45040902</t>
  </si>
  <si>
    <t>Papeletas de transporte</t>
  </si>
  <si>
    <t>45040903</t>
  </si>
  <si>
    <t>Multa Tributaria - SUNAT</t>
  </si>
  <si>
    <t>45040904</t>
  </si>
  <si>
    <t>Infracciones -SAT</t>
  </si>
  <si>
    <t>45040906</t>
  </si>
  <si>
    <t>Multa  SBS</t>
  </si>
  <si>
    <t>45050101</t>
  </si>
  <si>
    <t>Gastos de Elecciones - Impresos</t>
  </si>
  <si>
    <t>45050102</t>
  </si>
  <si>
    <t>Gastos de Elecciones - Comunicaciones</t>
  </si>
  <si>
    <t>45050103</t>
  </si>
  <si>
    <t>Gastos de Elecciones - Refrigerio y Atenciones</t>
  </si>
  <si>
    <t>45050109</t>
  </si>
  <si>
    <t>Gastos de Elecciones - Otros Gastos</t>
  </si>
  <si>
    <t>45050201</t>
  </si>
  <si>
    <t>Gastos Asamblea General - Impresos</t>
  </si>
  <si>
    <t>45050202</t>
  </si>
  <si>
    <t>Gastos Asamblea General - Comunicaciones</t>
  </si>
  <si>
    <t>45050203</t>
  </si>
  <si>
    <t>Gastos Asamblea General - Refrigerios y atenciones</t>
  </si>
  <si>
    <t>45050204</t>
  </si>
  <si>
    <t>Gastos Asamblea General - Alquiler de local y equipos</t>
  </si>
  <si>
    <t>45050205</t>
  </si>
  <si>
    <t>Gastos Asamblea General -Movilidad y Viaticos</t>
  </si>
  <si>
    <t>45050209</t>
  </si>
  <si>
    <t>Gastos Asamblea General - Otros Gastos</t>
  </si>
  <si>
    <t>46060101</t>
  </si>
  <si>
    <t>Perdidas no Cubiertas por Seguros</t>
  </si>
  <si>
    <t>46070101</t>
  </si>
  <si>
    <t>46090105</t>
  </si>
  <si>
    <t>Otros gastos de ejercicios anteriores</t>
  </si>
  <si>
    <t>46090106</t>
  </si>
  <si>
    <t>Ahorro No Migrado</t>
  </si>
  <si>
    <t>46090107</t>
  </si>
  <si>
    <t>Condonación de Intereses Moratorio y Compensatorio</t>
  </si>
  <si>
    <t>46090108</t>
  </si>
  <si>
    <t>Servicio Socio y Familiar - Peluqueria</t>
  </si>
  <si>
    <t>46090109</t>
  </si>
  <si>
    <t>Actividades Educativas y Deportivas con Asociados</t>
  </si>
  <si>
    <t>46090112</t>
  </si>
  <si>
    <t>Otros Gastos diversos de gestión</t>
  </si>
  <si>
    <t>51010306</t>
  </si>
  <si>
    <t>Cooperativas de Ahorro y Crédito</t>
  </si>
  <si>
    <t>5104010306</t>
  </si>
  <si>
    <t>Créd Consumo Préstamos no revolventes</t>
  </si>
  <si>
    <t>51040403</t>
  </si>
  <si>
    <t>Créd Refinanc Créditos de consumo</t>
  </si>
  <si>
    <t>51040503</t>
  </si>
  <si>
    <t>Créd Venc Créditos de consumo</t>
  </si>
  <si>
    <t>51080101</t>
  </si>
  <si>
    <t>51080409</t>
  </si>
  <si>
    <t>Otros - Ajuste contable Niv Tipo Cambio</t>
  </si>
  <si>
    <t>510809</t>
  </si>
  <si>
    <t>Otros</t>
  </si>
  <si>
    <t>52022901</t>
  </si>
  <si>
    <t>Otro Ingreso - Multa Elecciones</t>
  </si>
  <si>
    <t>52022903</t>
  </si>
  <si>
    <t>Curso Basico Coop,</t>
  </si>
  <si>
    <t>52022906</t>
  </si>
  <si>
    <t>Otros Ingresos Servicios</t>
  </si>
  <si>
    <t>52022909</t>
  </si>
  <si>
    <t>Otros Ingresos - Gimnasio Training</t>
  </si>
  <si>
    <t>52022911</t>
  </si>
  <si>
    <t>Curso Avanzado Coop.</t>
  </si>
  <si>
    <t>52022912</t>
  </si>
  <si>
    <t>Otros Ingresos - Por Redondeo</t>
  </si>
  <si>
    <t>52022914</t>
  </si>
  <si>
    <t>Otros Ingresos - Terapia Fisica</t>
  </si>
  <si>
    <t>5302020101</t>
  </si>
  <si>
    <t>Edificios e instalaciones</t>
  </si>
  <si>
    <t>530203</t>
  </si>
  <si>
    <t>Mobiliario y equipo</t>
  </si>
  <si>
    <t>5302030101</t>
  </si>
  <si>
    <t>54040101</t>
  </si>
  <si>
    <t>Reversión Provisión Crédito Directos</t>
  </si>
  <si>
    <t>54050101</t>
  </si>
  <si>
    <t>Reversión por Provis Cuentas por Cobrar</t>
  </si>
  <si>
    <t>56090101</t>
  </si>
  <si>
    <t>Otros Ingresos</t>
  </si>
  <si>
    <t>57020101</t>
  </si>
  <si>
    <t>Servicios Playa Estacionamiento - Carabaya</t>
  </si>
  <si>
    <t>57020102</t>
  </si>
  <si>
    <t>Servicio Playa Estacionamiento - Barranco</t>
  </si>
  <si>
    <t>57020103</t>
  </si>
  <si>
    <t>Servicio Ingreso - Hotel Tarapoto</t>
  </si>
  <si>
    <t>57020104</t>
  </si>
  <si>
    <t>Servicio Ingreso - Hotel Piura</t>
  </si>
  <si>
    <t>81020101</t>
  </si>
  <si>
    <t>Pagares Propios en Cobranz Ofic Princ</t>
  </si>
  <si>
    <t>810402</t>
  </si>
  <si>
    <t>Rendimiento de créditos vencidos en suspenso</t>
  </si>
  <si>
    <t>81040206</t>
  </si>
  <si>
    <t>Rend Créd Vencen en suspenso Consumo</t>
  </si>
  <si>
    <t>81090201</t>
  </si>
  <si>
    <t>Activos de Menor Cuantía</t>
  </si>
  <si>
    <t>810924</t>
  </si>
  <si>
    <t>Créditos - OM N°11162-2020</t>
  </si>
  <si>
    <t>81092901</t>
  </si>
  <si>
    <t>Aporte Club Bolognesi</t>
  </si>
  <si>
    <t>81092902</t>
  </si>
  <si>
    <t>Previsión Social</t>
  </si>
  <si>
    <t>81092903</t>
  </si>
  <si>
    <t>Fondo de Sorteo</t>
  </si>
  <si>
    <t>81092912</t>
  </si>
  <si>
    <t>Cuentas por Cobrar DV</t>
  </si>
  <si>
    <t>82020000</t>
  </si>
  <si>
    <t>Contra Cuenta Valores Propios en Cobranza</t>
  </si>
  <si>
    <t>82040000</t>
  </si>
  <si>
    <t>Contra Cuenta Rend Crédito y Rentas en Suspenso</t>
  </si>
  <si>
    <t>82090000</t>
  </si>
  <si>
    <t>Contra Cuenta Cuentas de Orden Deudoras</t>
  </si>
  <si>
    <t>83040000</t>
  </si>
  <si>
    <t>Contra Cuenta Garantias Recibidas por Operaciones de Credito</t>
  </si>
  <si>
    <t>83090000</t>
  </si>
  <si>
    <t>Contra Cuenta de Otras Cuentas de Orden Acreedoras</t>
  </si>
  <si>
    <t>84040201</t>
  </si>
  <si>
    <t>Primeras hipotecas sobre inmuebles</t>
  </si>
  <si>
    <t>84091901</t>
  </si>
  <si>
    <t>Socios Ganadores de Sorteo</t>
  </si>
  <si>
    <t>84091902</t>
  </si>
  <si>
    <t>Devolución Multa Socio</t>
  </si>
  <si>
    <t>P+C</t>
  </si>
  <si>
    <t>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</si>
</sst>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0"/>
      <name val="Arial Narrow"/>
    </font>
    <font>
      <sz val="10"/>
      <color rgb="FF000000"/>
      <name val="Segoe UI"/>
      <family val="2"/>
    </font>
    <font>
      <sz val="10"/>
      <name val="Segoe UI"/>
    </font>
    <font>
      <sz val="10"/>
      <color rgb="FF000000"/>
      <name val="Arial Narrow"/>
      <family val="2"/>
    </font>
    <font>
      <sz val="10"/>
      <name val="Arial Narrow"/>
    </font>
    <font>
      <b/>
      <sz val="10"/>
      <name val="Arial Narrow"/>
      <family val="2"/>
    </font>
    <font>
      <sz val="10"/>
      <name val="Segoe UI"/>
      <family val="2"/>
    </font>
    <font>
      <sz val="10"/>
      <name val="Arial Narrow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 vertical="top" wrapText="1"/>
    </xf>
    <xf numFmtId="14" fontId="7" fillId="0" borderId="1" xfId="0" applyNumberFormat="1" applyFont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" fontId="2" fillId="0" borderId="3" xfId="0" applyNumberFormat="1" applyFont="1" applyBorder="1" applyAlignment="1">
      <alignment horizontal="left" vertical="top" shrinkToFit="1"/>
    </xf>
    <xf numFmtId="1" fontId="2" fillId="0" borderId="4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4" fontId="3" fillId="0" borderId="2" xfId="0" applyNumberFormat="1" applyFont="1" applyBorder="1" applyAlignment="1">
      <alignment horizontal="right" vertical="top" wrapText="1"/>
    </xf>
    <xf numFmtId="0" fontId="7" fillId="0" borderId="2" xfId="0" applyFont="1" applyBorder="1" applyAlignment="1">
      <alignment horizontal="left" vertical="top" wrapText="1"/>
    </xf>
    <xf numFmtId="4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left" vertical="top"/>
    </xf>
    <xf numFmtId="4" fontId="3" fillId="0" borderId="2" xfId="0" applyNumberFormat="1" applyFont="1" applyFill="1" applyBorder="1" applyAlignment="1">
      <alignment horizontal="right" vertical="top" wrapText="1"/>
    </xf>
    <xf numFmtId="14" fontId="3" fillId="0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Fill="1" applyBorder="1" applyAlignment="1">
      <alignment horizontal="center" vertical="top" wrapText="1"/>
    </xf>
    <xf numFmtId="4" fontId="7" fillId="0" borderId="2" xfId="0" applyNumberFormat="1" applyFont="1" applyBorder="1" applyAlignment="1">
      <alignment horizontal="right" vertical="top" wrapText="1"/>
    </xf>
    <xf numFmtId="1" fontId="2" fillId="2" borderId="1" xfId="0" applyNumberFormat="1" applyFont="1" applyFill="1" applyBorder="1" applyAlignment="1">
      <alignment horizontal="left" vertical="top" shrinkToFit="1"/>
    </xf>
    <xf numFmtId="0" fontId="3" fillId="2" borderId="1" xfId="0" applyFont="1" applyFill="1" applyBorder="1" applyAlignment="1">
      <alignment horizontal="left" vertical="top" wrapText="1"/>
    </xf>
    <xf numFmtId="4" fontId="3" fillId="2" borderId="2" xfId="0" applyNumberFormat="1" applyFont="1" applyFill="1" applyBorder="1" applyAlignment="1">
      <alignment horizontal="right" vertical="top" wrapText="1"/>
    </xf>
    <xf numFmtId="4" fontId="3" fillId="0" borderId="2" xfId="0" applyNumberFormat="1" applyFont="1" applyBorder="1" applyAlignment="1">
      <alignment horizontal="right" vertical="center" wrapText="1"/>
    </xf>
    <xf numFmtId="0" fontId="9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250"/>
  <sheetViews>
    <sheetView tabSelected="1" zoomScaleNormal="100" workbookViewId="0">
      <pane xSplit="2" ySplit="1" topLeftCell="AF4212" activePane="bottomRight" state="frozen"/>
      <selection pane="topRight" activeCell="C1" sqref="C1"/>
      <selection pane="bottomLeft" activeCell="A2" sqref="A2"/>
      <selection pane="bottomRight" activeCell="AR15" sqref="AR15"/>
    </sheetView>
  </sheetViews>
  <sheetFormatPr baseColWidth="10" defaultColWidth="8.83203125" defaultRowHeight="12.75" x14ac:dyDescent="0.2"/>
  <cols>
    <col min="1" max="1" width="15.1640625" bestFit="1" customWidth="1"/>
    <col min="2" max="2" width="75.1640625" customWidth="1"/>
    <col min="3" max="5" width="15.1640625" style="13" bestFit="1" customWidth="1"/>
    <col min="6" max="41" width="16.5" style="13" bestFit="1" customWidth="1"/>
    <col min="42" max="42" width="15" customWidth="1"/>
    <col min="43" max="43" width="10.83203125" bestFit="1" customWidth="1"/>
    <col min="44" max="44" width="11.1640625" bestFit="1" customWidth="1"/>
    <col min="45" max="45" width="17.6640625" customWidth="1"/>
  </cols>
  <sheetData>
    <row r="1" spans="1:43" s="14" customFormat="1" x14ac:dyDescent="0.2">
      <c r="A1" s="1" t="s">
        <v>0</v>
      </c>
      <c r="B1" s="1" t="s">
        <v>1</v>
      </c>
      <c r="C1" s="8">
        <v>44957</v>
      </c>
      <c r="D1" s="8">
        <v>44985</v>
      </c>
      <c r="E1" s="8">
        <v>45016</v>
      </c>
      <c r="F1" s="8">
        <v>45046</v>
      </c>
      <c r="G1" s="8">
        <v>45077</v>
      </c>
      <c r="H1" s="8">
        <v>45107</v>
      </c>
      <c r="I1" s="8">
        <v>45138</v>
      </c>
      <c r="J1" s="8">
        <v>45169</v>
      </c>
      <c r="K1" s="8">
        <v>45199</v>
      </c>
      <c r="L1" s="8">
        <v>45230</v>
      </c>
      <c r="M1" s="8">
        <v>45260</v>
      </c>
      <c r="N1" s="8">
        <v>45291</v>
      </c>
      <c r="O1" s="8">
        <v>45322</v>
      </c>
      <c r="P1" s="8">
        <v>45351</v>
      </c>
      <c r="Q1" s="8">
        <v>45382</v>
      </c>
      <c r="R1" s="8">
        <v>45412</v>
      </c>
      <c r="S1" s="8">
        <v>45443</v>
      </c>
      <c r="T1" s="8">
        <v>45473</v>
      </c>
      <c r="U1" s="8">
        <v>45504</v>
      </c>
      <c r="V1" s="8">
        <v>45535</v>
      </c>
      <c r="W1" s="8">
        <v>45565</v>
      </c>
      <c r="X1" s="8">
        <v>45596</v>
      </c>
      <c r="Y1" s="8">
        <v>45626</v>
      </c>
      <c r="Z1" s="8">
        <v>45657</v>
      </c>
      <c r="AA1" s="8">
        <v>45688</v>
      </c>
      <c r="AB1" s="8">
        <v>45716</v>
      </c>
      <c r="AC1" s="8">
        <v>45747</v>
      </c>
      <c r="AD1" s="8">
        <v>45777</v>
      </c>
      <c r="AE1" s="8">
        <v>45808</v>
      </c>
      <c r="AF1" s="8">
        <v>45838</v>
      </c>
      <c r="AG1" s="8">
        <v>45869</v>
      </c>
      <c r="AH1" s="8">
        <v>45900</v>
      </c>
      <c r="AI1" s="8">
        <v>45930</v>
      </c>
      <c r="AJ1" s="8">
        <v>45961</v>
      </c>
      <c r="AK1" s="8">
        <v>45991</v>
      </c>
      <c r="AL1" s="8">
        <v>46022</v>
      </c>
      <c r="AM1" s="8">
        <v>46053</v>
      </c>
      <c r="AN1" s="8">
        <v>46081</v>
      </c>
      <c r="AO1" s="8">
        <v>46112</v>
      </c>
      <c r="AP1" s="32" t="s">
        <v>2154</v>
      </c>
      <c r="AQ1" s="32" t="s">
        <v>2155</v>
      </c>
    </row>
    <row r="2" spans="1:43" ht="14.25" x14ac:dyDescent="0.2">
      <c r="A2" s="28">
        <v>1</v>
      </c>
      <c r="B2" s="29" t="s">
        <v>2</v>
      </c>
      <c r="C2" s="30">
        <f>+C3+C61+C66+C544+C1574+C1671+C1708+C1718+C1821</f>
        <v>120999391.64</v>
      </c>
      <c r="D2" s="30">
        <f t="shared" ref="D2:AO2" si="0">+D3+D61+D66+D544+D1574+D1671+D1708+D1718+D1821</f>
        <v>119147495.74000001</v>
      </c>
      <c r="E2" s="30">
        <f t="shared" si="0"/>
        <v>115873709.27999999</v>
      </c>
      <c r="F2" s="30">
        <f t="shared" si="0"/>
        <v>116675773.60999998</v>
      </c>
      <c r="G2" s="30">
        <f t="shared" si="0"/>
        <v>114572930.55999999</v>
      </c>
      <c r="H2" s="30">
        <f t="shared" si="0"/>
        <v>115155996.38000001</v>
      </c>
      <c r="I2" s="30">
        <f t="shared" si="0"/>
        <v>116132931.53000002</v>
      </c>
      <c r="J2" s="30">
        <f t="shared" si="0"/>
        <v>115666326.45999999</v>
      </c>
      <c r="K2" s="30">
        <f t="shared" si="0"/>
        <v>114802327.66</v>
      </c>
      <c r="L2" s="30">
        <f t="shared" si="0"/>
        <v>115426234.14000002</v>
      </c>
      <c r="M2" s="30">
        <f t="shared" si="0"/>
        <v>117109439.49000001</v>
      </c>
      <c r="N2" s="30">
        <f t="shared" si="0"/>
        <v>112577339.09999999</v>
      </c>
      <c r="O2" s="30">
        <f t="shared" si="0"/>
        <v>113753962.53999999</v>
      </c>
      <c r="P2" s="30">
        <f t="shared" si="0"/>
        <v>115788000.19000001</v>
      </c>
      <c r="Q2" s="30">
        <f t="shared" si="0"/>
        <v>116127351.55</v>
      </c>
      <c r="R2" s="30">
        <f t="shared" si="0"/>
        <v>115002391.60999998</v>
      </c>
      <c r="S2" s="30">
        <f t="shared" si="0"/>
        <v>114851146.10000002</v>
      </c>
      <c r="T2" s="30">
        <f t="shared" si="0"/>
        <v>115909867.06000002</v>
      </c>
      <c r="U2" s="30">
        <f t="shared" si="0"/>
        <v>116690363.98999999</v>
      </c>
      <c r="V2" s="30">
        <f t="shared" si="0"/>
        <v>118281222.61</v>
      </c>
      <c r="W2" s="30">
        <f t="shared" si="0"/>
        <v>119729789.25999999</v>
      </c>
      <c r="X2" s="30">
        <f t="shared" si="0"/>
        <v>120368299.31</v>
      </c>
      <c r="Y2" s="30">
        <f t="shared" si="0"/>
        <v>120826543.85000002</v>
      </c>
      <c r="Z2" s="30">
        <f t="shared" si="0"/>
        <v>120822367.84999999</v>
      </c>
      <c r="AA2" s="30">
        <f t="shared" si="0"/>
        <v>123412162.20999998</v>
      </c>
      <c r="AB2" s="30">
        <f t="shared" si="0"/>
        <v>125041484.67999999</v>
      </c>
      <c r="AC2" s="30">
        <f t="shared" si="0"/>
        <v>126600944.36</v>
      </c>
      <c r="AD2" s="30">
        <f t="shared" si="0"/>
        <v>127069843.37999998</v>
      </c>
      <c r="AE2" s="30">
        <f t="shared" si="0"/>
        <v>129234242.34999999</v>
      </c>
      <c r="AF2" s="30">
        <f t="shared" si="0"/>
        <v>130494793.95999999</v>
      </c>
      <c r="AG2" s="30">
        <f t="shared" si="0"/>
        <v>130110654.85000001</v>
      </c>
      <c r="AH2" s="30">
        <f t="shared" si="0"/>
        <v>132098332.29000002</v>
      </c>
      <c r="AI2" s="30">
        <f t="shared" si="0"/>
        <v>133933805.83</v>
      </c>
      <c r="AJ2" s="30">
        <f t="shared" si="0"/>
        <v>135097910.41999999</v>
      </c>
      <c r="AK2" s="30">
        <f t="shared" si="0"/>
        <v>135869815.04999995</v>
      </c>
      <c r="AL2" s="30">
        <f t="shared" si="0"/>
        <v>134808456.09999999</v>
      </c>
      <c r="AM2" s="30">
        <f t="shared" si="0"/>
        <v>136492312.22999999</v>
      </c>
      <c r="AN2" s="30">
        <f t="shared" si="0"/>
        <v>137827230.02999997</v>
      </c>
      <c r="AO2" s="30">
        <f>+AO3+AO61+AO66+AO544+AO1574+AO1671+AO1708+AO1718+AO1821</f>
        <v>139926800.57999998</v>
      </c>
      <c r="AP2" s="23">
        <f>+AP1917</f>
        <v>-139926800.57999998</v>
      </c>
      <c r="AQ2" s="23">
        <f>+AO2+AP2</f>
        <v>0</v>
      </c>
    </row>
    <row r="3" spans="1:43" ht="14.25" x14ac:dyDescent="0.2">
      <c r="A3" s="2">
        <v>11</v>
      </c>
      <c r="B3" s="3" t="s">
        <v>3</v>
      </c>
      <c r="C3" s="20">
        <f t="shared" ref="C3:AN3" si="1">+C4+C15+C44</f>
        <v>12661612.85</v>
      </c>
      <c r="D3" s="20">
        <f t="shared" si="1"/>
        <v>17160029.420000002</v>
      </c>
      <c r="E3" s="20">
        <f t="shared" si="1"/>
        <v>15107672.600000001</v>
      </c>
      <c r="F3" s="20">
        <f t="shared" si="1"/>
        <v>11594829.389999999</v>
      </c>
      <c r="G3" s="20">
        <f t="shared" si="1"/>
        <v>8509159.9299999997</v>
      </c>
      <c r="H3" s="20">
        <f t="shared" si="1"/>
        <v>8468818.1999999993</v>
      </c>
      <c r="I3" s="20">
        <f t="shared" si="1"/>
        <v>7369156.6100000003</v>
      </c>
      <c r="J3" s="20">
        <f t="shared" si="1"/>
        <v>4074243.66</v>
      </c>
      <c r="K3" s="20">
        <f t="shared" si="1"/>
        <v>3390205.14</v>
      </c>
      <c r="L3" s="20">
        <f t="shared" si="1"/>
        <v>3396354.5300000007</v>
      </c>
      <c r="M3" s="20">
        <f t="shared" si="1"/>
        <v>2520207.06</v>
      </c>
      <c r="N3" s="20">
        <f t="shared" si="1"/>
        <v>2625548.7400000002</v>
      </c>
      <c r="O3" s="20">
        <f t="shared" si="1"/>
        <v>5093917.09</v>
      </c>
      <c r="P3" s="20">
        <f t="shared" si="1"/>
        <v>14362511.010000002</v>
      </c>
      <c r="Q3" s="20">
        <f t="shared" si="1"/>
        <v>17731343.509999998</v>
      </c>
      <c r="R3" s="20">
        <f t="shared" si="1"/>
        <v>19562171.079999998</v>
      </c>
      <c r="S3" s="20">
        <f t="shared" si="1"/>
        <v>21786145.620000001</v>
      </c>
      <c r="T3" s="20">
        <f t="shared" si="1"/>
        <v>19307459.789999999</v>
      </c>
      <c r="U3" s="20">
        <f t="shared" si="1"/>
        <v>19201052.749999996</v>
      </c>
      <c r="V3" s="20">
        <f t="shared" si="1"/>
        <v>17865868.359999999</v>
      </c>
      <c r="W3" s="20">
        <f t="shared" si="1"/>
        <v>17879464.48</v>
      </c>
      <c r="X3" s="20">
        <f t="shared" si="1"/>
        <v>16294314.770000001</v>
      </c>
      <c r="Y3" s="20">
        <f t="shared" si="1"/>
        <v>14896113.280000003</v>
      </c>
      <c r="Z3" s="20">
        <f t="shared" si="1"/>
        <v>10729041.120000001</v>
      </c>
      <c r="AA3" s="20">
        <f t="shared" si="1"/>
        <v>14388465.969999999</v>
      </c>
      <c r="AB3" s="20">
        <f t="shared" si="1"/>
        <v>18667767.810000002</v>
      </c>
      <c r="AC3" s="20">
        <f t="shared" si="1"/>
        <v>20938913.370000001</v>
      </c>
      <c r="AD3" s="20">
        <f t="shared" si="1"/>
        <v>24003065.830000002</v>
      </c>
      <c r="AE3" s="20">
        <f t="shared" si="1"/>
        <v>27641274.350000001</v>
      </c>
      <c r="AF3" s="20">
        <f t="shared" si="1"/>
        <v>26423844.09</v>
      </c>
      <c r="AG3" s="20">
        <f t="shared" si="1"/>
        <v>26965167.139999997</v>
      </c>
      <c r="AH3" s="20">
        <f t="shared" si="1"/>
        <v>27642169.850000001</v>
      </c>
      <c r="AI3" s="20">
        <f t="shared" si="1"/>
        <v>28500439.52</v>
      </c>
      <c r="AJ3" s="20">
        <f t="shared" si="1"/>
        <v>27867693.079999998</v>
      </c>
      <c r="AK3" s="20">
        <f t="shared" si="1"/>
        <v>25713143.959999997</v>
      </c>
      <c r="AL3" s="20">
        <f t="shared" si="1"/>
        <v>20376386.119999997</v>
      </c>
      <c r="AM3" s="20">
        <f t="shared" si="1"/>
        <v>23257288.240000002</v>
      </c>
      <c r="AN3" s="20">
        <f t="shared" si="1"/>
        <v>25978053.009999998</v>
      </c>
      <c r="AO3" s="20">
        <f>+AO4+AO15+AO44</f>
        <v>31027363.529999997</v>
      </c>
      <c r="AP3" s="23"/>
      <c r="AQ3" s="23"/>
    </row>
    <row r="4" spans="1:43" ht="14.25" x14ac:dyDescent="0.2">
      <c r="A4" s="2">
        <v>1101</v>
      </c>
      <c r="B4" s="3" t="s">
        <v>4</v>
      </c>
      <c r="C4" s="20">
        <f t="shared" ref="C4:AN4" si="2">+C5+C7</f>
        <v>1364192.8</v>
      </c>
      <c r="D4" s="20">
        <f t="shared" si="2"/>
        <v>991464.04</v>
      </c>
      <c r="E4" s="20">
        <f t="shared" si="2"/>
        <v>924130.14</v>
      </c>
      <c r="F4" s="20">
        <f t="shared" si="2"/>
        <v>658765.85</v>
      </c>
      <c r="G4" s="20">
        <f t="shared" si="2"/>
        <v>671569.29</v>
      </c>
      <c r="H4" s="20">
        <f t="shared" si="2"/>
        <v>904046.27</v>
      </c>
      <c r="I4" s="20">
        <f t="shared" si="2"/>
        <v>668786.71</v>
      </c>
      <c r="J4" s="20">
        <f t="shared" si="2"/>
        <v>660954.30000000005</v>
      </c>
      <c r="K4" s="20">
        <f t="shared" si="2"/>
        <v>340431.85</v>
      </c>
      <c r="L4" s="20">
        <f t="shared" si="2"/>
        <v>223184.66</v>
      </c>
      <c r="M4" s="20">
        <f t="shared" si="2"/>
        <v>377289.94</v>
      </c>
      <c r="N4" s="20">
        <f t="shared" si="2"/>
        <v>647025.29</v>
      </c>
      <c r="O4" s="20">
        <f t="shared" si="2"/>
        <v>488263.76</v>
      </c>
      <c r="P4" s="20">
        <f t="shared" si="2"/>
        <v>533474.26</v>
      </c>
      <c r="Q4" s="20">
        <f t="shared" si="2"/>
        <v>740368.88</v>
      </c>
      <c r="R4" s="20">
        <f t="shared" si="2"/>
        <v>1068304.6200000001</v>
      </c>
      <c r="S4" s="20">
        <f t="shared" si="2"/>
        <v>1016421.1000000001</v>
      </c>
      <c r="T4" s="20">
        <f t="shared" si="2"/>
        <v>990553.92</v>
      </c>
      <c r="U4" s="20">
        <f t="shared" si="2"/>
        <v>1162601.6299999999</v>
      </c>
      <c r="V4" s="20">
        <f t="shared" si="2"/>
        <v>518521.74</v>
      </c>
      <c r="W4" s="20">
        <f t="shared" si="2"/>
        <v>507904.46</v>
      </c>
      <c r="X4" s="20">
        <f t="shared" si="2"/>
        <v>341429.63</v>
      </c>
      <c r="Y4" s="20">
        <f t="shared" si="2"/>
        <v>867028.68</v>
      </c>
      <c r="Z4" s="20">
        <f t="shared" si="2"/>
        <v>570216.42000000004</v>
      </c>
      <c r="AA4" s="20">
        <f t="shared" si="2"/>
        <v>832391.75</v>
      </c>
      <c r="AB4" s="20">
        <f t="shared" si="2"/>
        <v>657034.31999999995</v>
      </c>
      <c r="AC4" s="20">
        <f t="shared" si="2"/>
        <v>756366.16</v>
      </c>
      <c r="AD4" s="20">
        <f t="shared" si="2"/>
        <v>1181338.8600000001</v>
      </c>
      <c r="AE4" s="20">
        <f t="shared" si="2"/>
        <v>1685563.74</v>
      </c>
      <c r="AF4" s="20">
        <f t="shared" si="2"/>
        <v>1118783.73</v>
      </c>
      <c r="AG4" s="20">
        <f t="shared" si="2"/>
        <v>1011863.56</v>
      </c>
      <c r="AH4" s="20">
        <f t="shared" si="2"/>
        <v>879341.09</v>
      </c>
      <c r="AI4" s="20">
        <f t="shared" si="2"/>
        <v>1454242.09</v>
      </c>
      <c r="AJ4" s="20">
        <f t="shared" si="2"/>
        <v>1177597.8099999998</v>
      </c>
      <c r="AK4" s="20">
        <f t="shared" si="2"/>
        <v>706338.32</v>
      </c>
      <c r="AL4" s="20">
        <f t="shared" si="2"/>
        <v>1520877.73</v>
      </c>
      <c r="AM4" s="20">
        <f t="shared" si="2"/>
        <v>1469763.25</v>
      </c>
      <c r="AN4" s="20">
        <f t="shared" si="2"/>
        <v>1385104.0599999998</v>
      </c>
      <c r="AO4" s="20">
        <f>+AO5+AO7</f>
        <v>1831558.16</v>
      </c>
    </row>
    <row r="5" spans="1:43" ht="14.25" x14ac:dyDescent="0.2">
      <c r="A5" s="16">
        <v>110101</v>
      </c>
      <c r="B5" s="3" t="s">
        <v>5</v>
      </c>
      <c r="C5" s="20">
        <f>+C6</f>
        <v>1348210.3</v>
      </c>
      <c r="D5" s="20">
        <f t="shared" ref="D5:AO5" si="3">+D6</f>
        <v>969154.04</v>
      </c>
      <c r="E5" s="20">
        <f t="shared" si="3"/>
        <v>916252.14</v>
      </c>
      <c r="F5" s="20">
        <f t="shared" si="3"/>
        <v>647504.85</v>
      </c>
      <c r="G5" s="20">
        <f t="shared" si="3"/>
        <v>658473.29</v>
      </c>
      <c r="H5" s="20">
        <f t="shared" si="3"/>
        <v>887947.27</v>
      </c>
      <c r="I5" s="20">
        <f t="shared" si="3"/>
        <v>659886.71</v>
      </c>
      <c r="J5" s="20">
        <f t="shared" si="3"/>
        <v>647683</v>
      </c>
      <c r="K5" s="20">
        <f t="shared" si="3"/>
        <v>325974.34999999998</v>
      </c>
      <c r="L5" s="20">
        <f t="shared" si="3"/>
        <v>192952.16</v>
      </c>
      <c r="M5" s="20">
        <f t="shared" si="3"/>
        <v>362742.94</v>
      </c>
      <c r="N5" s="20">
        <f t="shared" si="3"/>
        <v>629579.29</v>
      </c>
      <c r="O5" s="20">
        <f t="shared" si="3"/>
        <v>447392.26</v>
      </c>
      <c r="P5" s="20">
        <f t="shared" si="3"/>
        <v>451859.26</v>
      </c>
      <c r="Q5" s="20">
        <f t="shared" si="3"/>
        <v>651480.38</v>
      </c>
      <c r="R5" s="20">
        <f t="shared" si="3"/>
        <v>951536.99</v>
      </c>
      <c r="S5" s="20">
        <f t="shared" si="3"/>
        <v>863084.76</v>
      </c>
      <c r="T5" s="20">
        <f t="shared" si="3"/>
        <v>988651.92</v>
      </c>
      <c r="U5" s="20">
        <f t="shared" si="3"/>
        <v>1157997.9099999999</v>
      </c>
      <c r="V5" s="20">
        <f t="shared" si="3"/>
        <v>503510.38</v>
      </c>
      <c r="W5" s="20">
        <f t="shared" si="3"/>
        <v>496654.56</v>
      </c>
      <c r="X5" s="20">
        <f t="shared" si="3"/>
        <v>334951.65000000002</v>
      </c>
      <c r="Y5" s="20">
        <f t="shared" si="3"/>
        <v>861002.16</v>
      </c>
      <c r="Z5" s="20">
        <f t="shared" si="3"/>
        <v>564823.42000000004</v>
      </c>
      <c r="AA5" s="20">
        <f t="shared" si="3"/>
        <v>813079.8</v>
      </c>
      <c r="AB5" s="20">
        <f t="shared" si="3"/>
        <v>624062.36</v>
      </c>
      <c r="AC5" s="20">
        <f t="shared" si="3"/>
        <v>746188.66</v>
      </c>
      <c r="AD5" s="20">
        <f t="shared" si="3"/>
        <v>1172360.82</v>
      </c>
      <c r="AE5" s="20">
        <f t="shared" si="3"/>
        <v>1674807.54</v>
      </c>
      <c r="AF5" s="20">
        <f t="shared" si="3"/>
        <v>1108582.82</v>
      </c>
      <c r="AG5" s="20">
        <f t="shared" si="3"/>
        <v>1004885.5</v>
      </c>
      <c r="AH5" s="20">
        <f t="shared" si="3"/>
        <v>863957.44</v>
      </c>
      <c r="AI5" s="20">
        <f t="shared" si="3"/>
        <v>1441732.61</v>
      </c>
      <c r="AJ5" s="20">
        <f t="shared" si="3"/>
        <v>1168600.42</v>
      </c>
      <c r="AK5" s="20">
        <f t="shared" si="3"/>
        <v>692945.69</v>
      </c>
      <c r="AL5" s="20">
        <f t="shared" si="3"/>
        <v>1503965.69</v>
      </c>
      <c r="AM5" s="20">
        <f t="shared" si="3"/>
        <v>1440253.82</v>
      </c>
      <c r="AN5" s="20">
        <f t="shared" si="3"/>
        <v>1350915.38</v>
      </c>
      <c r="AO5" s="20">
        <f t="shared" si="3"/>
        <v>1795474.19</v>
      </c>
    </row>
    <row r="6" spans="1:43" s="15" customFormat="1" ht="14.25" x14ac:dyDescent="0.2">
      <c r="A6" s="18" t="s">
        <v>1194</v>
      </c>
      <c r="B6" s="3" t="s">
        <v>1195</v>
      </c>
      <c r="C6" s="20">
        <v>1348210.3</v>
      </c>
      <c r="D6" s="20">
        <v>969154.04</v>
      </c>
      <c r="E6" s="20">
        <v>916252.14</v>
      </c>
      <c r="F6" s="20">
        <v>647504.85</v>
      </c>
      <c r="G6" s="20">
        <v>658473.29</v>
      </c>
      <c r="H6" s="20">
        <v>887947.27</v>
      </c>
      <c r="I6" s="20">
        <v>659886.71</v>
      </c>
      <c r="J6" s="20">
        <v>647683</v>
      </c>
      <c r="K6" s="20">
        <v>325974.34999999998</v>
      </c>
      <c r="L6" s="20">
        <v>192952.16</v>
      </c>
      <c r="M6" s="20">
        <v>362742.94</v>
      </c>
      <c r="N6" s="20">
        <v>629579.29</v>
      </c>
      <c r="O6" s="20">
        <v>447392.26</v>
      </c>
      <c r="P6" s="20">
        <v>451859.26</v>
      </c>
      <c r="Q6" s="20">
        <v>651480.38</v>
      </c>
      <c r="R6" s="20">
        <v>951536.99</v>
      </c>
      <c r="S6" s="20">
        <v>863084.76</v>
      </c>
      <c r="T6" s="20">
        <v>988651.92</v>
      </c>
      <c r="U6" s="20">
        <v>1157997.9099999999</v>
      </c>
      <c r="V6" s="20">
        <v>503510.38</v>
      </c>
      <c r="W6" s="20">
        <v>496654.56</v>
      </c>
      <c r="X6" s="20">
        <v>334951.65000000002</v>
      </c>
      <c r="Y6" s="20">
        <v>861002.16</v>
      </c>
      <c r="Z6" s="20">
        <v>564823.42000000004</v>
      </c>
      <c r="AA6" s="20">
        <v>813079.8</v>
      </c>
      <c r="AB6" s="20">
        <v>624062.36</v>
      </c>
      <c r="AC6" s="20">
        <v>746188.66</v>
      </c>
      <c r="AD6" s="20">
        <v>1172360.82</v>
      </c>
      <c r="AE6" s="20">
        <v>1674807.54</v>
      </c>
      <c r="AF6" s="20">
        <v>1108582.82</v>
      </c>
      <c r="AG6" s="20">
        <v>1004885.5</v>
      </c>
      <c r="AH6" s="20">
        <v>863957.44</v>
      </c>
      <c r="AI6" s="20">
        <v>1441732.61</v>
      </c>
      <c r="AJ6" s="20">
        <v>1168600.42</v>
      </c>
      <c r="AK6" s="20">
        <v>692945.69</v>
      </c>
      <c r="AL6" s="20">
        <v>1503965.69</v>
      </c>
      <c r="AM6" s="20">
        <v>1440253.82</v>
      </c>
      <c r="AN6" s="20">
        <v>1350915.38</v>
      </c>
      <c r="AO6" s="20">
        <v>1795474.19</v>
      </c>
    </row>
    <row r="7" spans="1:43" ht="14.25" x14ac:dyDescent="0.2">
      <c r="A7" s="17">
        <v>110102</v>
      </c>
      <c r="B7" s="3" t="s">
        <v>6</v>
      </c>
      <c r="C7" s="20">
        <f>SUM(C8:C11)</f>
        <v>15982.5</v>
      </c>
      <c r="D7" s="20">
        <f t="shared" ref="D7:AO7" si="4">SUM(D8:D11)</f>
        <v>22310</v>
      </c>
      <c r="E7" s="20">
        <f t="shared" si="4"/>
        <v>7878</v>
      </c>
      <c r="F7" s="20">
        <f t="shared" si="4"/>
        <v>11261</v>
      </c>
      <c r="G7" s="20">
        <f t="shared" si="4"/>
        <v>13096</v>
      </c>
      <c r="H7" s="20">
        <f t="shared" si="4"/>
        <v>16099</v>
      </c>
      <c r="I7" s="20">
        <f t="shared" si="4"/>
        <v>8900</v>
      </c>
      <c r="J7" s="20">
        <f t="shared" si="4"/>
        <v>13271.3</v>
      </c>
      <c r="K7" s="20">
        <f t="shared" si="4"/>
        <v>14457.5</v>
      </c>
      <c r="L7" s="20">
        <f t="shared" si="4"/>
        <v>30232.5</v>
      </c>
      <c r="M7" s="20">
        <f t="shared" si="4"/>
        <v>14547</v>
      </c>
      <c r="N7" s="20">
        <f t="shared" si="4"/>
        <v>17446</v>
      </c>
      <c r="O7" s="20">
        <f t="shared" si="4"/>
        <v>40871.5</v>
      </c>
      <c r="P7" s="20">
        <f t="shared" si="4"/>
        <v>81615</v>
      </c>
      <c r="Q7" s="20">
        <f t="shared" si="4"/>
        <v>88888.5</v>
      </c>
      <c r="R7" s="20">
        <f t="shared" si="4"/>
        <v>116767.63</v>
      </c>
      <c r="S7" s="20">
        <f t="shared" si="4"/>
        <v>153336.34000000003</v>
      </c>
      <c r="T7" s="20">
        <f t="shared" si="4"/>
        <v>1902</v>
      </c>
      <c r="U7" s="20">
        <f t="shared" si="4"/>
        <v>4603.72</v>
      </c>
      <c r="V7" s="20">
        <f t="shared" si="4"/>
        <v>15011.36</v>
      </c>
      <c r="W7" s="20">
        <f t="shared" si="4"/>
        <v>11249.9</v>
      </c>
      <c r="X7" s="20">
        <f t="shared" si="4"/>
        <v>6477.98</v>
      </c>
      <c r="Y7" s="20">
        <f t="shared" si="4"/>
        <v>6026.52</v>
      </c>
      <c r="Z7" s="20">
        <f t="shared" si="4"/>
        <v>5393</v>
      </c>
      <c r="AA7" s="20">
        <f t="shared" si="4"/>
        <v>19311.95</v>
      </c>
      <c r="AB7" s="20">
        <f t="shared" si="4"/>
        <v>32971.96</v>
      </c>
      <c r="AC7" s="20">
        <f t="shared" si="4"/>
        <v>10177.5</v>
      </c>
      <c r="AD7" s="20">
        <f t="shared" si="4"/>
        <v>8978.0400000000009</v>
      </c>
      <c r="AE7" s="20">
        <f t="shared" si="4"/>
        <v>10756.199999999999</v>
      </c>
      <c r="AF7" s="20">
        <f t="shared" si="4"/>
        <v>10200.91</v>
      </c>
      <c r="AG7" s="20">
        <f t="shared" si="4"/>
        <v>6978.0599999999995</v>
      </c>
      <c r="AH7" s="20">
        <f t="shared" si="4"/>
        <v>15383.649999999998</v>
      </c>
      <c r="AI7" s="20">
        <f t="shared" si="4"/>
        <v>12509.48</v>
      </c>
      <c r="AJ7" s="20">
        <f t="shared" si="4"/>
        <v>8997.39</v>
      </c>
      <c r="AK7" s="20">
        <f t="shared" si="4"/>
        <v>13392.630000000001</v>
      </c>
      <c r="AL7" s="20">
        <f t="shared" si="4"/>
        <v>16912.04</v>
      </c>
      <c r="AM7" s="20">
        <f t="shared" si="4"/>
        <v>29509.43</v>
      </c>
      <c r="AN7" s="20">
        <f t="shared" si="4"/>
        <v>34188.68</v>
      </c>
      <c r="AO7" s="20">
        <f t="shared" si="4"/>
        <v>36083.969999999994</v>
      </c>
    </row>
    <row r="8" spans="1:43" s="15" customFormat="1" ht="14.25" x14ac:dyDescent="0.2">
      <c r="A8" s="18" t="s">
        <v>1196</v>
      </c>
      <c r="B8" s="3" t="s">
        <v>1197</v>
      </c>
      <c r="C8" s="20">
        <v>3540</v>
      </c>
      <c r="D8" s="20">
        <v>6275</v>
      </c>
      <c r="E8" s="20">
        <v>7778</v>
      </c>
      <c r="F8" s="20">
        <v>9146</v>
      </c>
      <c r="G8" s="20">
        <v>2316.5</v>
      </c>
      <c r="H8" s="20">
        <v>5945</v>
      </c>
      <c r="I8" s="20">
        <v>5451.5</v>
      </c>
      <c r="J8" s="20">
        <v>2261</v>
      </c>
      <c r="K8" s="20">
        <v>4896</v>
      </c>
      <c r="L8" s="20">
        <v>6983</v>
      </c>
      <c r="M8" s="20">
        <v>2071</v>
      </c>
      <c r="N8" s="20">
        <v>3795</v>
      </c>
      <c r="O8" s="20">
        <v>2526</v>
      </c>
      <c r="P8" s="20">
        <v>6933</v>
      </c>
      <c r="Q8" s="20">
        <v>8528</v>
      </c>
      <c r="R8" s="20">
        <v>11825.83</v>
      </c>
      <c r="S8" s="20">
        <v>19183.830000000002</v>
      </c>
      <c r="T8" s="20">
        <v>3294</v>
      </c>
      <c r="U8" s="20">
        <v>2240.2800000000002</v>
      </c>
      <c r="V8" s="20">
        <v>8911.2800000000007</v>
      </c>
      <c r="W8" s="20">
        <v>2808</v>
      </c>
      <c r="X8" s="20">
        <v>4344</v>
      </c>
      <c r="Y8" s="20">
        <v>564.04999999999995</v>
      </c>
      <c r="Z8" s="20">
        <v>3801</v>
      </c>
      <c r="AA8" s="20">
        <v>8892</v>
      </c>
      <c r="AB8" s="20">
        <v>9756.49</v>
      </c>
      <c r="AC8" s="20">
        <v>3272</v>
      </c>
      <c r="AD8" s="20">
        <v>1992.54</v>
      </c>
      <c r="AE8" s="20">
        <v>151.16999999999999</v>
      </c>
      <c r="AF8" s="20">
        <v>3722.83</v>
      </c>
      <c r="AG8" s="20">
        <v>2095.1</v>
      </c>
      <c r="AH8" s="20">
        <v>9714.39</v>
      </c>
      <c r="AI8" s="20">
        <v>4554.47</v>
      </c>
      <c r="AJ8" s="20">
        <v>5895.91</v>
      </c>
      <c r="AK8" s="20">
        <v>6503.8</v>
      </c>
      <c r="AL8" s="20">
        <v>5265.42</v>
      </c>
      <c r="AM8" s="20">
        <v>5876.15</v>
      </c>
      <c r="AN8" s="20">
        <v>3830.3</v>
      </c>
      <c r="AO8" s="20">
        <v>7170.76</v>
      </c>
    </row>
    <row r="9" spans="1:43" s="15" customFormat="1" ht="14.25" x14ac:dyDescent="0.2">
      <c r="A9" s="18" t="s">
        <v>1198</v>
      </c>
      <c r="B9" s="3" t="s">
        <v>1199</v>
      </c>
      <c r="C9" s="20">
        <v>11804.5</v>
      </c>
      <c r="D9" s="20">
        <v>16027</v>
      </c>
      <c r="E9" s="20">
        <v>0</v>
      </c>
      <c r="F9" s="20">
        <v>0</v>
      </c>
      <c r="G9" s="20">
        <v>10000</v>
      </c>
      <c r="H9" s="20">
        <v>10000</v>
      </c>
      <c r="I9" s="20">
        <v>3448.5</v>
      </c>
      <c r="J9" s="20">
        <v>11010.3</v>
      </c>
      <c r="K9" s="20">
        <v>9108.5</v>
      </c>
      <c r="L9" s="20">
        <v>23249.5</v>
      </c>
      <c r="M9" s="20">
        <v>12325</v>
      </c>
      <c r="N9" s="20">
        <v>13155</v>
      </c>
      <c r="O9" s="20">
        <v>38254.5</v>
      </c>
      <c r="P9" s="20">
        <v>70152</v>
      </c>
      <c r="Q9" s="20">
        <v>75657.5</v>
      </c>
      <c r="R9" s="20">
        <v>89911.5</v>
      </c>
      <c r="S9" s="20">
        <v>110383.5</v>
      </c>
      <c r="T9" s="20">
        <v>-1540</v>
      </c>
      <c r="U9" s="20">
        <v>-625.79999999999995</v>
      </c>
      <c r="V9" s="20">
        <v>3675.64</v>
      </c>
      <c r="W9" s="20">
        <v>5490</v>
      </c>
      <c r="X9" s="20">
        <v>-1222.1099999999999</v>
      </c>
      <c r="Y9" s="20">
        <v>332.2</v>
      </c>
      <c r="Z9" s="20">
        <v>858</v>
      </c>
      <c r="AA9" s="20">
        <v>7692.76</v>
      </c>
      <c r="AB9" s="20">
        <v>17083.41</v>
      </c>
      <c r="AC9" s="20">
        <v>2006.5</v>
      </c>
      <c r="AD9" s="20">
        <v>2104.41</v>
      </c>
      <c r="AE9" s="20">
        <v>8094.28</v>
      </c>
      <c r="AF9" s="20">
        <v>727.84</v>
      </c>
      <c r="AG9" s="20">
        <v>692.66</v>
      </c>
      <c r="AH9" s="20">
        <v>2661.33</v>
      </c>
      <c r="AI9" s="20">
        <v>4903.8900000000003</v>
      </c>
      <c r="AJ9" s="20">
        <v>464.69</v>
      </c>
      <c r="AK9" s="20">
        <v>3134.82</v>
      </c>
      <c r="AL9" s="20">
        <v>6335.58</v>
      </c>
      <c r="AM9" s="20">
        <v>15996.49</v>
      </c>
      <c r="AN9" s="20">
        <v>20398.310000000001</v>
      </c>
      <c r="AO9" s="20">
        <v>17144.439999999999</v>
      </c>
    </row>
    <row r="10" spans="1:43" s="15" customFormat="1" ht="14.25" x14ac:dyDescent="0.2">
      <c r="A10" s="18" t="s">
        <v>1200</v>
      </c>
      <c r="B10" s="3" t="s">
        <v>1201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>
        <v>630</v>
      </c>
      <c r="R10" s="20">
        <v>3824</v>
      </c>
      <c r="S10" s="20">
        <v>6039</v>
      </c>
      <c r="T10" s="20">
        <v>148</v>
      </c>
      <c r="U10" s="20">
        <v>2467.65</v>
      </c>
      <c r="V10" s="20">
        <v>-1931.15</v>
      </c>
      <c r="W10" s="20">
        <v>2951.9</v>
      </c>
      <c r="X10" s="20">
        <v>3002.11</v>
      </c>
      <c r="Y10" s="20">
        <v>4082.11</v>
      </c>
      <c r="Z10" s="20">
        <v>84</v>
      </c>
      <c r="AA10" s="20">
        <v>2458.5300000000002</v>
      </c>
      <c r="AB10" s="20">
        <v>3662.53</v>
      </c>
      <c r="AC10" s="20">
        <v>4899</v>
      </c>
      <c r="AD10" s="20">
        <v>4747.93</v>
      </c>
      <c r="AE10" s="20">
        <v>2063.5300000000002</v>
      </c>
      <c r="AF10" s="20">
        <v>5393.56</v>
      </c>
      <c r="AG10" s="20">
        <v>1326.97</v>
      </c>
      <c r="AH10" s="20">
        <v>416.97</v>
      </c>
      <c r="AI10" s="20">
        <v>2814.97</v>
      </c>
      <c r="AJ10" s="20">
        <v>2051.9899999999998</v>
      </c>
      <c r="AK10" s="20">
        <v>1859.45</v>
      </c>
      <c r="AL10" s="20">
        <v>2901.75</v>
      </c>
      <c r="AM10" s="20">
        <v>2706.08</v>
      </c>
      <c r="AN10" s="20">
        <v>2425.08</v>
      </c>
      <c r="AO10" s="20">
        <v>2722.19</v>
      </c>
    </row>
    <row r="11" spans="1:43" s="15" customFormat="1" ht="14.25" x14ac:dyDescent="0.2">
      <c r="A11" s="18" t="s">
        <v>1202</v>
      </c>
      <c r="B11" s="3" t="s">
        <v>1203</v>
      </c>
      <c r="C11" s="20">
        <v>638</v>
      </c>
      <c r="D11" s="20">
        <v>8</v>
      </c>
      <c r="E11" s="20">
        <v>100</v>
      </c>
      <c r="F11" s="20">
        <v>2115</v>
      </c>
      <c r="G11" s="20">
        <v>779.5</v>
      </c>
      <c r="H11" s="20">
        <v>154</v>
      </c>
      <c r="I11" s="20">
        <v>0</v>
      </c>
      <c r="J11" s="20">
        <v>0</v>
      </c>
      <c r="K11" s="20">
        <v>453</v>
      </c>
      <c r="L11" s="20">
        <v>0</v>
      </c>
      <c r="M11" s="20">
        <v>151</v>
      </c>
      <c r="N11" s="20">
        <v>496</v>
      </c>
      <c r="O11" s="20">
        <v>91</v>
      </c>
      <c r="P11" s="20">
        <v>4530</v>
      </c>
      <c r="Q11" s="20">
        <v>4073</v>
      </c>
      <c r="R11" s="20">
        <v>11206.3</v>
      </c>
      <c r="S11" s="20">
        <v>17730.009999999998</v>
      </c>
      <c r="T11" s="20">
        <v>0</v>
      </c>
      <c r="U11" s="20">
        <v>521.59</v>
      </c>
      <c r="V11" s="20">
        <v>4355.59</v>
      </c>
      <c r="W11" s="20">
        <v>0</v>
      </c>
      <c r="X11" s="20">
        <v>353.98</v>
      </c>
      <c r="Y11" s="20">
        <v>1048.1600000000001</v>
      </c>
      <c r="Z11" s="20">
        <v>650</v>
      </c>
      <c r="AA11" s="20">
        <v>268.66000000000003</v>
      </c>
      <c r="AB11" s="20">
        <v>2469.5300000000002</v>
      </c>
      <c r="AC11" s="20">
        <v>0</v>
      </c>
      <c r="AD11" s="20">
        <v>133.16</v>
      </c>
      <c r="AE11" s="20">
        <v>447.22</v>
      </c>
      <c r="AF11" s="20">
        <v>356.68</v>
      </c>
      <c r="AG11" s="20">
        <v>2863.33</v>
      </c>
      <c r="AH11" s="20">
        <v>2590.96</v>
      </c>
      <c r="AI11" s="20">
        <v>236.15</v>
      </c>
      <c r="AJ11" s="20">
        <v>584.79999999999995</v>
      </c>
      <c r="AK11" s="20">
        <v>1894.56</v>
      </c>
      <c r="AL11" s="20">
        <v>2409.29</v>
      </c>
      <c r="AM11" s="20">
        <v>4930.71</v>
      </c>
      <c r="AN11" s="20">
        <v>7534.99</v>
      </c>
      <c r="AO11" s="20">
        <v>9046.58</v>
      </c>
    </row>
    <row r="12" spans="1:43" ht="14.25" x14ac:dyDescent="0.2">
      <c r="A12" s="2">
        <v>110103</v>
      </c>
      <c r="B12" s="3" t="s">
        <v>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3" ht="14.25" x14ac:dyDescent="0.2">
      <c r="A13" s="2">
        <v>110109</v>
      </c>
      <c r="B13" s="3" t="s">
        <v>8</v>
      </c>
      <c r="C13" s="20">
        <f>+C14</f>
        <v>0</v>
      </c>
      <c r="D13" s="20">
        <f t="shared" ref="D13:AO13" si="5">+D14</f>
        <v>0</v>
      </c>
      <c r="E13" s="20">
        <f t="shared" si="5"/>
        <v>0</v>
      </c>
      <c r="F13" s="20">
        <f t="shared" si="5"/>
        <v>0</v>
      </c>
      <c r="G13" s="20">
        <f t="shared" si="5"/>
        <v>801000</v>
      </c>
      <c r="H13" s="20">
        <f t="shared" si="5"/>
        <v>520000</v>
      </c>
      <c r="I13" s="20">
        <f t="shared" si="5"/>
        <v>861200</v>
      </c>
      <c r="J13" s="20">
        <f t="shared" si="5"/>
        <v>0</v>
      </c>
      <c r="K13" s="20">
        <f t="shared" si="5"/>
        <v>0</v>
      </c>
      <c r="L13" s="20">
        <f t="shared" si="5"/>
        <v>0</v>
      </c>
      <c r="M13" s="20">
        <f t="shared" si="5"/>
        <v>0</v>
      </c>
      <c r="N13" s="20">
        <f t="shared" si="5"/>
        <v>0</v>
      </c>
      <c r="O13" s="20">
        <f t="shared" si="5"/>
        <v>0</v>
      </c>
      <c r="P13" s="20">
        <f t="shared" si="5"/>
        <v>0</v>
      </c>
      <c r="Q13" s="20">
        <f t="shared" si="5"/>
        <v>0</v>
      </c>
      <c r="R13" s="20">
        <f t="shared" si="5"/>
        <v>0</v>
      </c>
      <c r="S13" s="20">
        <f t="shared" si="5"/>
        <v>0</v>
      </c>
      <c r="T13" s="20">
        <f t="shared" si="5"/>
        <v>0</v>
      </c>
      <c r="U13" s="20">
        <f t="shared" si="5"/>
        <v>0</v>
      </c>
      <c r="V13" s="20">
        <f t="shared" si="5"/>
        <v>0</v>
      </c>
      <c r="W13" s="20">
        <f t="shared" si="5"/>
        <v>0</v>
      </c>
      <c r="X13" s="20">
        <f t="shared" si="5"/>
        <v>0</v>
      </c>
      <c r="Y13" s="20">
        <f t="shared" si="5"/>
        <v>0</v>
      </c>
      <c r="Z13" s="20">
        <f t="shared" si="5"/>
        <v>0</v>
      </c>
      <c r="AA13" s="20">
        <f t="shared" si="5"/>
        <v>0</v>
      </c>
      <c r="AB13" s="20">
        <f t="shared" si="5"/>
        <v>0</v>
      </c>
      <c r="AC13" s="20">
        <f t="shared" si="5"/>
        <v>0</v>
      </c>
      <c r="AD13" s="20">
        <f t="shared" si="5"/>
        <v>0</v>
      </c>
      <c r="AE13" s="20">
        <f t="shared" si="5"/>
        <v>0</v>
      </c>
      <c r="AF13" s="20">
        <f t="shared" si="5"/>
        <v>0</v>
      </c>
      <c r="AG13" s="20">
        <f t="shared" si="5"/>
        <v>0</v>
      </c>
      <c r="AH13" s="20">
        <f t="shared" si="5"/>
        <v>0</v>
      </c>
      <c r="AI13" s="20">
        <f t="shared" si="5"/>
        <v>0</v>
      </c>
      <c r="AJ13" s="20">
        <f t="shared" si="5"/>
        <v>0</v>
      </c>
      <c r="AK13" s="20">
        <f t="shared" si="5"/>
        <v>0</v>
      </c>
      <c r="AL13" s="20">
        <f t="shared" si="5"/>
        <v>0</v>
      </c>
      <c r="AM13" s="20">
        <f t="shared" si="5"/>
        <v>0</v>
      </c>
      <c r="AN13" s="20">
        <f t="shared" si="5"/>
        <v>0</v>
      </c>
      <c r="AO13" s="20">
        <f t="shared" si="5"/>
        <v>0</v>
      </c>
    </row>
    <row r="14" spans="1:43" s="15" customFormat="1" ht="14.25" x14ac:dyDescent="0.2">
      <c r="A14" s="18" t="s">
        <v>1204</v>
      </c>
      <c r="B14" s="3" t="s">
        <v>1205</v>
      </c>
      <c r="C14" s="20">
        <v>0</v>
      </c>
      <c r="D14" s="20">
        <v>0</v>
      </c>
      <c r="E14" s="20">
        <v>0</v>
      </c>
      <c r="F14" s="20">
        <v>0</v>
      </c>
      <c r="G14" s="20">
        <v>801000</v>
      </c>
      <c r="H14" s="20">
        <v>520000</v>
      </c>
      <c r="I14" s="20">
        <v>861200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</row>
    <row r="15" spans="1:43" ht="28.5" x14ac:dyDescent="0.2">
      <c r="A15" s="2">
        <v>1103</v>
      </c>
      <c r="B15" s="7" t="s">
        <v>1192</v>
      </c>
      <c r="C15" s="20">
        <f>+C16+C30</f>
        <v>11261249.949999999</v>
      </c>
      <c r="D15" s="20">
        <f t="shared" ref="D15:AO15" si="6">+D16+D30</f>
        <v>16142385.900000002</v>
      </c>
      <c r="E15" s="20">
        <f t="shared" si="6"/>
        <v>14139044.890000001</v>
      </c>
      <c r="F15" s="20">
        <f t="shared" si="6"/>
        <v>10880387.42</v>
      </c>
      <c r="G15" s="20">
        <f t="shared" si="6"/>
        <v>7796411.3700000001</v>
      </c>
      <c r="H15" s="20">
        <f t="shared" si="6"/>
        <v>7537771.9299999997</v>
      </c>
      <c r="I15" s="20">
        <f t="shared" si="6"/>
        <v>6672025.9900000002</v>
      </c>
      <c r="J15" s="20">
        <f t="shared" si="6"/>
        <v>3386289.3600000003</v>
      </c>
      <c r="K15" s="20">
        <f t="shared" si="6"/>
        <v>3022573.29</v>
      </c>
      <c r="L15" s="20">
        <f t="shared" si="6"/>
        <v>3144969.8700000006</v>
      </c>
      <c r="M15" s="20">
        <f t="shared" si="6"/>
        <v>2114717.12</v>
      </c>
      <c r="N15" s="20">
        <f t="shared" si="6"/>
        <v>1950323.45</v>
      </c>
      <c r="O15" s="20">
        <f t="shared" si="6"/>
        <v>4577453.33</v>
      </c>
      <c r="P15" s="20">
        <f t="shared" si="6"/>
        <v>13800836.750000002</v>
      </c>
      <c r="Q15" s="20">
        <f t="shared" si="6"/>
        <v>16962774.629999999</v>
      </c>
      <c r="R15" s="20">
        <f t="shared" si="6"/>
        <v>18480666.259999998</v>
      </c>
      <c r="S15" s="20">
        <f t="shared" si="6"/>
        <v>20758720.219999999</v>
      </c>
      <c r="T15" s="20">
        <f t="shared" si="6"/>
        <v>18290330.369999997</v>
      </c>
      <c r="U15" s="20">
        <f t="shared" si="6"/>
        <v>18021189.169999998</v>
      </c>
      <c r="V15" s="20">
        <f t="shared" si="6"/>
        <v>17341680.5</v>
      </c>
      <c r="W15" s="20">
        <f t="shared" si="6"/>
        <v>17351445.59</v>
      </c>
      <c r="X15" s="20">
        <f t="shared" si="6"/>
        <v>15943312.99</v>
      </c>
      <c r="Y15" s="20">
        <f t="shared" si="6"/>
        <v>14019567.370000003</v>
      </c>
      <c r="Z15" s="20">
        <f t="shared" si="6"/>
        <v>10154035.960000001</v>
      </c>
      <c r="AA15" s="20">
        <f t="shared" si="6"/>
        <v>13550186.369999999</v>
      </c>
      <c r="AB15" s="20">
        <f t="shared" si="6"/>
        <v>17990000.670000002</v>
      </c>
      <c r="AC15" s="20">
        <f t="shared" si="6"/>
        <v>20177133.900000002</v>
      </c>
      <c r="AD15" s="20">
        <f t="shared" si="6"/>
        <v>22815213.730000004</v>
      </c>
      <c r="AE15" s="20">
        <f t="shared" si="6"/>
        <v>25935625.600000001</v>
      </c>
      <c r="AF15" s="20">
        <f t="shared" si="6"/>
        <v>25283766.550000001</v>
      </c>
      <c r="AG15" s="20">
        <f t="shared" si="6"/>
        <v>25950647.109999999</v>
      </c>
      <c r="AH15" s="20">
        <f t="shared" si="6"/>
        <v>26758433.260000002</v>
      </c>
      <c r="AI15" s="20">
        <f t="shared" si="6"/>
        <v>27043070.82</v>
      </c>
      <c r="AJ15" s="20">
        <f t="shared" si="6"/>
        <v>26668520.440000001</v>
      </c>
      <c r="AK15" s="20">
        <f t="shared" si="6"/>
        <v>25000350.329999998</v>
      </c>
      <c r="AL15" s="20">
        <f t="shared" si="6"/>
        <v>18849714.779999997</v>
      </c>
      <c r="AM15" s="20">
        <f t="shared" si="6"/>
        <v>21783584.580000002</v>
      </c>
      <c r="AN15" s="20">
        <f t="shared" si="6"/>
        <v>24587569.27</v>
      </c>
      <c r="AO15" s="20">
        <f t="shared" si="6"/>
        <v>29190145.469999999</v>
      </c>
    </row>
    <row r="16" spans="1:43" ht="14.25" x14ac:dyDescent="0.2">
      <c r="A16" s="2">
        <v>110301</v>
      </c>
      <c r="B16" s="3" t="s">
        <v>9</v>
      </c>
      <c r="C16" s="20">
        <f>SUM(C17:C26)</f>
        <v>11261249.949999999</v>
      </c>
      <c r="D16" s="20">
        <f t="shared" ref="D16:AO16" si="7">SUM(D17:D26)</f>
        <v>16142385.900000002</v>
      </c>
      <c r="E16" s="20">
        <f t="shared" si="7"/>
        <v>14139044.890000001</v>
      </c>
      <c r="F16" s="20">
        <f t="shared" si="7"/>
        <v>10880387.42</v>
      </c>
      <c r="G16" s="20">
        <f t="shared" si="7"/>
        <v>7796411.3700000001</v>
      </c>
      <c r="H16" s="20">
        <f t="shared" si="7"/>
        <v>7537771.9299999997</v>
      </c>
      <c r="I16" s="20">
        <f t="shared" si="7"/>
        <v>6472025.9900000002</v>
      </c>
      <c r="J16" s="20">
        <f t="shared" si="7"/>
        <v>3306289.3600000003</v>
      </c>
      <c r="K16" s="20">
        <f t="shared" si="7"/>
        <v>3022573.29</v>
      </c>
      <c r="L16" s="20">
        <f t="shared" si="7"/>
        <v>3144969.8700000006</v>
      </c>
      <c r="M16" s="20">
        <f t="shared" si="7"/>
        <v>2114717.12</v>
      </c>
      <c r="N16" s="20">
        <f t="shared" si="7"/>
        <v>1950323.45</v>
      </c>
      <c r="O16" s="20">
        <f t="shared" si="7"/>
        <v>4577453.33</v>
      </c>
      <c r="P16" s="20">
        <f t="shared" si="7"/>
        <v>13800836.750000002</v>
      </c>
      <c r="Q16" s="20">
        <f t="shared" si="7"/>
        <v>16962774.629999999</v>
      </c>
      <c r="R16" s="20">
        <f t="shared" si="7"/>
        <v>18480666.259999998</v>
      </c>
      <c r="S16" s="20">
        <f t="shared" si="7"/>
        <v>20758720.219999999</v>
      </c>
      <c r="T16" s="20">
        <f t="shared" si="7"/>
        <v>18290330.369999997</v>
      </c>
      <c r="U16" s="20">
        <f t="shared" si="7"/>
        <v>18021189.169999998</v>
      </c>
      <c r="V16" s="20">
        <f t="shared" si="7"/>
        <v>17341680.5</v>
      </c>
      <c r="W16" s="20">
        <f t="shared" si="7"/>
        <v>17351445.59</v>
      </c>
      <c r="X16" s="20">
        <f t="shared" si="7"/>
        <v>15943312.99</v>
      </c>
      <c r="Y16" s="20">
        <f t="shared" si="7"/>
        <v>14019567.370000003</v>
      </c>
      <c r="Z16" s="20">
        <f t="shared" si="7"/>
        <v>10154035.960000001</v>
      </c>
      <c r="AA16" s="20">
        <f t="shared" si="7"/>
        <v>13550186.369999999</v>
      </c>
      <c r="AB16" s="20">
        <f t="shared" si="7"/>
        <v>17990000.670000002</v>
      </c>
      <c r="AC16" s="20">
        <f t="shared" si="7"/>
        <v>20177133.900000002</v>
      </c>
      <c r="AD16" s="20">
        <f t="shared" si="7"/>
        <v>22815213.730000004</v>
      </c>
      <c r="AE16" s="20">
        <f t="shared" si="7"/>
        <v>25935625.600000001</v>
      </c>
      <c r="AF16" s="20">
        <f t="shared" si="7"/>
        <v>25283766.550000001</v>
      </c>
      <c r="AG16" s="20">
        <f t="shared" si="7"/>
        <v>25950647.109999999</v>
      </c>
      <c r="AH16" s="20">
        <f t="shared" si="7"/>
        <v>26758433.260000002</v>
      </c>
      <c r="AI16" s="20">
        <f t="shared" si="7"/>
        <v>27043070.82</v>
      </c>
      <c r="AJ16" s="20">
        <f t="shared" si="7"/>
        <v>26668520.440000001</v>
      </c>
      <c r="AK16" s="20">
        <f t="shared" si="7"/>
        <v>25000350.329999998</v>
      </c>
      <c r="AL16" s="20">
        <f t="shared" si="7"/>
        <v>18849714.779999997</v>
      </c>
      <c r="AM16" s="20">
        <f t="shared" si="7"/>
        <v>21783584.580000002</v>
      </c>
      <c r="AN16" s="20">
        <f t="shared" si="7"/>
        <v>24587569.27</v>
      </c>
      <c r="AO16" s="20">
        <f t="shared" si="7"/>
        <v>29190145.469999999</v>
      </c>
    </row>
    <row r="17" spans="1:41" s="15" customFormat="1" ht="14.25" x14ac:dyDescent="0.2">
      <c r="A17" s="18">
        <v>1103010101</v>
      </c>
      <c r="B17" s="19" t="s">
        <v>1206</v>
      </c>
      <c r="C17" s="20">
        <v>1758289.51</v>
      </c>
      <c r="D17" s="20">
        <v>2914770.72</v>
      </c>
      <c r="E17" s="20">
        <v>3647424.94</v>
      </c>
      <c r="F17" s="20">
        <v>3762646.46</v>
      </c>
      <c r="G17" s="20">
        <v>1410154.27</v>
      </c>
      <c r="H17" s="20">
        <v>1025626.7</v>
      </c>
      <c r="I17" s="20">
        <v>584337.63</v>
      </c>
      <c r="J17" s="20">
        <v>414989.07</v>
      </c>
      <c r="K17" s="20">
        <v>563813.91</v>
      </c>
      <c r="L17" s="20">
        <v>222519.47</v>
      </c>
      <c r="M17" s="20">
        <v>483000.48</v>
      </c>
      <c r="N17" s="20">
        <v>568577.64</v>
      </c>
      <c r="O17" s="20">
        <v>1034250.26</v>
      </c>
      <c r="P17" s="20">
        <v>2211242.89</v>
      </c>
      <c r="Q17" s="20">
        <v>3186017.95</v>
      </c>
      <c r="R17" s="20">
        <v>4111593.84</v>
      </c>
      <c r="S17" s="20">
        <v>4566339.4800000004</v>
      </c>
      <c r="T17" s="20">
        <v>5169392.8</v>
      </c>
      <c r="U17" s="20">
        <v>5628105.1799999997</v>
      </c>
      <c r="V17" s="20">
        <v>6120684.1200000001</v>
      </c>
      <c r="W17" s="20">
        <v>6718641.75</v>
      </c>
      <c r="X17" s="20">
        <v>3202616.31</v>
      </c>
      <c r="Y17" s="20">
        <v>3300576.35</v>
      </c>
      <c r="Z17" s="20">
        <v>3470482.6</v>
      </c>
      <c r="AA17" s="20">
        <v>2863309.54</v>
      </c>
      <c r="AB17" s="20">
        <v>3981178.96</v>
      </c>
      <c r="AC17" s="20">
        <v>4004221.23</v>
      </c>
      <c r="AD17" s="20">
        <v>4730414.33</v>
      </c>
      <c r="AE17" s="20">
        <v>5323529.59</v>
      </c>
      <c r="AF17" s="20">
        <v>4984741.95</v>
      </c>
      <c r="AG17" s="20">
        <v>6251105.6699999999</v>
      </c>
      <c r="AH17" s="20">
        <v>819564.35</v>
      </c>
      <c r="AI17" s="20">
        <v>1526416.64</v>
      </c>
      <c r="AJ17" s="20">
        <v>2124811.08</v>
      </c>
      <c r="AK17" s="20">
        <v>2668020.5699999998</v>
      </c>
      <c r="AL17" s="20">
        <v>233794.52</v>
      </c>
      <c r="AM17" s="20">
        <v>1325734.56</v>
      </c>
      <c r="AN17" s="20">
        <v>2784583.27</v>
      </c>
      <c r="AO17" s="20">
        <v>2004416.64</v>
      </c>
    </row>
    <row r="18" spans="1:41" s="15" customFormat="1" ht="14.25" x14ac:dyDescent="0.2">
      <c r="A18" s="18" t="s">
        <v>1207</v>
      </c>
      <c r="B18" s="19" t="s">
        <v>1208</v>
      </c>
      <c r="C18" s="20">
        <v>2726</v>
      </c>
      <c r="D18" s="20">
        <v>2726</v>
      </c>
      <c r="E18" s="20">
        <v>2726</v>
      </c>
      <c r="F18" s="20">
        <v>2726</v>
      </c>
      <c r="G18" s="20">
        <v>2726</v>
      </c>
      <c r="H18" s="20">
        <v>2726</v>
      </c>
      <c r="I18" s="20">
        <v>2726</v>
      </c>
      <c r="J18" s="20">
        <v>2726</v>
      </c>
      <c r="K18" s="20">
        <v>2726</v>
      </c>
      <c r="L18" s="20">
        <v>2726</v>
      </c>
      <c r="M18" s="20">
        <v>2726</v>
      </c>
      <c r="N18" s="20">
        <v>2726</v>
      </c>
      <c r="O18" s="20">
        <v>2726</v>
      </c>
      <c r="P18" s="20">
        <v>2726</v>
      </c>
      <c r="Q18" s="20">
        <v>2726</v>
      </c>
      <c r="R18" s="20">
        <v>2726</v>
      </c>
      <c r="S18" s="20">
        <v>2726</v>
      </c>
      <c r="T18" s="20">
        <v>2726</v>
      </c>
      <c r="U18" s="20">
        <v>2726</v>
      </c>
      <c r="V18" s="20">
        <v>2726</v>
      </c>
      <c r="W18" s="20">
        <v>2726</v>
      </c>
      <c r="X18" s="20">
        <v>3206</v>
      </c>
      <c r="Y18" s="20">
        <v>4046</v>
      </c>
      <c r="Z18" s="20">
        <v>4646</v>
      </c>
      <c r="AA18" s="20">
        <v>4646</v>
      </c>
      <c r="AB18" s="20">
        <v>4646</v>
      </c>
      <c r="AC18" s="20">
        <v>4646</v>
      </c>
      <c r="AD18" s="20">
        <v>13446</v>
      </c>
      <c r="AE18" s="20">
        <v>13446</v>
      </c>
      <c r="AF18" s="20">
        <v>16046</v>
      </c>
      <c r="AG18" s="20">
        <v>17646</v>
      </c>
      <c r="AH18" s="20">
        <v>18446</v>
      </c>
      <c r="AI18" s="20">
        <v>19646</v>
      </c>
      <c r="AJ18" s="20">
        <v>21846</v>
      </c>
      <c r="AK18" s="20">
        <v>23646</v>
      </c>
      <c r="AL18" s="20">
        <v>18879</v>
      </c>
      <c r="AM18" s="20">
        <v>20479</v>
      </c>
      <c r="AN18" s="20">
        <v>22079</v>
      </c>
      <c r="AO18" s="20">
        <v>22886</v>
      </c>
    </row>
    <row r="19" spans="1:41" s="15" customFormat="1" ht="14.25" x14ac:dyDescent="0.2">
      <c r="A19" s="18" t="s">
        <v>1209</v>
      </c>
      <c r="B19" s="19" t="s">
        <v>1210</v>
      </c>
      <c r="C19" s="20">
        <v>891311.45</v>
      </c>
      <c r="D19" s="20">
        <v>1765236.82</v>
      </c>
      <c r="E19" s="20">
        <v>1095367.82</v>
      </c>
      <c r="F19" s="20">
        <v>895354.67</v>
      </c>
      <c r="G19" s="20">
        <v>440944.84</v>
      </c>
      <c r="H19" s="20">
        <v>311710.62</v>
      </c>
      <c r="I19" s="20">
        <v>121589.56</v>
      </c>
      <c r="J19" s="20">
        <v>175939.24</v>
      </c>
      <c r="K19" s="20">
        <v>246743.42</v>
      </c>
      <c r="L19" s="20">
        <v>163108.96</v>
      </c>
      <c r="M19" s="20">
        <v>34875.379999999997</v>
      </c>
      <c r="N19" s="20">
        <v>141978.42000000001</v>
      </c>
      <c r="O19" s="20">
        <v>597113.96</v>
      </c>
      <c r="P19" s="20">
        <v>686858.03</v>
      </c>
      <c r="Q19" s="20">
        <v>617712.54</v>
      </c>
      <c r="R19" s="20">
        <v>721536.81</v>
      </c>
      <c r="S19" s="20">
        <v>714693.55</v>
      </c>
      <c r="T19" s="20">
        <v>856138.68</v>
      </c>
      <c r="U19" s="20">
        <v>624552.89</v>
      </c>
      <c r="V19" s="20">
        <v>566981.09</v>
      </c>
      <c r="W19" s="20">
        <v>1055868.05</v>
      </c>
      <c r="X19" s="20">
        <v>1333481.3500000001</v>
      </c>
      <c r="Y19" s="20">
        <v>1418374.39</v>
      </c>
      <c r="Z19" s="20">
        <v>1385612.68</v>
      </c>
      <c r="AA19" s="20">
        <v>1335617.2</v>
      </c>
      <c r="AB19" s="20">
        <v>1497470.54</v>
      </c>
      <c r="AC19" s="20">
        <v>1508782.9</v>
      </c>
      <c r="AD19" s="20">
        <v>1905052.47</v>
      </c>
      <c r="AE19" s="20">
        <v>1687718.02</v>
      </c>
      <c r="AF19" s="20">
        <v>726663.57</v>
      </c>
      <c r="AG19" s="20">
        <v>91585.51</v>
      </c>
      <c r="AH19" s="20">
        <v>1106520.8700000001</v>
      </c>
      <c r="AI19" s="20">
        <v>676522.37</v>
      </c>
      <c r="AJ19" s="20">
        <v>2152189.34</v>
      </c>
      <c r="AK19" s="20">
        <v>1140409.4099999999</v>
      </c>
      <c r="AL19" s="20">
        <v>1031906.8</v>
      </c>
      <c r="AM19" s="20">
        <v>685939.29</v>
      </c>
      <c r="AN19" s="20">
        <v>63521.83</v>
      </c>
      <c r="AO19" s="20">
        <v>627050.6</v>
      </c>
    </row>
    <row r="20" spans="1:41" s="15" customFormat="1" ht="14.25" x14ac:dyDescent="0.2">
      <c r="A20" s="18" t="s">
        <v>1211</v>
      </c>
      <c r="B20" s="19" t="s">
        <v>1212</v>
      </c>
      <c r="C20" s="20">
        <v>1810281.29</v>
      </c>
      <c r="D20" s="20">
        <v>1599720.45</v>
      </c>
      <c r="E20" s="20">
        <v>985833.34</v>
      </c>
      <c r="F20" s="20">
        <v>1501796.22</v>
      </c>
      <c r="G20" s="20">
        <v>1524574.36</v>
      </c>
      <c r="H20" s="20">
        <v>1545697.54</v>
      </c>
      <c r="I20" s="20">
        <v>1679293.92</v>
      </c>
      <c r="J20" s="20">
        <v>747237.67</v>
      </c>
      <c r="K20" s="20">
        <v>119808.66</v>
      </c>
      <c r="L20" s="20">
        <v>61076.86</v>
      </c>
      <c r="M20" s="20">
        <v>94809.93</v>
      </c>
      <c r="N20" s="20">
        <v>6266.49</v>
      </c>
      <c r="O20" s="20">
        <v>175473.35</v>
      </c>
      <c r="P20" s="20">
        <v>136073.91</v>
      </c>
      <c r="Q20" s="20">
        <v>126136.7</v>
      </c>
      <c r="R20" s="20">
        <v>174270.91</v>
      </c>
      <c r="S20" s="20">
        <v>32344.65</v>
      </c>
      <c r="T20" s="20">
        <v>80349.210000000006</v>
      </c>
      <c r="U20" s="20">
        <v>454962.18</v>
      </c>
      <c r="V20" s="20">
        <v>351932.31</v>
      </c>
      <c r="W20" s="20">
        <v>318980.86</v>
      </c>
      <c r="X20" s="20">
        <v>398309.33</v>
      </c>
      <c r="Y20" s="20">
        <v>518752.6</v>
      </c>
      <c r="Z20" s="20">
        <v>364096.35</v>
      </c>
      <c r="AA20" s="20">
        <v>1057538</v>
      </c>
      <c r="AB20" s="20">
        <v>1111239.49</v>
      </c>
      <c r="AC20" s="20">
        <v>1326799.67</v>
      </c>
      <c r="AD20" s="20">
        <v>1260264.55</v>
      </c>
      <c r="AE20" s="20">
        <v>1151317.95</v>
      </c>
      <c r="AF20" s="20">
        <v>1150395.77</v>
      </c>
      <c r="AG20" s="20">
        <v>1178238.6299999999</v>
      </c>
      <c r="AH20" s="20">
        <v>1724372.37</v>
      </c>
      <c r="AI20" s="20">
        <v>1753804.14</v>
      </c>
      <c r="AJ20" s="20">
        <v>2001224.81</v>
      </c>
      <c r="AK20" s="20">
        <v>2057885.34</v>
      </c>
      <c r="AL20" s="20">
        <v>2094435.34</v>
      </c>
      <c r="AM20" s="20">
        <v>2266211.38</v>
      </c>
      <c r="AN20" s="20">
        <v>2427795.2200000002</v>
      </c>
      <c r="AO20" s="20">
        <v>2951056.21</v>
      </c>
    </row>
    <row r="21" spans="1:41" s="15" customFormat="1" ht="14.25" x14ac:dyDescent="0.2">
      <c r="A21" s="18" t="s">
        <v>1213</v>
      </c>
      <c r="B21" s="19" t="s">
        <v>1214</v>
      </c>
      <c r="C21" s="20">
        <v>734694.67</v>
      </c>
      <c r="D21" s="20">
        <v>964965.06</v>
      </c>
      <c r="E21" s="20">
        <v>996299.37</v>
      </c>
      <c r="F21" s="20">
        <v>885519.07</v>
      </c>
      <c r="G21" s="20">
        <v>519235.54</v>
      </c>
      <c r="H21" s="20">
        <v>418250.34</v>
      </c>
      <c r="I21" s="20">
        <v>192346.41</v>
      </c>
      <c r="J21" s="20">
        <v>205120.87</v>
      </c>
      <c r="K21" s="20">
        <v>51729.120000000003</v>
      </c>
      <c r="L21" s="20">
        <v>185053.65</v>
      </c>
      <c r="M21" s="20">
        <v>1552.59</v>
      </c>
      <c r="N21" s="20">
        <v>45383.41</v>
      </c>
      <c r="O21" s="20">
        <v>129916.5</v>
      </c>
      <c r="P21" s="20">
        <v>116842.5</v>
      </c>
      <c r="Q21" s="20">
        <v>11364.31</v>
      </c>
      <c r="R21" s="20">
        <v>228280.35</v>
      </c>
      <c r="S21" s="20">
        <v>119857.35</v>
      </c>
      <c r="T21" s="20">
        <v>35134.92</v>
      </c>
      <c r="U21" s="20">
        <v>378735.86</v>
      </c>
      <c r="V21" s="20">
        <v>295745.09999999998</v>
      </c>
      <c r="W21" s="20">
        <v>441643.39</v>
      </c>
      <c r="X21" s="20">
        <v>417519.53</v>
      </c>
      <c r="Y21" s="20">
        <v>207636.48000000001</v>
      </c>
      <c r="Z21" s="20">
        <v>98471.87</v>
      </c>
      <c r="AA21" s="20">
        <v>1546659.71</v>
      </c>
      <c r="AB21" s="20">
        <v>765744.53</v>
      </c>
      <c r="AC21" s="20">
        <v>2548637.04</v>
      </c>
      <c r="AD21" s="20">
        <v>1460688.99</v>
      </c>
      <c r="AE21" s="20">
        <v>3757257.64</v>
      </c>
      <c r="AF21" s="20">
        <v>1998427.44</v>
      </c>
      <c r="AG21" s="20">
        <v>334416.07</v>
      </c>
      <c r="AH21" s="20">
        <v>2988911.85</v>
      </c>
      <c r="AI21" s="20">
        <v>1987861.51</v>
      </c>
      <c r="AJ21" s="20">
        <v>3848443.12</v>
      </c>
      <c r="AK21" s="20">
        <v>3010669.76</v>
      </c>
      <c r="AL21" s="20">
        <v>2222205.04</v>
      </c>
      <c r="AM21" s="20">
        <v>1117124.82</v>
      </c>
      <c r="AN21" s="20">
        <v>513921.54</v>
      </c>
      <c r="AO21" s="20">
        <v>543443.18000000005</v>
      </c>
    </row>
    <row r="22" spans="1:41" s="15" customFormat="1" ht="14.25" x14ac:dyDescent="0.2">
      <c r="A22" s="18" t="s">
        <v>1215</v>
      </c>
      <c r="B22" s="19" t="s">
        <v>1216</v>
      </c>
      <c r="C22" s="20">
        <v>338750.87</v>
      </c>
      <c r="D22" s="20">
        <v>459211.29</v>
      </c>
      <c r="E22" s="20">
        <v>478267.16</v>
      </c>
      <c r="F22" s="20">
        <v>476444.25</v>
      </c>
      <c r="G22" s="20">
        <v>522461.15</v>
      </c>
      <c r="H22" s="20">
        <v>540595.15</v>
      </c>
      <c r="I22" s="20">
        <v>481470.07</v>
      </c>
      <c r="J22" s="20">
        <v>318643.61</v>
      </c>
      <c r="K22" s="20">
        <v>804325.71</v>
      </c>
      <c r="L22" s="20">
        <v>619916.43999999994</v>
      </c>
      <c r="M22" s="20">
        <v>28526.04</v>
      </c>
      <c r="N22" s="20">
        <v>26888.62</v>
      </c>
      <c r="O22" s="20">
        <v>38536.080000000002</v>
      </c>
      <c r="P22" s="20">
        <v>32070.880000000001</v>
      </c>
      <c r="Q22" s="20">
        <v>25041.88</v>
      </c>
      <c r="R22" s="20">
        <v>12694.35</v>
      </c>
      <c r="S22" s="20">
        <v>9716.7800000000007</v>
      </c>
      <c r="T22" s="20">
        <v>14107.31</v>
      </c>
      <c r="U22" s="20">
        <v>166571.26</v>
      </c>
      <c r="V22" s="20">
        <v>469008.07</v>
      </c>
      <c r="W22" s="20">
        <v>451578.61</v>
      </c>
      <c r="X22" s="20">
        <v>458697.93</v>
      </c>
      <c r="Y22" s="20">
        <v>146240.65</v>
      </c>
      <c r="Z22" s="20">
        <v>135063.01</v>
      </c>
      <c r="AA22" s="20">
        <v>115180.08</v>
      </c>
      <c r="AB22" s="20">
        <v>130364.48</v>
      </c>
      <c r="AC22" s="20">
        <v>97363.14</v>
      </c>
      <c r="AD22" s="20">
        <v>65554.649999999994</v>
      </c>
      <c r="AE22" s="20">
        <v>74377.710000000006</v>
      </c>
      <c r="AF22" s="20">
        <v>98838.2</v>
      </c>
      <c r="AG22" s="20">
        <v>212825.78</v>
      </c>
      <c r="AH22" s="20">
        <v>242707.18</v>
      </c>
      <c r="AI22" s="20">
        <v>233129.45</v>
      </c>
      <c r="AJ22" s="20">
        <v>259237.9</v>
      </c>
      <c r="AK22" s="20">
        <v>161299.10999999999</v>
      </c>
      <c r="AL22" s="20">
        <v>121510.47</v>
      </c>
      <c r="AM22" s="20">
        <v>153905.67000000001</v>
      </c>
      <c r="AN22" s="20">
        <v>143499.42000000001</v>
      </c>
      <c r="AO22" s="20">
        <v>669356.59</v>
      </c>
    </row>
    <row r="23" spans="1:41" s="15" customFormat="1" ht="14.25" x14ac:dyDescent="0.2">
      <c r="A23" s="18" t="s">
        <v>1217</v>
      </c>
      <c r="B23" s="19" t="s">
        <v>1218</v>
      </c>
      <c r="C23" s="20">
        <v>65898.350000000006</v>
      </c>
      <c r="D23" s="20">
        <v>65898.350000000006</v>
      </c>
      <c r="E23" s="20">
        <v>65898.350000000006</v>
      </c>
      <c r="F23" s="20">
        <v>65898.350000000006</v>
      </c>
      <c r="G23" s="20">
        <v>65898.350000000006</v>
      </c>
      <c r="H23" s="20">
        <v>65898.350000000006</v>
      </c>
      <c r="I23" s="20">
        <v>65898.350000000006</v>
      </c>
      <c r="J23" s="20">
        <v>65898.350000000006</v>
      </c>
      <c r="K23" s="20">
        <v>65898.350000000006</v>
      </c>
      <c r="L23" s="20">
        <v>65898.350000000006</v>
      </c>
      <c r="M23" s="20">
        <v>65898.350000000006</v>
      </c>
      <c r="N23" s="20">
        <v>65898.350000000006</v>
      </c>
      <c r="O23" s="20">
        <v>65898.350000000006</v>
      </c>
      <c r="P23" s="20">
        <v>65898.350000000006</v>
      </c>
      <c r="Q23" s="20">
        <v>65898.350000000006</v>
      </c>
      <c r="R23" s="20">
        <v>65898.350000000006</v>
      </c>
      <c r="S23" s="20">
        <v>65898.350000000006</v>
      </c>
      <c r="T23" s="20">
        <v>65898.350000000006</v>
      </c>
      <c r="U23" s="20">
        <v>65898.350000000006</v>
      </c>
      <c r="V23" s="20">
        <v>65898.350000000006</v>
      </c>
      <c r="W23" s="20">
        <v>0</v>
      </c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s="15" customFormat="1" ht="14.25" x14ac:dyDescent="0.2">
      <c r="A24" s="18" t="s">
        <v>1219</v>
      </c>
      <c r="B24" s="19" t="s">
        <v>1220</v>
      </c>
      <c r="C24" s="20">
        <v>3696517.48</v>
      </c>
      <c r="D24" s="20">
        <v>6279233.2300000004</v>
      </c>
      <c r="E24" s="20">
        <v>4708009.87</v>
      </c>
      <c r="F24" s="20">
        <v>1092975.1100000001</v>
      </c>
      <c r="G24" s="20">
        <v>1036756.16</v>
      </c>
      <c r="H24" s="20">
        <v>1196930.5600000001</v>
      </c>
      <c r="I24" s="20">
        <v>1634133.05</v>
      </c>
      <c r="J24" s="20">
        <v>261557.87</v>
      </c>
      <c r="K24" s="20">
        <v>582069.32999999996</v>
      </c>
      <c r="L24" s="20">
        <v>1520062.59</v>
      </c>
      <c r="M24" s="20">
        <v>1141045.81</v>
      </c>
      <c r="N24" s="20">
        <v>664643.88</v>
      </c>
      <c r="O24" s="20">
        <v>2361218.0299999998</v>
      </c>
      <c r="P24" s="20">
        <v>10480732.48</v>
      </c>
      <c r="Q24" s="20">
        <v>12651822.02</v>
      </c>
      <c r="R24" s="20">
        <v>12966701.65</v>
      </c>
      <c r="S24" s="20">
        <v>14997146.810000001</v>
      </c>
      <c r="T24" s="20">
        <v>11849629.210000001</v>
      </c>
      <c r="U24" s="20">
        <v>10467461.4</v>
      </c>
      <c r="V24" s="20">
        <v>8860182.0700000003</v>
      </c>
      <c r="W24" s="20">
        <v>7808227</v>
      </c>
      <c r="X24" s="20">
        <v>9825945.5999999996</v>
      </c>
      <c r="Y24" s="20">
        <v>8267865.2199999997</v>
      </c>
      <c r="Z24" s="20">
        <v>4644614.8600000003</v>
      </c>
      <c r="AA24" s="20">
        <v>6591865.2199999997</v>
      </c>
      <c r="AB24" s="20">
        <v>10324248.59</v>
      </c>
      <c r="AC24" s="20">
        <v>9452509.1500000004</v>
      </c>
      <c r="AD24" s="20">
        <v>12020941.82</v>
      </c>
      <c r="AE24" s="20">
        <v>12182850.32</v>
      </c>
      <c r="AF24" s="20">
        <v>14669624.140000001</v>
      </c>
      <c r="AG24" s="20">
        <v>16325615.74</v>
      </c>
      <c r="AH24" s="20">
        <v>18106251.359999999</v>
      </c>
      <c r="AI24" s="20">
        <v>19067050.859999999</v>
      </c>
      <c r="AJ24" s="20">
        <v>14259838.460000001</v>
      </c>
      <c r="AK24" s="20">
        <v>13945098.970000001</v>
      </c>
      <c r="AL24" s="20">
        <v>11021243.68</v>
      </c>
      <c r="AM24" s="20">
        <v>14017250.369999999</v>
      </c>
      <c r="AN24" s="20">
        <v>16518923.23</v>
      </c>
      <c r="AO24" s="20">
        <v>20326568.23</v>
      </c>
    </row>
    <row r="25" spans="1:41" s="15" customFormat="1" ht="14.25" x14ac:dyDescent="0.2">
      <c r="A25" s="18" t="s">
        <v>1221</v>
      </c>
      <c r="B25" s="19" t="s">
        <v>1222</v>
      </c>
      <c r="C25" s="20">
        <v>1469732.48</v>
      </c>
      <c r="D25" s="20">
        <v>1528710.08</v>
      </c>
      <c r="E25" s="20">
        <v>1453167.64</v>
      </c>
      <c r="F25" s="20">
        <v>1350090.37</v>
      </c>
      <c r="G25" s="20">
        <v>1385455.96</v>
      </c>
      <c r="H25" s="20">
        <v>1533461.34</v>
      </c>
      <c r="I25" s="20">
        <v>1346157.86</v>
      </c>
      <c r="J25" s="20">
        <v>698639.92</v>
      </c>
      <c r="K25" s="20">
        <v>402855.14</v>
      </c>
      <c r="L25" s="20">
        <v>287013.34999999998</v>
      </c>
      <c r="M25" s="20">
        <v>259511.6</v>
      </c>
      <c r="N25" s="20">
        <v>179856.9</v>
      </c>
      <c r="O25" s="20">
        <v>141049.51</v>
      </c>
      <c r="P25" s="20">
        <v>7410.16</v>
      </c>
      <c r="Q25" s="20">
        <v>78812.479999999996</v>
      </c>
      <c r="R25" s="20">
        <v>15396.64</v>
      </c>
      <c r="S25" s="20">
        <v>31865.48</v>
      </c>
      <c r="T25" s="20">
        <v>52267.33</v>
      </c>
      <c r="U25" s="20">
        <v>116808.77</v>
      </c>
      <c r="V25" s="20">
        <v>509189.32</v>
      </c>
      <c r="W25" s="20">
        <v>386501.83</v>
      </c>
      <c r="X25" s="20">
        <v>139329.94</v>
      </c>
      <c r="Y25" s="20">
        <v>9572.2199999999993</v>
      </c>
      <c r="Z25" s="20">
        <v>6853.3</v>
      </c>
      <c r="AA25" s="20">
        <v>20778.03</v>
      </c>
      <c r="AB25" s="20">
        <v>145264.95999999999</v>
      </c>
      <c r="AC25" s="20">
        <v>122372.73</v>
      </c>
      <c r="AD25" s="20">
        <v>67129.17</v>
      </c>
      <c r="AE25" s="20">
        <v>404153.78</v>
      </c>
      <c r="AF25" s="20">
        <v>328738.05</v>
      </c>
      <c r="AG25" s="20">
        <v>317178.73</v>
      </c>
      <c r="AH25" s="20">
        <v>506087</v>
      </c>
      <c r="AI25" s="20">
        <v>432557.53</v>
      </c>
      <c r="AJ25" s="20">
        <v>599200.03</v>
      </c>
      <c r="AK25" s="20">
        <v>510107.55</v>
      </c>
      <c r="AL25" s="20">
        <v>511755.44</v>
      </c>
      <c r="AM25" s="20">
        <v>516145.91999999998</v>
      </c>
      <c r="AN25" s="20">
        <v>356971.83</v>
      </c>
      <c r="AO25" s="20">
        <v>211611.82</v>
      </c>
    </row>
    <row r="26" spans="1:41" s="15" customFormat="1" ht="14.25" x14ac:dyDescent="0.2">
      <c r="A26" s="18" t="s">
        <v>1223</v>
      </c>
      <c r="B26" s="19" t="s">
        <v>1224</v>
      </c>
      <c r="C26" s="20">
        <v>493047.85</v>
      </c>
      <c r="D26" s="20">
        <v>561913.9</v>
      </c>
      <c r="E26" s="20">
        <v>706050.4</v>
      </c>
      <c r="F26" s="20">
        <v>846936.92</v>
      </c>
      <c r="G26" s="20">
        <v>888204.74</v>
      </c>
      <c r="H26" s="20">
        <v>896875.33</v>
      </c>
      <c r="I26" s="20">
        <v>364073.14</v>
      </c>
      <c r="J26" s="20">
        <v>415536.76</v>
      </c>
      <c r="K26" s="20">
        <v>182603.65</v>
      </c>
      <c r="L26" s="20">
        <v>17594.2</v>
      </c>
      <c r="M26" s="20">
        <v>2770.94</v>
      </c>
      <c r="N26" s="20">
        <v>248103.74</v>
      </c>
      <c r="O26" s="20">
        <v>31271.29</v>
      </c>
      <c r="P26" s="20">
        <v>60981.55</v>
      </c>
      <c r="Q26" s="20">
        <v>197242.4</v>
      </c>
      <c r="R26" s="20">
        <v>181567.35999999999</v>
      </c>
      <c r="S26" s="20">
        <v>218131.77</v>
      </c>
      <c r="T26" s="20">
        <v>164686.56</v>
      </c>
      <c r="U26" s="20">
        <v>115367.28</v>
      </c>
      <c r="V26" s="20">
        <v>99334.07</v>
      </c>
      <c r="W26" s="20">
        <v>167278.1</v>
      </c>
      <c r="X26" s="20">
        <v>164207</v>
      </c>
      <c r="Y26" s="20">
        <v>146503.46</v>
      </c>
      <c r="Z26" s="20">
        <v>44195.29</v>
      </c>
      <c r="AA26" s="20">
        <v>14592.59</v>
      </c>
      <c r="AB26" s="20">
        <v>29843.119999999999</v>
      </c>
      <c r="AC26" s="20">
        <v>1111802.04</v>
      </c>
      <c r="AD26" s="20">
        <v>1291721.75</v>
      </c>
      <c r="AE26" s="20">
        <v>1340974.5900000001</v>
      </c>
      <c r="AF26" s="20">
        <v>1310291.43</v>
      </c>
      <c r="AG26" s="20">
        <v>1222034.98</v>
      </c>
      <c r="AH26" s="20">
        <v>1245572.28</v>
      </c>
      <c r="AI26" s="20">
        <v>1346082.32</v>
      </c>
      <c r="AJ26" s="20">
        <v>1401729.7</v>
      </c>
      <c r="AK26" s="20">
        <v>1483213.62</v>
      </c>
      <c r="AL26" s="20">
        <v>1593984.49</v>
      </c>
      <c r="AM26" s="20">
        <v>1680793.57</v>
      </c>
      <c r="AN26" s="20">
        <v>1756273.93</v>
      </c>
      <c r="AO26" s="20">
        <v>1833756.2</v>
      </c>
    </row>
    <row r="27" spans="1:41" ht="14.25" x14ac:dyDescent="0.2">
      <c r="A27" s="2">
        <v>110302</v>
      </c>
      <c r="B27" s="3" t="s">
        <v>10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ht="14.25" x14ac:dyDescent="0.2">
      <c r="A28" s="2">
        <v>110303</v>
      </c>
      <c r="B28" s="3" t="s">
        <v>11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 ht="14.25" x14ac:dyDescent="0.2">
      <c r="A29" s="2">
        <v>110304</v>
      </c>
      <c r="B29" s="3" t="s">
        <v>12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spans="1:41" ht="14.25" x14ac:dyDescent="0.2">
      <c r="A30" s="2">
        <v>110306</v>
      </c>
      <c r="B30" s="3" t="s">
        <v>13</v>
      </c>
      <c r="C30" s="9"/>
      <c r="D30" s="9"/>
      <c r="E30" s="9"/>
      <c r="F30" s="9"/>
      <c r="G30" s="9"/>
      <c r="H30" s="9"/>
      <c r="I30" s="20">
        <f>+I31</f>
        <v>200000</v>
      </c>
      <c r="J30" s="20">
        <f>+J31</f>
        <v>80000</v>
      </c>
      <c r="K30" s="20">
        <f>+K31</f>
        <v>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1:41" s="15" customFormat="1" ht="14.25" x14ac:dyDescent="0.2">
      <c r="A31" s="18" t="s">
        <v>1225</v>
      </c>
      <c r="B31" s="19" t="s">
        <v>1226</v>
      </c>
      <c r="C31" s="20"/>
      <c r="D31" s="20"/>
      <c r="E31" s="20"/>
      <c r="F31" s="20"/>
      <c r="G31" s="20"/>
      <c r="H31" s="20"/>
      <c r="I31" s="20">
        <v>200000</v>
      </c>
      <c r="J31" s="20">
        <v>80000</v>
      </c>
      <c r="K31" s="20">
        <v>0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4.25" x14ac:dyDescent="0.2">
      <c r="A32" s="2">
        <v>110307</v>
      </c>
      <c r="B32" s="3" t="s">
        <v>14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1:42" ht="14.25" x14ac:dyDescent="0.2">
      <c r="A33" s="2">
        <v>110309</v>
      </c>
      <c r="B33" s="3" t="s">
        <v>15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1:42" ht="14.25" x14ac:dyDescent="0.2">
      <c r="A34" s="2">
        <v>1104</v>
      </c>
      <c r="B34" s="3" t="s">
        <v>16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1:42" ht="14.25" x14ac:dyDescent="0.2">
      <c r="A35" s="2">
        <v>110401</v>
      </c>
      <c r="B35" s="3" t="s">
        <v>17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1:42" ht="14.25" x14ac:dyDescent="0.2">
      <c r="A36" s="2">
        <v>110402</v>
      </c>
      <c r="B36" s="3" t="s">
        <v>18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1:42" ht="28.5" x14ac:dyDescent="0.2">
      <c r="A37" s="2">
        <v>110403</v>
      </c>
      <c r="B37" s="7" t="s">
        <v>1193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</row>
    <row r="38" spans="1:42" ht="14.25" x14ac:dyDescent="0.2">
      <c r="A38" s="2">
        <v>110409</v>
      </c>
      <c r="B38" s="3" t="s">
        <v>20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 spans="1:42" ht="14.25" x14ac:dyDescent="0.2">
      <c r="A39" s="2">
        <v>1106</v>
      </c>
      <c r="B39" s="3" t="s">
        <v>21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 spans="1:42" ht="14.25" x14ac:dyDescent="0.2">
      <c r="A40" s="2">
        <v>110601</v>
      </c>
      <c r="B40" s="3" t="s">
        <v>22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1:42" ht="14.25" x14ac:dyDescent="0.2">
      <c r="A41" s="2">
        <v>110602</v>
      </c>
      <c r="B41" s="3" t="s">
        <v>23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 spans="1:42" ht="14.25" x14ac:dyDescent="0.2">
      <c r="A42" s="2">
        <v>110603</v>
      </c>
      <c r="B42" s="3" t="s">
        <v>24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 spans="1:42" ht="14.25" x14ac:dyDescent="0.2">
      <c r="A43" s="2">
        <v>110609</v>
      </c>
      <c r="B43" s="3" t="s">
        <v>25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 spans="1:42" ht="14.25" x14ac:dyDescent="0.2">
      <c r="A44" s="2">
        <v>1107</v>
      </c>
      <c r="B44" s="3" t="s">
        <v>26</v>
      </c>
      <c r="C44" s="20">
        <f>+C45</f>
        <v>36170.1</v>
      </c>
      <c r="D44" s="20">
        <f t="shared" ref="D44:AO44" si="8">+D45</f>
        <v>26179.48</v>
      </c>
      <c r="E44" s="20">
        <f t="shared" si="8"/>
        <v>44497.570000000007</v>
      </c>
      <c r="F44" s="20">
        <f t="shared" si="8"/>
        <v>55676.12</v>
      </c>
      <c r="G44" s="20">
        <f t="shared" si="8"/>
        <v>41179.270000000004</v>
      </c>
      <c r="H44" s="20">
        <f t="shared" si="8"/>
        <v>27000</v>
      </c>
      <c r="I44" s="20">
        <f t="shared" si="8"/>
        <v>28343.91</v>
      </c>
      <c r="J44" s="20">
        <f t="shared" si="8"/>
        <v>27000</v>
      </c>
      <c r="K44" s="20">
        <f t="shared" si="8"/>
        <v>27200</v>
      </c>
      <c r="L44" s="20">
        <f t="shared" si="8"/>
        <v>28200</v>
      </c>
      <c r="M44" s="20">
        <f t="shared" si="8"/>
        <v>28200</v>
      </c>
      <c r="N44" s="20">
        <f t="shared" si="8"/>
        <v>28200</v>
      </c>
      <c r="O44" s="20">
        <f t="shared" si="8"/>
        <v>28200</v>
      </c>
      <c r="P44" s="20">
        <f t="shared" si="8"/>
        <v>28200</v>
      </c>
      <c r="Q44" s="20">
        <f t="shared" si="8"/>
        <v>28200</v>
      </c>
      <c r="R44" s="20">
        <f t="shared" si="8"/>
        <v>13200.2</v>
      </c>
      <c r="S44" s="20">
        <f t="shared" si="8"/>
        <v>11004.3</v>
      </c>
      <c r="T44" s="20">
        <f t="shared" si="8"/>
        <v>26575.5</v>
      </c>
      <c r="U44" s="20">
        <f t="shared" si="8"/>
        <v>17261.949999999997</v>
      </c>
      <c r="V44" s="20">
        <f t="shared" si="8"/>
        <v>5666.12</v>
      </c>
      <c r="W44" s="20">
        <f t="shared" si="8"/>
        <v>20114.43</v>
      </c>
      <c r="X44" s="20">
        <f t="shared" si="8"/>
        <v>9572.15</v>
      </c>
      <c r="Y44" s="20">
        <f t="shared" si="8"/>
        <v>9517.23</v>
      </c>
      <c r="Z44" s="20">
        <f t="shared" si="8"/>
        <v>4788.74</v>
      </c>
      <c r="AA44" s="20">
        <f t="shared" si="8"/>
        <v>5887.85</v>
      </c>
      <c r="AB44" s="20">
        <f t="shared" si="8"/>
        <v>20732.82</v>
      </c>
      <c r="AC44" s="20">
        <f t="shared" si="8"/>
        <v>5413.31</v>
      </c>
      <c r="AD44" s="20">
        <f t="shared" si="8"/>
        <v>6513.24</v>
      </c>
      <c r="AE44" s="20">
        <f t="shared" si="8"/>
        <v>20085.009999999998</v>
      </c>
      <c r="AF44" s="20">
        <f t="shared" si="8"/>
        <v>21293.809999999998</v>
      </c>
      <c r="AG44" s="20">
        <f t="shared" si="8"/>
        <v>2656.4700000000003</v>
      </c>
      <c r="AH44" s="20">
        <f t="shared" si="8"/>
        <v>4395.5</v>
      </c>
      <c r="AI44" s="20">
        <f t="shared" si="8"/>
        <v>3126.6100000000006</v>
      </c>
      <c r="AJ44" s="20">
        <f t="shared" si="8"/>
        <v>21574.829999999998</v>
      </c>
      <c r="AK44" s="20">
        <f t="shared" si="8"/>
        <v>6455.3099999999995</v>
      </c>
      <c r="AL44" s="20">
        <f t="shared" si="8"/>
        <v>5793.6100000000006</v>
      </c>
      <c r="AM44" s="20">
        <f t="shared" si="8"/>
        <v>3940.4100000000003</v>
      </c>
      <c r="AN44" s="20">
        <f t="shared" si="8"/>
        <v>5379.6799999999994</v>
      </c>
      <c r="AO44" s="20">
        <f t="shared" si="8"/>
        <v>5659.9</v>
      </c>
      <c r="AP44" s="23"/>
    </row>
    <row r="45" spans="1:42" ht="14.25" x14ac:dyDescent="0.2">
      <c r="A45" s="2">
        <v>110701</v>
      </c>
      <c r="B45" s="3" t="s">
        <v>27</v>
      </c>
      <c r="C45" s="20">
        <f>SUM(C46:C54)</f>
        <v>36170.1</v>
      </c>
      <c r="D45" s="20">
        <f t="shared" ref="D45:AO45" si="9">SUM(D46:D54)</f>
        <v>26179.48</v>
      </c>
      <c r="E45" s="20">
        <f t="shared" si="9"/>
        <v>44497.570000000007</v>
      </c>
      <c r="F45" s="20">
        <f t="shared" si="9"/>
        <v>55676.12</v>
      </c>
      <c r="G45" s="20">
        <f t="shared" si="9"/>
        <v>41179.270000000004</v>
      </c>
      <c r="H45" s="20">
        <f t="shared" si="9"/>
        <v>27000</v>
      </c>
      <c r="I45" s="20">
        <f t="shared" si="9"/>
        <v>28343.91</v>
      </c>
      <c r="J45" s="20">
        <f t="shared" si="9"/>
        <v>27000</v>
      </c>
      <c r="K45" s="20">
        <f t="shared" si="9"/>
        <v>27200</v>
      </c>
      <c r="L45" s="20">
        <f t="shared" si="9"/>
        <v>28200</v>
      </c>
      <c r="M45" s="20">
        <f t="shared" si="9"/>
        <v>28200</v>
      </c>
      <c r="N45" s="20">
        <f t="shared" si="9"/>
        <v>28200</v>
      </c>
      <c r="O45" s="20">
        <f t="shared" si="9"/>
        <v>28200</v>
      </c>
      <c r="P45" s="20">
        <f t="shared" si="9"/>
        <v>28200</v>
      </c>
      <c r="Q45" s="20">
        <f t="shared" si="9"/>
        <v>28200</v>
      </c>
      <c r="R45" s="20">
        <f t="shared" si="9"/>
        <v>13200.2</v>
      </c>
      <c r="S45" s="20">
        <f t="shared" si="9"/>
        <v>11004.3</v>
      </c>
      <c r="T45" s="20">
        <f t="shared" si="9"/>
        <v>26575.5</v>
      </c>
      <c r="U45" s="20">
        <f t="shared" si="9"/>
        <v>17261.949999999997</v>
      </c>
      <c r="V45" s="20">
        <f t="shared" si="9"/>
        <v>5666.12</v>
      </c>
      <c r="W45" s="20">
        <f t="shared" si="9"/>
        <v>20114.43</v>
      </c>
      <c r="X45" s="20">
        <f t="shared" si="9"/>
        <v>9572.15</v>
      </c>
      <c r="Y45" s="20">
        <f t="shared" si="9"/>
        <v>9517.23</v>
      </c>
      <c r="Z45" s="20">
        <f t="shared" si="9"/>
        <v>4788.74</v>
      </c>
      <c r="AA45" s="20">
        <f t="shared" si="9"/>
        <v>5887.85</v>
      </c>
      <c r="AB45" s="20">
        <f t="shared" si="9"/>
        <v>20732.82</v>
      </c>
      <c r="AC45" s="20">
        <f t="shared" si="9"/>
        <v>5413.31</v>
      </c>
      <c r="AD45" s="20">
        <f t="shared" si="9"/>
        <v>6513.24</v>
      </c>
      <c r="AE45" s="20">
        <f t="shared" si="9"/>
        <v>20085.009999999998</v>
      </c>
      <c r="AF45" s="20">
        <f t="shared" si="9"/>
        <v>21293.809999999998</v>
      </c>
      <c r="AG45" s="20">
        <f t="shared" si="9"/>
        <v>2656.4700000000003</v>
      </c>
      <c r="AH45" s="20">
        <f t="shared" si="9"/>
        <v>4395.5</v>
      </c>
      <c r="AI45" s="20">
        <f t="shared" si="9"/>
        <v>3126.6100000000006</v>
      </c>
      <c r="AJ45" s="20">
        <f t="shared" si="9"/>
        <v>21574.829999999998</v>
      </c>
      <c r="AK45" s="20">
        <f t="shared" si="9"/>
        <v>6455.3099999999995</v>
      </c>
      <c r="AL45" s="20">
        <f t="shared" si="9"/>
        <v>5793.6100000000006</v>
      </c>
      <c r="AM45" s="20">
        <f t="shared" si="9"/>
        <v>3940.4100000000003</v>
      </c>
      <c r="AN45" s="20">
        <f t="shared" si="9"/>
        <v>5379.6799999999994</v>
      </c>
      <c r="AO45" s="20">
        <f t="shared" si="9"/>
        <v>5659.9</v>
      </c>
    </row>
    <row r="46" spans="1:42" s="15" customFormat="1" ht="14.25" x14ac:dyDescent="0.2">
      <c r="A46" s="18" t="s">
        <v>1227</v>
      </c>
      <c r="B46" s="19" t="s">
        <v>1228</v>
      </c>
      <c r="C46" s="20">
        <v>2000</v>
      </c>
      <c r="D46" s="20">
        <v>2000</v>
      </c>
      <c r="E46" s="20">
        <v>2000</v>
      </c>
      <c r="F46" s="20">
        <v>2000</v>
      </c>
      <c r="G46" s="20">
        <v>2000</v>
      </c>
      <c r="H46" s="20">
        <v>2000</v>
      </c>
      <c r="I46" s="20">
        <v>2000</v>
      </c>
      <c r="J46" s="20">
        <v>2000</v>
      </c>
      <c r="K46" s="20">
        <v>2000</v>
      </c>
      <c r="L46" s="20">
        <v>2000</v>
      </c>
      <c r="M46" s="20">
        <v>2000</v>
      </c>
      <c r="N46" s="20">
        <v>2000</v>
      </c>
      <c r="O46" s="20">
        <v>2000</v>
      </c>
      <c r="P46" s="20">
        <v>2000</v>
      </c>
      <c r="Q46" s="20">
        <v>2000</v>
      </c>
      <c r="R46" s="20">
        <v>2000</v>
      </c>
      <c r="S46" s="20">
        <v>1279.5999999999999</v>
      </c>
      <c r="T46" s="20">
        <v>2000</v>
      </c>
      <c r="U46" s="20">
        <v>1543.5</v>
      </c>
      <c r="V46" s="20">
        <v>1353.94</v>
      </c>
      <c r="W46" s="20">
        <v>1252.4100000000001</v>
      </c>
      <c r="X46" s="20">
        <v>1418.56</v>
      </c>
      <c r="Y46" s="20">
        <v>644.4</v>
      </c>
      <c r="Z46" s="20">
        <v>1066.2</v>
      </c>
      <c r="AA46" s="20">
        <v>1093.1500000000001</v>
      </c>
      <c r="AB46" s="20">
        <v>707.52</v>
      </c>
      <c r="AC46" s="20">
        <v>1017.16</v>
      </c>
      <c r="AD46" s="20">
        <v>1101.8</v>
      </c>
      <c r="AE46" s="20">
        <v>1271.5</v>
      </c>
      <c r="AF46" s="20">
        <v>1006.6</v>
      </c>
      <c r="AG46" s="20">
        <v>149.78</v>
      </c>
      <c r="AH46" s="20">
        <v>1334.35</v>
      </c>
      <c r="AI46" s="20">
        <v>694.38</v>
      </c>
      <c r="AJ46" s="20">
        <v>1225.95</v>
      </c>
      <c r="AK46" s="20">
        <v>1016.11</v>
      </c>
      <c r="AL46" s="20">
        <v>1269.7</v>
      </c>
      <c r="AM46" s="20">
        <v>1352.7</v>
      </c>
      <c r="AN46" s="20">
        <v>274.8</v>
      </c>
      <c r="AO46" s="20">
        <v>1008.58</v>
      </c>
    </row>
    <row r="47" spans="1:42" s="15" customFormat="1" ht="14.25" x14ac:dyDescent="0.2">
      <c r="A47" s="18" t="s">
        <v>1229</v>
      </c>
      <c r="B47" s="19" t="s">
        <v>1230</v>
      </c>
      <c r="C47" s="20">
        <v>2000</v>
      </c>
      <c r="D47" s="20">
        <v>2000</v>
      </c>
      <c r="E47" s="20">
        <v>2000</v>
      </c>
      <c r="F47" s="20">
        <v>2000</v>
      </c>
      <c r="G47" s="20">
        <v>2000</v>
      </c>
      <c r="H47" s="20">
        <v>2000</v>
      </c>
      <c r="I47" s="20">
        <v>2000</v>
      </c>
      <c r="J47" s="20">
        <v>2000</v>
      </c>
      <c r="K47" s="20">
        <v>2000</v>
      </c>
      <c r="L47" s="20">
        <v>2000</v>
      </c>
      <c r="M47" s="20">
        <v>2000</v>
      </c>
      <c r="N47" s="20">
        <v>2000</v>
      </c>
      <c r="O47" s="20">
        <v>2000</v>
      </c>
      <c r="P47" s="20">
        <v>2000</v>
      </c>
      <c r="Q47" s="20">
        <v>2000</v>
      </c>
      <c r="R47" s="20">
        <v>2000</v>
      </c>
      <c r="S47" s="20">
        <v>2000</v>
      </c>
      <c r="T47" s="20">
        <v>2000</v>
      </c>
      <c r="U47" s="20">
        <v>0.35</v>
      </c>
      <c r="V47" s="20">
        <v>829.2</v>
      </c>
      <c r="W47" s="20">
        <v>1021.6</v>
      </c>
      <c r="X47" s="20">
        <v>2000</v>
      </c>
      <c r="Y47" s="20">
        <v>743.5</v>
      </c>
      <c r="Z47" s="20">
        <v>576.1</v>
      </c>
      <c r="AA47" s="20">
        <v>381.8</v>
      </c>
      <c r="AB47" s="20">
        <v>664.2</v>
      </c>
      <c r="AC47" s="20">
        <v>0.9</v>
      </c>
      <c r="AD47" s="20">
        <v>4.0199999999999996</v>
      </c>
      <c r="AE47" s="20">
        <v>115.9</v>
      </c>
      <c r="AF47" s="20">
        <v>2000</v>
      </c>
      <c r="AG47" s="20">
        <v>444.5</v>
      </c>
      <c r="AH47" s="20">
        <v>6.2</v>
      </c>
      <c r="AI47" s="20">
        <v>153.80000000000001</v>
      </c>
      <c r="AJ47" s="20">
        <v>2855</v>
      </c>
      <c r="AK47" s="20">
        <v>2545.3000000000002</v>
      </c>
      <c r="AL47" s="20">
        <v>1710.5</v>
      </c>
      <c r="AM47" s="20">
        <v>605.5</v>
      </c>
      <c r="AN47" s="20">
        <v>2000</v>
      </c>
      <c r="AO47" s="20">
        <v>956.6</v>
      </c>
    </row>
    <row r="48" spans="1:42" s="15" customFormat="1" ht="14.25" x14ac:dyDescent="0.2">
      <c r="A48" s="18" t="s">
        <v>1231</v>
      </c>
      <c r="B48" s="19" t="s">
        <v>1232</v>
      </c>
      <c r="C48" s="20">
        <v>2000</v>
      </c>
      <c r="D48" s="20">
        <v>2000</v>
      </c>
      <c r="E48" s="20">
        <v>2000</v>
      </c>
      <c r="F48" s="20">
        <v>2000</v>
      </c>
      <c r="G48" s="20">
        <v>2000</v>
      </c>
      <c r="H48" s="20">
        <v>2000</v>
      </c>
      <c r="I48" s="20">
        <v>3343.91</v>
      </c>
      <c r="J48" s="20">
        <v>2000</v>
      </c>
      <c r="K48" s="20">
        <v>2000</v>
      </c>
      <c r="L48" s="20">
        <v>2000</v>
      </c>
      <c r="M48" s="20">
        <v>2000</v>
      </c>
      <c r="N48" s="20">
        <v>2000</v>
      </c>
      <c r="O48" s="20">
        <v>2000</v>
      </c>
      <c r="P48" s="20">
        <v>2000</v>
      </c>
      <c r="Q48" s="20">
        <v>2000</v>
      </c>
      <c r="R48" s="20">
        <v>2000</v>
      </c>
      <c r="S48" s="20">
        <v>2000</v>
      </c>
      <c r="T48" s="20">
        <v>2000</v>
      </c>
      <c r="U48" s="20">
        <v>580.1</v>
      </c>
      <c r="V48" s="20">
        <v>1699.4</v>
      </c>
      <c r="W48" s="20">
        <v>952.8</v>
      </c>
      <c r="X48" s="20">
        <v>1314</v>
      </c>
      <c r="Y48" s="20">
        <v>624.29999999999995</v>
      </c>
      <c r="Z48" s="20">
        <v>1197.5</v>
      </c>
      <c r="AA48" s="20">
        <v>1678.59</v>
      </c>
      <c r="AB48" s="20">
        <v>903.3</v>
      </c>
      <c r="AC48" s="20">
        <v>644.4</v>
      </c>
      <c r="AD48" s="20">
        <v>1401.43</v>
      </c>
      <c r="AE48" s="20">
        <v>613.5</v>
      </c>
      <c r="AF48" s="20">
        <v>1279.8699999999999</v>
      </c>
      <c r="AG48" s="20">
        <v>123.3</v>
      </c>
      <c r="AH48" s="20">
        <v>1268.3</v>
      </c>
      <c r="AI48" s="20">
        <v>1257</v>
      </c>
      <c r="AJ48" s="20">
        <v>610.6</v>
      </c>
      <c r="AK48" s="20">
        <v>889.3</v>
      </c>
      <c r="AL48" s="20">
        <v>1344</v>
      </c>
      <c r="AM48" s="20">
        <v>548.20000000000005</v>
      </c>
      <c r="AN48" s="20">
        <v>1342.5</v>
      </c>
      <c r="AO48" s="20">
        <v>883.5</v>
      </c>
    </row>
    <row r="49" spans="1:41" s="15" customFormat="1" ht="14.25" x14ac:dyDescent="0.2">
      <c r="A49" s="18" t="s">
        <v>1233</v>
      </c>
      <c r="B49" s="19" t="s">
        <v>1234</v>
      </c>
      <c r="C49" s="20">
        <v>2000</v>
      </c>
      <c r="D49" s="20">
        <v>2000</v>
      </c>
      <c r="E49" s="20">
        <v>2000</v>
      </c>
      <c r="F49" s="20">
        <v>2000</v>
      </c>
      <c r="G49" s="20">
        <v>2000</v>
      </c>
      <c r="H49" s="20">
        <v>2000</v>
      </c>
      <c r="I49" s="20">
        <v>2000</v>
      </c>
      <c r="J49" s="20">
        <v>2000</v>
      </c>
      <c r="K49" s="20">
        <v>2000</v>
      </c>
      <c r="L49" s="20">
        <v>2000</v>
      </c>
      <c r="M49" s="20">
        <v>2000</v>
      </c>
      <c r="N49" s="20">
        <v>2000</v>
      </c>
      <c r="O49" s="20">
        <v>2000</v>
      </c>
      <c r="P49" s="20">
        <v>2000</v>
      </c>
      <c r="Q49" s="20">
        <v>2000</v>
      </c>
      <c r="R49" s="20">
        <v>2000</v>
      </c>
      <c r="S49" s="20">
        <v>2000</v>
      </c>
      <c r="T49" s="20">
        <v>2000</v>
      </c>
      <c r="U49" s="20">
        <v>-1194.45</v>
      </c>
      <c r="V49" s="20">
        <v>380.9</v>
      </c>
      <c r="W49" s="20">
        <v>412.22</v>
      </c>
      <c r="X49" s="20">
        <v>99.2</v>
      </c>
      <c r="Y49" s="20">
        <v>381.22</v>
      </c>
      <c r="Z49" s="20">
        <v>742.3</v>
      </c>
      <c r="AA49" s="20">
        <v>566.89</v>
      </c>
      <c r="AB49" s="20">
        <v>775.4</v>
      </c>
      <c r="AC49" s="20">
        <v>326.39999999999998</v>
      </c>
      <c r="AD49" s="20">
        <v>192.66</v>
      </c>
      <c r="AE49" s="20">
        <v>303.42</v>
      </c>
      <c r="AF49" s="20">
        <v>378.7</v>
      </c>
      <c r="AG49" s="20">
        <v>92.3</v>
      </c>
      <c r="AH49" s="20">
        <v>513.97</v>
      </c>
      <c r="AI49" s="20">
        <v>32.5</v>
      </c>
      <c r="AJ49" s="20">
        <v>483.38</v>
      </c>
      <c r="AK49" s="20">
        <v>434.92</v>
      </c>
      <c r="AL49" s="20">
        <v>281.88</v>
      </c>
      <c r="AM49" s="20">
        <v>169.98</v>
      </c>
      <c r="AN49" s="20">
        <v>837.77</v>
      </c>
      <c r="AO49" s="20">
        <v>546.39</v>
      </c>
    </row>
    <row r="50" spans="1:41" s="15" customFormat="1" ht="14.25" x14ac:dyDescent="0.2">
      <c r="A50" s="18" t="s">
        <v>1235</v>
      </c>
      <c r="B50" s="19" t="s">
        <v>1236</v>
      </c>
      <c r="C50" s="20">
        <v>24170.1</v>
      </c>
      <c r="D50" s="20">
        <v>14179.48</v>
      </c>
      <c r="E50" s="20">
        <v>29179.27</v>
      </c>
      <c r="F50" s="20">
        <v>43676.12</v>
      </c>
      <c r="G50" s="20">
        <v>29179.27</v>
      </c>
      <c r="H50" s="20">
        <v>15000</v>
      </c>
      <c r="I50" s="20">
        <v>15000</v>
      </c>
      <c r="J50" s="20">
        <v>15000</v>
      </c>
      <c r="K50" s="20">
        <v>15000</v>
      </c>
      <c r="L50" s="20">
        <v>15000</v>
      </c>
      <c r="M50" s="20">
        <v>15000</v>
      </c>
      <c r="N50" s="20">
        <v>15000</v>
      </c>
      <c r="O50" s="20">
        <v>15000</v>
      </c>
      <c r="P50" s="20">
        <v>15000</v>
      </c>
      <c r="Q50" s="20">
        <v>15000</v>
      </c>
      <c r="R50" s="20">
        <v>0.2</v>
      </c>
      <c r="S50" s="20">
        <v>0.7</v>
      </c>
      <c r="T50" s="20">
        <v>15000</v>
      </c>
      <c r="U50" s="20">
        <v>15000</v>
      </c>
      <c r="V50" s="20">
        <v>6.78</v>
      </c>
      <c r="W50" s="20">
        <v>15000</v>
      </c>
      <c r="X50" s="20">
        <v>4.3899999999999997</v>
      </c>
      <c r="Y50" s="20">
        <v>4328.1099999999997</v>
      </c>
      <c r="Z50" s="20">
        <v>13.93</v>
      </c>
      <c r="AA50" s="20">
        <v>691.12</v>
      </c>
      <c r="AB50" s="20">
        <v>15000</v>
      </c>
      <c r="AC50" s="20">
        <v>2113.02</v>
      </c>
      <c r="AD50" s="20">
        <v>2493.85</v>
      </c>
      <c r="AE50" s="20">
        <v>15000</v>
      </c>
      <c r="AF50" s="20">
        <v>15000</v>
      </c>
      <c r="AG50" s="20">
        <v>58.07</v>
      </c>
      <c r="AH50" s="20">
        <v>32.380000000000003</v>
      </c>
      <c r="AI50" s="20">
        <v>32.380000000000003</v>
      </c>
      <c r="AJ50" s="20">
        <v>15000</v>
      </c>
      <c r="AK50" s="20">
        <v>5.49</v>
      </c>
      <c r="AL50" s="20">
        <v>3.75</v>
      </c>
      <c r="AM50" s="20">
        <v>66.88</v>
      </c>
      <c r="AN50" s="20">
        <v>1.48</v>
      </c>
      <c r="AO50" s="20">
        <v>1017</v>
      </c>
    </row>
    <row r="51" spans="1:41" s="15" customFormat="1" ht="14.25" x14ac:dyDescent="0.2">
      <c r="A51" s="18" t="s">
        <v>1237</v>
      </c>
      <c r="B51" s="19" t="s">
        <v>1238</v>
      </c>
      <c r="C51" s="20">
        <v>2000</v>
      </c>
      <c r="D51" s="20">
        <v>2000</v>
      </c>
      <c r="E51" s="20">
        <v>3415.4</v>
      </c>
      <c r="F51" s="20">
        <v>2000</v>
      </c>
      <c r="G51" s="20">
        <v>2000</v>
      </c>
      <c r="H51" s="20">
        <v>2000</v>
      </c>
      <c r="I51" s="20">
        <v>2000</v>
      </c>
      <c r="J51" s="20">
        <v>2000</v>
      </c>
      <c r="K51" s="20">
        <v>2000</v>
      </c>
      <c r="L51" s="20">
        <v>2000</v>
      </c>
      <c r="M51" s="20">
        <v>2000</v>
      </c>
      <c r="N51" s="20">
        <v>2000</v>
      </c>
      <c r="O51" s="20">
        <v>2000</v>
      </c>
      <c r="P51" s="20">
        <v>2000</v>
      </c>
      <c r="Q51" s="20">
        <v>2000</v>
      </c>
      <c r="R51" s="20">
        <v>2000</v>
      </c>
      <c r="S51" s="20">
        <v>524</v>
      </c>
      <c r="T51" s="20">
        <v>375.5</v>
      </c>
      <c r="U51" s="20">
        <v>264.89999999999998</v>
      </c>
      <c r="V51" s="20">
        <v>463</v>
      </c>
      <c r="W51" s="20">
        <v>567</v>
      </c>
      <c r="X51" s="20">
        <v>2000</v>
      </c>
      <c r="Y51" s="20">
        <v>2000</v>
      </c>
      <c r="Z51" s="20">
        <v>343.5</v>
      </c>
      <c r="AA51" s="20">
        <v>507.3</v>
      </c>
      <c r="AB51" s="20">
        <v>1999.5</v>
      </c>
      <c r="AC51" s="20">
        <v>545.79999999999995</v>
      </c>
      <c r="AD51" s="20">
        <v>510</v>
      </c>
      <c r="AE51" s="20">
        <v>1999.5</v>
      </c>
      <c r="AF51" s="20">
        <v>525.29999999999995</v>
      </c>
      <c r="AG51" s="20">
        <v>525.29999999999995</v>
      </c>
      <c r="AH51" s="20">
        <v>436.2</v>
      </c>
      <c r="AI51" s="20">
        <v>283.89999999999998</v>
      </c>
      <c r="AJ51" s="20">
        <v>340.3</v>
      </c>
      <c r="AK51" s="20">
        <v>387.9</v>
      </c>
      <c r="AL51" s="20">
        <v>335.1</v>
      </c>
      <c r="AM51" s="20">
        <v>247</v>
      </c>
      <c r="AN51" s="20">
        <v>247</v>
      </c>
      <c r="AO51" s="20">
        <v>248.65</v>
      </c>
    </row>
    <row r="52" spans="1:41" s="15" customFormat="1" ht="14.25" x14ac:dyDescent="0.2">
      <c r="A52" s="18" t="s">
        <v>1239</v>
      </c>
      <c r="B52" s="19" t="s">
        <v>1240</v>
      </c>
      <c r="C52" s="20">
        <v>2000</v>
      </c>
      <c r="D52" s="20">
        <v>2000</v>
      </c>
      <c r="E52" s="20">
        <v>3902.9</v>
      </c>
      <c r="F52" s="20">
        <v>2000</v>
      </c>
      <c r="G52" s="20">
        <v>2000</v>
      </c>
      <c r="H52" s="20">
        <v>2000</v>
      </c>
      <c r="I52" s="20">
        <v>2000</v>
      </c>
      <c r="J52" s="20">
        <v>2000</v>
      </c>
      <c r="K52" s="20">
        <v>2000</v>
      </c>
      <c r="L52" s="20">
        <v>2000</v>
      </c>
      <c r="M52" s="20">
        <v>2000</v>
      </c>
      <c r="N52" s="20">
        <v>2000</v>
      </c>
      <c r="O52" s="20">
        <v>2000</v>
      </c>
      <c r="P52" s="20">
        <v>2000</v>
      </c>
      <c r="Q52" s="20">
        <v>2000</v>
      </c>
      <c r="R52" s="20">
        <v>2000</v>
      </c>
      <c r="S52" s="20">
        <v>2000</v>
      </c>
      <c r="T52" s="20">
        <v>2000</v>
      </c>
      <c r="U52" s="20">
        <v>366.95</v>
      </c>
      <c r="V52" s="20">
        <v>190.9</v>
      </c>
      <c r="W52" s="20">
        <v>268.7</v>
      </c>
      <c r="X52" s="20">
        <v>2000</v>
      </c>
      <c r="Y52" s="20">
        <v>60.7</v>
      </c>
      <c r="Z52" s="20">
        <v>206.71</v>
      </c>
      <c r="AA52" s="20">
        <v>326.5</v>
      </c>
      <c r="AB52" s="20">
        <v>40.4</v>
      </c>
      <c r="AC52" s="20">
        <v>123.13</v>
      </c>
      <c r="AD52" s="20">
        <v>166.98</v>
      </c>
      <c r="AE52" s="20">
        <v>138.69</v>
      </c>
      <c r="AF52" s="20">
        <v>460.84</v>
      </c>
      <c r="AG52" s="20">
        <v>620.72</v>
      </c>
      <c r="AH52" s="20">
        <v>161.6</v>
      </c>
      <c r="AI52" s="20">
        <v>30.15</v>
      </c>
      <c r="AJ52" s="20">
        <v>417.1</v>
      </c>
      <c r="AK52" s="20">
        <v>533.79</v>
      </c>
      <c r="AL52" s="20">
        <v>206.18</v>
      </c>
      <c r="AM52" s="20">
        <v>307.64999999999998</v>
      </c>
      <c r="AN52" s="20">
        <v>33.630000000000003</v>
      </c>
      <c r="AO52" s="20">
        <v>356.68</v>
      </c>
    </row>
    <row r="53" spans="1:41" s="15" customFormat="1" ht="14.25" x14ac:dyDescent="0.2">
      <c r="A53" s="18" t="s">
        <v>1241</v>
      </c>
      <c r="B53" s="19" t="s">
        <v>1242</v>
      </c>
      <c r="C53" s="20"/>
      <c r="D53" s="20"/>
      <c r="E53" s="20"/>
      <c r="F53" s="20"/>
      <c r="G53" s="20"/>
      <c r="H53" s="20"/>
      <c r="I53" s="20"/>
      <c r="J53" s="20"/>
      <c r="K53" s="20">
        <v>200</v>
      </c>
      <c r="L53" s="20">
        <v>200</v>
      </c>
      <c r="M53" s="20">
        <v>200</v>
      </c>
      <c r="N53" s="20">
        <v>200</v>
      </c>
      <c r="O53" s="20">
        <v>200</v>
      </c>
      <c r="P53" s="20">
        <v>200</v>
      </c>
      <c r="Q53" s="20">
        <v>200</v>
      </c>
      <c r="R53" s="20">
        <v>200</v>
      </c>
      <c r="S53" s="20">
        <v>200</v>
      </c>
      <c r="T53" s="20">
        <v>200</v>
      </c>
      <c r="U53" s="20">
        <v>200</v>
      </c>
      <c r="V53" s="20">
        <v>200</v>
      </c>
      <c r="W53" s="20">
        <v>200</v>
      </c>
      <c r="X53" s="20">
        <v>200</v>
      </c>
      <c r="Y53" s="20">
        <v>200</v>
      </c>
      <c r="Z53" s="20">
        <v>200</v>
      </c>
      <c r="AA53" s="20">
        <v>200</v>
      </c>
      <c r="AB53" s="20">
        <v>200</v>
      </c>
      <c r="AC53" s="20">
        <v>200</v>
      </c>
      <c r="AD53" s="20">
        <v>200</v>
      </c>
      <c r="AE53" s="20">
        <v>200</v>
      </c>
      <c r="AF53" s="20">
        <v>200</v>
      </c>
      <c r="AG53" s="20">
        <v>200</v>
      </c>
      <c r="AH53" s="20">
        <v>200</v>
      </c>
      <c r="AI53" s="20">
        <v>200</v>
      </c>
      <c r="AJ53" s="20">
        <v>200</v>
      </c>
      <c r="AK53" s="20">
        <v>200</v>
      </c>
      <c r="AL53" s="20">
        <v>200</v>
      </c>
      <c r="AM53" s="20">
        <v>200</v>
      </c>
      <c r="AN53" s="20">
        <v>200</v>
      </c>
      <c r="AO53" s="20">
        <v>200</v>
      </c>
    </row>
    <row r="54" spans="1:41" s="15" customFormat="1" ht="14.25" x14ac:dyDescent="0.2">
      <c r="A54" s="18" t="s">
        <v>1243</v>
      </c>
      <c r="B54" s="19" t="s">
        <v>1244</v>
      </c>
      <c r="C54" s="20"/>
      <c r="D54" s="20"/>
      <c r="E54" s="20"/>
      <c r="F54" s="20"/>
      <c r="G54" s="20"/>
      <c r="H54" s="20"/>
      <c r="I54" s="20"/>
      <c r="J54" s="20"/>
      <c r="K54" s="20"/>
      <c r="L54" s="20">
        <v>1000</v>
      </c>
      <c r="M54" s="20">
        <v>1000</v>
      </c>
      <c r="N54" s="20">
        <v>1000</v>
      </c>
      <c r="O54" s="20">
        <v>1000</v>
      </c>
      <c r="P54" s="20">
        <v>1000</v>
      </c>
      <c r="Q54" s="20">
        <v>1000</v>
      </c>
      <c r="R54" s="20">
        <v>1000</v>
      </c>
      <c r="S54" s="20">
        <v>1000</v>
      </c>
      <c r="T54" s="20">
        <v>1000</v>
      </c>
      <c r="U54" s="20">
        <v>500.6</v>
      </c>
      <c r="V54" s="20">
        <v>542</v>
      </c>
      <c r="W54" s="20">
        <v>439.7</v>
      </c>
      <c r="X54" s="20">
        <v>536</v>
      </c>
      <c r="Y54" s="20">
        <v>535</v>
      </c>
      <c r="Z54" s="20">
        <v>442.5</v>
      </c>
      <c r="AA54" s="20">
        <v>442.5</v>
      </c>
      <c r="AB54" s="20">
        <v>442.5</v>
      </c>
      <c r="AC54" s="20">
        <v>442.5</v>
      </c>
      <c r="AD54" s="20">
        <v>442.5</v>
      </c>
      <c r="AE54" s="20">
        <v>442.5</v>
      </c>
      <c r="AF54" s="20">
        <v>442.5</v>
      </c>
      <c r="AG54" s="20">
        <v>442.5</v>
      </c>
      <c r="AH54" s="20">
        <v>442.5</v>
      </c>
      <c r="AI54" s="20">
        <v>442.5</v>
      </c>
      <c r="AJ54" s="20">
        <v>442.5</v>
      </c>
      <c r="AK54" s="20">
        <v>442.5</v>
      </c>
      <c r="AL54" s="20">
        <v>442.5</v>
      </c>
      <c r="AM54" s="20">
        <v>442.5</v>
      </c>
      <c r="AN54" s="20">
        <v>442.5</v>
      </c>
      <c r="AO54" s="20">
        <v>442.5</v>
      </c>
    </row>
    <row r="55" spans="1:41" ht="14.25" x14ac:dyDescent="0.2">
      <c r="A55" s="2">
        <v>110702</v>
      </c>
      <c r="B55" s="3" t="s">
        <v>28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spans="1:41" ht="14.25" x14ac:dyDescent="0.2">
      <c r="A56" s="2">
        <v>110709</v>
      </c>
      <c r="B56" s="3" t="s">
        <v>29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spans="1:41" ht="14.25" x14ac:dyDescent="0.2">
      <c r="A57" s="2">
        <v>1108</v>
      </c>
      <c r="B57" s="3" t="s">
        <v>30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 spans="1:41" ht="14.25" x14ac:dyDescent="0.2">
      <c r="A58" s="2">
        <v>110803</v>
      </c>
      <c r="B58" s="3" t="s">
        <v>31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 spans="1:41" ht="14.25" x14ac:dyDescent="0.2">
      <c r="A59" s="2">
        <v>110804</v>
      </c>
      <c r="B59" s="3" t="s">
        <v>32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</row>
    <row r="60" spans="1:41" ht="14.25" x14ac:dyDescent="0.2">
      <c r="A60" s="2">
        <v>110807</v>
      </c>
      <c r="B60" s="3" t="s">
        <v>33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 spans="1:41" ht="14.25" x14ac:dyDescent="0.2">
      <c r="A61" s="2">
        <v>12</v>
      </c>
      <c r="B61" s="3" t="s">
        <v>34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</row>
    <row r="62" spans="1:41" ht="14.25" x14ac:dyDescent="0.2">
      <c r="A62" s="2">
        <v>1201</v>
      </c>
      <c r="B62" s="3" t="s">
        <v>34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</row>
    <row r="63" spans="1:41" ht="14.25" x14ac:dyDescent="0.2">
      <c r="A63" s="2">
        <v>120107</v>
      </c>
      <c r="B63" s="3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</row>
    <row r="64" spans="1:41" ht="14.25" x14ac:dyDescent="0.2">
      <c r="A64" s="2">
        <v>1208</v>
      </c>
      <c r="B64" s="3" t="s">
        <v>36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</row>
    <row r="65" spans="1:41" ht="14.25" x14ac:dyDescent="0.2">
      <c r="A65" s="2">
        <v>120807</v>
      </c>
      <c r="B65" s="3" t="s">
        <v>35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</row>
    <row r="66" spans="1:41" ht="14.25" x14ac:dyDescent="0.2">
      <c r="A66" s="2">
        <v>13</v>
      </c>
      <c r="B66" s="3" t="s">
        <v>37</v>
      </c>
      <c r="C66" s="20">
        <f>+C172+C391</f>
        <v>537702.94000000006</v>
      </c>
      <c r="D66" s="20">
        <f t="shared" ref="D66:AO66" si="10">+D172+D391</f>
        <v>537702.94000000006</v>
      </c>
      <c r="E66" s="20">
        <f t="shared" si="10"/>
        <v>537702.94000000006</v>
      </c>
      <c r="F66" s="20">
        <f t="shared" si="10"/>
        <v>537702.94000000006</v>
      </c>
      <c r="G66" s="20">
        <f t="shared" si="10"/>
        <v>537702.94000000006</v>
      </c>
      <c r="H66" s="20">
        <f t="shared" si="10"/>
        <v>537702.94000000006</v>
      </c>
      <c r="I66" s="20">
        <f t="shared" si="10"/>
        <v>538202.94000000006</v>
      </c>
      <c r="J66" s="20">
        <f t="shared" si="10"/>
        <v>538262.94000000006</v>
      </c>
      <c r="K66" s="20">
        <f t="shared" si="10"/>
        <v>132359.55000000005</v>
      </c>
      <c r="L66" s="20">
        <f t="shared" si="10"/>
        <v>132359.55000000005</v>
      </c>
      <c r="M66" s="20">
        <f t="shared" si="10"/>
        <v>132359.55000000005</v>
      </c>
      <c r="N66" s="20">
        <f t="shared" si="10"/>
        <v>132359.55000000005</v>
      </c>
      <c r="O66" s="20">
        <f t="shared" si="10"/>
        <v>132359.55000000005</v>
      </c>
      <c r="P66" s="20">
        <f t="shared" si="10"/>
        <v>132359.55000000005</v>
      </c>
      <c r="Q66" s="20">
        <f t="shared" si="10"/>
        <v>131609.55000000005</v>
      </c>
      <c r="R66" s="20">
        <f t="shared" si="10"/>
        <v>131609.55000000005</v>
      </c>
      <c r="S66" s="20">
        <f t="shared" si="10"/>
        <v>131609.55000000005</v>
      </c>
      <c r="T66" s="20">
        <f t="shared" si="10"/>
        <v>131609.55000000005</v>
      </c>
      <c r="U66" s="20">
        <f t="shared" si="10"/>
        <v>131609.55000000005</v>
      </c>
      <c r="V66" s="20">
        <f t="shared" si="10"/>
        <v>131609.55000000005</v>
      </c>
      <c r="W66" s="20">
        <f t="shared" si="10"/>
        <v>131609.55000000005</v>
      </c>
      <c r="X66" s="20">
        <f t="shared" si="10"/>
        <v>131609.55000000005</v>
      </c>
      <c r="Y66" s="20">
        <f t="shared" si="10"/>
        <v>131609.55000000005</v>
      </c>
      <c r="Z66" s="20">
        <f t="shared" si="10"/>
        <v>131609.55000000005</v>
      </c>
      <c r="AA66" s="20">
        <f t="shared" si="10"/>
        <v>131609.55000000005</v>
      </c>
      <c r="AB66" s="20">
        <f t="shared" si="10"/>
        <v>131609.55000000005</v>
      </c>
      <c r="AC66" s="20">
        <f t="shared" si="10"/>
        <v>131609.55000000005</v>
      </c>
      <c r="AD66" s="20">
        <f t="shared" si="10"/>
        <v>131609.55000000005</v>
      </c>
      <c r="AE66" s="20">
        <f t="shared" si="10"/>
        <v>131609.55000000005</v>
      </c>
      <c r="AF66" s="20">
        <f t="shared" si="10"/>
        <v>131609.55000000005</v>
      </c>
      <c r="AG66" s="20">
        <f t="shared" si="10"/>
        <v>131609.55000000005</v>
      </c>
      <c r="AH66" s="20">
        <f t="shared" si="10"/>
        <v>131609.55000000005</v>
      </c>
      <c r="AI66" s="20">
        <f t="shared" si="10"/>
        <v>131609.55000000005</v>
      </c>
      <c r="AJ66" s="20">
        <f t="shared" si="10"/>
        <v>131609.55000000005</v>
      </c>
      <c r="AK66" s="20">
        <f t="shared" si="10"/>
        <v>131609.55000000005</v>
      </c>
      <c r="AL66" s="20">
        <f t="shared" si="10"/>
        <v>131609.55000000005</v>
      </c>
      <c r="AM66" s="20">
        <f t="shared" si="10"/>
        <v>131609.55000000005</v>
      </c>
      <c r="AN66" s="20">
        <f t="shared" si="10"/>
        <v>131609.55000000005</v>
      </c>
      <c r="AO66" s="20">
        <f t="shared" si="10"/>
        <v>131609.55000000005</v>
      </c>
    </row>
    <row r="67" spans="1:41" ht="28.5" x14ac:dyDescent="0.2">
      <c r="A67" s="2">
        <v>1301</v>
      </c>
      <c r="B67" s="4" t="s">
        <v>38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</row>
    <row r="68" spans="1:41" ht="14.25" x14ac:dyDescent="0.2">
      <c r="A68" s="2">
        <v>130105</v>
      </c>
      <c r="B68" s="3" t="s">
        <v>39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</row>
    <row r="69" spans="1:41" ht="14.25" x14ac:dyDescent="0.2">
      <c r="A69" s="2">
        <v>13010501</v>
      </c>
      <c r="B69" s="3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</row>
    <row r="70" spans="1:41" ht="14.25" x14ac:dyDescent="0.2">
      <c r="A70" s="2">
        <v>13010519</v>
      </c>
      <c r="B70" s="3" t="s">
        <v>41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</row>
    <row r="71" spans="1:41" ht="14.25" x14ac:dyDescent="0.2">
      <c r="A71" s="2">
        <v>130106</v>
      </c>
      <c r="B71" s="3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 spans="1:41" ht="14.25" x14ac:dyDescent="0.2">
      <c r="A72" s="2">
        <v>13010601</v>
      </c>
      <c r="B72" s="3" t="s">
        <v>40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 spans="1:41" ht="14.25" x14ac:dyDescent="0.2">
      <c r="A73" s="2">
        <v>13010619</v>
      </c>
      <c r="B73" s="3" t="s">
        <v>41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 spans="1:41" ht="14.25" x14ac:dyDescent="0.2">
      <c r="A74" s="2">
        <v>130107</v>
      </c>
      <c r="B74" s="3" t="s">
        <v>43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 spans="1:41" ht="14.25" x14ac:dyDescent="0.2">
      <c r="A75" s="2">
        <v>13010701</v>
      </c>
      <c r="B75" s="3" t="s">
        <v>40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</row>
    <row r="76" spans="1:41" ht="14.25" x14ac:dyDescent="0.2">
      <c r="A76" s="2">
        <v>13010702</v>
      </c>
      <c r="B76" s="3" t="s">
        <v>44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 spans="1:41" ht="14.25" x14ac:dyDescent="0.2">
      <c r="A77" s="2">
        <v>13010705</v>
      </c>
      <c r="B77" s="3" t="s">
        <v>45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</row>
    <row r="78" spans="1:41" ht="14.25" x14ac:dyDescent="0.2">
      <c r="A78" s="2">
        <v>13010706</v>
      </c>
      <c r="B78" s="3" t="s">
        <v>46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</row>
    <row r="79" spans="1:41" ht="14.25" x14ac:dyDescent="0.2">
      <c r="A79" s="2">
        <v>13010712</v>
      </c>
      <c r="B79" s="3" t="s">
        <v>47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</row>
    <row r="80" spans="1:41" ht="14.25" x14ac:dyDescent="0.2">
      <c r="A80" s="2">
        <v>13010719</v>
      </c>
      <c r="B80" s="3" t="s">
        <v>41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</row>
    <row r="81" spans="1:41" ht="28.5" x14ac:dyDescent="0.2">
      <c r="A81" s="2">
        <v>130110</v>
      </c>
      <c r="B81" s="4" t="s">
        <v>48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</row>
    <row r="82" spans="1:41" ht="14.25" x14ac:dyDescent="0.2">
      <c r="A82" s="2">
        <v>13011005</v>
      </c>
      <c r="B82" s="3" t="s">
        <v>39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</row>
    <row r="83" spans="1:41" ht="14.25" x14ac:dyDescent="0.2">
      <c r="A83" s="2">
        <v>13011006</v>
      </c>
      <c r="B83" s="3" t="s">
        <v>42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</row>
    <row r="84" spans="1:41" ht="14.25" x14ac:dyDescent="0.2">
      <c r="A84" s="2">
        <v>13011007</v>
      </c>
      <c r="B84" s="3" t="s">
        <v>43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</row>
    <row r="85" spans="1:41" ht="14.25" x14ac:dyDescent="0.2">
      <c r="A85" s="2">
        <v>13011013</v>
      </c>
      <c r="B85" s="3" t="s">
        <v>49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</row>
    <row r="86" spans="1:41" ht="28.5" x14ac:dyDescent="0.2">
      <c r="A86" s="2">
        <v>130111</v>
      </c>
      <c r="B86" s="4" t="s">
        <v>50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</row>
    <row r="87" spans="1:41" ht="14.25" x14ac:dyDescent="0.2">
      <c r="A87" s="2">
        <v>13011105</v>
      </c>
      <c r="B87" s="3" t="s">
        <v>39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</row>
    <row r="88" spans="1:41" ht="14.25" x14ac:dyDescent="0.2">
      <c r="A88" s="2">
        <v>13011106</v>
      </c>
      <c r="B88" s="3" t="s">
        <v>42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</row>
    <row r="89" spans="1:41" ht="14.25" x14ac:dyDescent="0.2">
      <c r="A89" s="2">
        <v>13011107</v>
      </c>
      <c r="B89" s="3" t="s">
        <v>43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</row>
    <row r="90" spans="1:41" ht="14.25" x14ac:dyDescent="0.2">
      <c r="A90" s="2">
        <v>13011113</v>
      </c>
      <c r="B90" s="3" t="s">
        <v>49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</row>
    <row r="91" spans="1:41" ht="28.5" x14ac:dyDescent="0.2">
      <c r="A91" s="2">
        <v>130112</v>
      </c>
      <c r="B91" s="4" t="s">
        <v>51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</row>
    <row r="92" spans="1:41" ht="14.25" x14ac:dyDescent="0.2">
      <c r="A92" s="2">
        <v>13011205</v>
      </c>
      <c r="B92" s="3" t="s">
        <v>39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</row>
    <row r="93" spans="1:41" ht="14.25" x14ac:dyDescent="0.2">
      <c r="A93" s="2">
        <v>13011206</v>
      </c>
      <c r="B93" s="3" t="s">
        <v>42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</row>
    <row r="94" spans="1:41" ht="14.25" x14ac:dyDescent="0.2">
      <c r="A94" s="2">
        <v>13011207</v>
      </c>
      <c r="B94" s="3" t="s">
        <v>43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</row>
    <row r="95" spans="1:41" ht="14.25" x14ac:dyDescent="0.2">
      <c r="A95" s="2">
        <v>13011213</v>
      </c>
      <c r="B95" s="3" t="s">
        <v>49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</row>
    <row r="96" spans="1:41" ht="14.25" x14ac:dyDescent="0.2">
      <c r="A96" s="2">
        <v>130113</v>
      </c>
      <c r="B96" s="3" t="s">
        <v>49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</row>
    <row r="97" spans="1:41" ht="14.25" x14ac:dyDescent="0.2">
      <c r="A97" s="2">
        <v>13011301</v>
      </c>
      <c r="B97" s="3" t="s">
        <v>52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spans="1:41" ht="14.25" x14ac:dyDescent="0.2">
      <c r="A98" s="2">
        <v>130119</v>
      </c>
      <c r="B98" s="3" t="s">
        <v>53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 spans="1:41" ht="28.5" x14ac:dyDescent="0.2">
      <c r="A99" s="2">
        <v>1302</v>
      </c>
      <c r="B99" s="4" t="s">
        <v>54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 spans="1:41" ht="14.25" x14ac:dyDescent="0.2">
      <c r="A100" s="2">
        <v>130201</v>
      </c>
      <c r="B100" s="3" t="s">
        <v>55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spans="1:41" ht="14.25" x14ac:dyDescent="0.2">
      <c r="A101" s="2">
        <v>13020101</v>
      </c>
      <c r="B101" s="3" t="s">
        <v>56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spans="1:41" ht="14.25" x14ac:dyDescent="0.2">
      <c r="A102" s="2">
        <v>1302010101</v>
      </c>
      <c r="B102" s="3" t="s">
        <v>57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 spans="1:41" ht="14.25" x14ac:dyDescent="0.2">
      <c r="A103" s="2">
        <v>1302010102</v>
      </c>
      <c r="B103" s="3" t="s">
        <v>58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 spans="1:41" ht="14.25" x14ac:dyDescent="0.2">
      <c r="A104" s="2">
        <v>1302010119</v>
      </c>
      <c r="B104" s="3" t="s">
        <v>59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 spans="1:41" ht="14.25" x14ac:dyDescent="0.2">
      <c r="A105" s="2">
        <v>13020109</v>
      </c>
      <c r="B105" s="3" t="s">
        <v>60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 spans="1:41" ht="14.25" x14ac:dyDescent="0.2">
      <c r="A106" s="2">
        <v>1302010901</v>
      </c>
      <c r="B106" s="3" t="s">
        <v>57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 spans="1:41" ht="14.25" x14ac:dyDescent="0.2">
      <c r="A107" s="2">
        <v>1302010902</v>
      </c>
      <c r="B107" s="3" t="s">
        <v>58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 spans="1:41" ht="14.25" x14ac:dyDescent="0.2">
      <c r="A108" s="2">
        <v>1302010919</v>
      </c>
      <c r="B108" s="3" t="s">
        <v>59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 spans="1:41" ht="14.25" x14ac:dyDescent="0.2">
      <c r="A109" s="2">
        <v>130202</v>
      </c>
      <c r="B109" s="3" t="s">
        <v>61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 spans="1:41" ht="14.25" x14ac:dyDescent="0.2">
      <c r="A110" s="2">
        <v>13020201</v>
      </c>
      <c r="B110" s="3" t="s">
        <v>57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 spans="1:41" ht="14.25" x14ac:dyDescent="0.2">
      <c r="A111" s="2">
        <v>13020202</v>
      </c>
      <c r="B111" s="3" t="s">
        <v>58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 spans="1:41" ht="14.25" x14ac:dyDescent="0.2">
      <c r="A112" s="2">
        <v>13020219</v>
      </c>
      <c r="B112" s="3" t="s">
        <v>59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 spans="1:41" ht="14.25" x14ac:dyDescent="0.2">
      <c r="A113" s="2">
        <v>130203</v>
      </c>
      <c r="B113" s="3" t="s">
        <v>62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 spans="1:41" ht="14.25" x14ac:dyDescent="0.2">
      <c r="A114" s="2">
        <v>13020303</v>
      </c>
      <c r="B114" s="3" t="s">
        <v>63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 spans="1:41" ht="14.25" x14ac:dyDescent="0.2">
      <c r="A115" s="2">
        <v>13020319</v>
      </c>
      <c r="B115" s="3" t="s">
        <v>64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 spans="1:41" ht="14.25" x14ac:dyDescent="0.2">
      <c r="A116" s="2">
        <v>130205</v>
      </c>
      <c r="B116" s="3" t="s">
        <v>39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 spans="1:41" ht="14.25" x14ac:dyDescent="0.2">
      <c r="A117" s="2">
        <v>13020503</v>
      </c>
      <c r="B117" s="3" t="s">
        <v>65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 spans="1:41" ht="14.25" x14ac:dyDescent="0.2">
      <c r="A118" s="2">
        <v>13020505</v>
      </c>
      <c r="B118" s="3" t="s">
        <v>66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 spans="1:41" ht="14.25" x14ac:dyDescent="0.2">
      <c r="A119" s="2">
        <v>13020506</v>
      </c>
      <c r="B119" s="3" t="s">
        <v>67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 spans="1:41" ht="14.25" x14ac:dyDescent="0.2">
      <c r="A120" s="2">
        <v>13020507</v>
      </c>
      <c r="B120" s="3" t="s">
        <v>68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 spans="1:41" ht="14.25" x14ac:dyDescent="0.2">
      <c r="A121" s="2">
        <v>13020508</v>
      </c>
      <c r="B121" s="3" t="s">
        <v>69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 spans="1:41" ht="14.25" x14ac:dyDescent="0.2">
      <c r="A122" s="2">
        <v>13020509</v>
      </c>
      <c r="B122" s="3" t="s">
        <v>70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 spans="1:41" ht="28.5" x14ac:dyDescent="0.2">
      <c r="A123" s="2">
        <v>13020510</v>
      </c>
      <c r="B123" s="4" t="s">
        <v>71</v>
      </c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</row>
    <row r="124" spans="1:41" ht="14.25" x14ac:dyDescent="0.2">
      <c r="A124" s="2">
        <v>13020511</v>
      </c>
      <c r="B124" s="3" t="s">
        <v>72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 spans="1:41" ht="14.25" x14ac:dyDescent="0.2">
      <c r="A125" s="2">
        <v>13020519</v>
      </c>
      <c r="B125" s="3" t="s">
        <v>41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 spans="1:41" ht="14.25" x14ac:dyDescent="0.2">
      <c r="A126" s="2">
        <v>130206</v>
      </c>
      <c r="B126" s="3" t="s">
        <v>42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 spans="1:41" ht="14.25" x14ac:dyDescent="0.2">
      <c r="A127" s="2">
        <v>13020608</v>
      </c>
      <c r="B127" s="3" t="s">
        <v>69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 spans="1:41" ht="14.25" x14ac:dyDescent="0.2">
      <c r="A128" s="2">
        <v>13020609</v>
      </c>
      <c r="B128" s="3" t="s">
        <v>70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spans="1:41" ht="28.5" x14ac:dyDescent="0.2">
      <c r="A129" s="2">
        <v>13020610</v>
      </c>
      <c r="B129" s="4" t="s">
        <v>71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</row>
    <row r="130" spans="1:41" ht="14.25" x14ac:dyDescent="0.2">
      <c r="A130" s="2">
        <v>13020611</v>
      </c>
      <c r="B130" s="3" t="s">
        <v>72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spans="1:41" ht="14.25" x14ac:dyDescent="0.2">
      <c r="A131" s="2">
        <v>13020619</v>
      </c>
      <c r="B131" s="3" t="s">
        <v>41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 spans="1:41" ht="14.25" x14ac:dyDescent="0.2">
      <c r="A132" s="2">
        <v>130207</v>
      </c>
      <c r="B132" s="3" t="s">
        <v>43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spans="1:41" ht="14.25" x14ac:dyDescent="0.2">
      <c r="A133" s="2">
        <v>13020708</v>
      </c>
      <c r="B133" s="3" t="s">
        <v>69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spans="1:41" ht="14.25" x14ac:dyDescent="0.2">
      <c r="A134" s="2">
        <v>13020709</v>
      </c>
      <c r="B134" s="3" t="s">
        <v>70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spans="1:41" ht="28.5" x14ac:dyDescent="0.2">
      <c r="A135" s="2">
        <v>13020710</v>
      </c>
      <c r="B135" s="4" t="s">
        <v>71</v>
      </c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</row>
    <row r="136" spans="1:41" ht="14.25" x14ac:dyDescent="0.2">
      <c r="A136" s="2">
        <v>13020711</v>
      </c>
      <c r="B136" s="3" t="s">
        <v>72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spans="1:41" ht="14.25" x14ac:dyDescent="0.2">
      <c r="A137" s="2">
        <v>13020712</v>
      </c>
      <c r="B137" s="3" t="s">
        <v>47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spans="1:41" ht="14.25" x14ac:dyDescent="0.2">
      <c r="A138" s="2">
        <v>13020714</v>
      </c>
      <c r="B138" s="3" t="s">
        <v>73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spans="1:41" ht="14.25" x14ac:dyDescent="0.2">
      <c r="A139" s="2">
        <v>13020715</v>
      </c>
      <c r="B139" s="3" t="s">
        <v>74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spans="1:41" ht="14.25" x14ac:dyDescent="0.2">
      <c r="A140" s="2">
        <v>1302071501</v>
      </c>
      <c r="B140" s="3" t="s">
        <v>75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spans="1:41" ht="14.25" x14ac:dyDescent="0.2">
      <c r="A141" s="2">
        <v>1302071502</v>
      </c>
      <c r="B141" s="3" t="s">
        <v>76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spans="1:41" ht="14.25" x14ac:dyDescent="0.2">
      <c r="A142" s="2">
        <v>1302071519</v>
      </c>
      <c r="B142" s="3" t="s">
        <v>41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spans="1:41" ht="14.25" x14ac:dyDescent="0.2">
      <c r="A143" s="2">
        <v>13020719</v>
      </c>
      <c r="B143" s="3" t="s">
        <v>41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spans="1:41" ht="28.5" x14ac:dyDescent="0.2">
      <c r="A144" s="2">
        <v>130210</v>
      </c>
      <c r="B144" s="4" t="s">
        <v>48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</row>
    <row r="145" spans="1:41" ht="14.25" x14ac:dyDescent="0.2">
      <c r="A145" s="2">
        <v>13021001</v>
      </c>
      <c r="B145" s="3" t="s">
        <v>55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spans="1:41" ht="14.25" x14ac:dyDescent="0.2">
      <c r="A146" s="2">
        <v>13021002</v>
      </c>
      <c r="B146" s="3" t="s">
        <v>61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spans="1:41" ht="14.25" x14ac:dyDescent="0.2">
      <c r="A147" s="2">
        <v>13021003</v>
      </c>
      <c r="B147" s="3" t="s">
        <v>62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spans="1:41" ht="14.25" x14ac:dyDescent="0.2">
      <c r="A148" s="2">
        <v>13021005</v>
      </c>
      <c r="B148" s="3" t="s">
        <v>39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spans="1:41" ht="14.25" x14ac:dyDescent="0.2">
      <c r="A149" s="2">
        <v>13021006</v>
      </c>
      <c r="B149" s="3" t="s">
        <v>42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spans="1:41" ht="14.25" x14ac:dyDescent="0.2">
      <c r="A150" s="2">
        <v>13021007</v>
      </c>
      <c r="B150" s="3" t="s">
        <v>43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spans="1:41" ht="14.25" x14ac:dyDescent="0.2">
      <c r="A151" s="2">
        <v>13021013</v>
      </c>
      <c r="B151" s="3" t="s">
        <v>49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spans="1:41" ht="28.5" x14ac:dyDescent="0.2">
      <c r="A152" s="2">
        <v>130211</v>
      </c>
      <c r="B152" s="4" t="s">
        <v>50</v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</row>
    <row r="153" spans="1:41" ht="14.25" x14ac:dyDescent="0.2">
      <c r="A153" s="2">
        <v>13021101</v>
      </c>
      <c r="B153" s="3" t="s">
        <v>55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spans="1:41" ht="14.25" x14ac:dyDescent="0.2">
      <c r="A154" s="2">
        <v>13021102</v>
      </c>
      <c r="B154" s="3" t="s">
        <v>61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spans="1:41" ht="14.25" x14ac:dyDescent="0.2">
      <c r="A155" s="2">
        <v>13021103</v>
      </c>
      <c r="B155" s="3" t="s">
        <v>62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spans="1:41" ht="14.25" x14ac:dyDescent="0.2">
      <c r="A156" s="2">
        <v>13021105</v>
      </c>
      <c r="B156" s="3" t="s">
        <v>39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spans="1:41" ht="14.25" x14ac:dyDescent="0.2">
      <c r="A157" s="2">
        <v>13021106</v>
      </c>
      <c r="B157" s="3" t="s">
        <v>42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spans="1:41" ht="14.25" x14ac:dyDescent="0.2">
      <c r="A158" s="2">
        <v>13021107</v>
      </c>
      <c r="B158" s="3" t="s">
        <v>43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spans="1:41" ht="14.25" x14ac:dyDescent="0.2">
      <c r="A159" s="2">
        <v>13021113</v>
      </c>
      <c r="B159" s="3" t="s">
        <v>49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spans="1:41" ht="28.5" x14ac:dyDescent="0.2">
      <c r="A160" s="2">
        <v>130212</v>
      </c>
      <c r="B160" s="4" t="s">
        <v>51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</row>
    <row r="161" spans="1:41" ht="14.25" x14ac:dyDescent="0.2">
      <c r="A161" s="2">
        <v>13021201</v>
      </c>
      <c r="B161" s="3" t="s">
        <v>55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spans="1:41" ht="14.25" x14ac:dyDescent="0.2">
      <c r="A162" s="2">
        <v>13021202</v>
      </c>
      <c r="B162" s="3" t="s">
        <v>61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spans="1:41" ht="14.25" x14ac:dyDescent="0.2">
      <c r="A163" s="2">
        <v>13021203</v>
      </c>
      <c r="B163" s="3" t="s">
        <v>62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spans="1:41" ht="14.25" x14ac:dyDescent="0.2">
      <c r="A164" s="2">
        <v>13021205</v>
      </c>
      <c r="B164" s="3" t="s">
        <v>39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spans="1:41" ht="14.25" x14ac:dyDescent="0.2">
      <c r="A165" s="2">
        <v>13021206</v>
      </c>
      <c r="B165" s="3" t="s">
        <v>42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spans="1:41" ht="14.25" x14ac:dyDescent="0.2">
      <c r="A166" s="2">
        <v>13021207</v>
      </c>
      <c r="B166" s="3" t="s">
        <v>43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spans="1:41" ht="14.25" x14ac:dyDescent="0.2">
      <c r="A167" s="2">
        <v>13021213</v>
      </c>
      <c r="B167" s="3" t="s">
        <v>49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spans="1:41" ht="14.25" x14ac:dyDescent="0.2">
      <c r="A168" s="2">
        <v>130213</v>
      </c>
      <c r="B168" s="3" t="s">
        <v>49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spans="1:41" ht="28.5" x14ac:dyDescent="0.2">
      <c r="A169" s="2">
        <v>13021310</v>
      </c>
      <c r="B169" s="4" t="s">
        <v>71</v>
      </c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</row>
    <row r="170" spans="1:41" ht="14.25" x14ac:dyDescent="0.2">
      <c r="A170" s="2">
        <v>13021319</v>
      </c>
      <c r="B170" s="3" t="s">
        <v>41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spans="1:41" ht="14.25" x14ac:dyDescent="0.2">
      <c r="A171" s="2">
        <v>130219</v>
      </c>
      <c r="B171" s="3" t="s">
        <v>59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spans="1:41" ht="28.5" x14ac:dyDescent="0.2">
      <c r="A172" s="2">
        <v>1303</v>
      </c>
      <c r="B172" s="4" t="s">
        <v>77</v>
      </c>
      <c r="C172" s="20">
        <f>+C201</f>
        <v>550302.94000000006</v>
      </c>
      <c r="D172" s="20">
        <f t="shared" ref="D172:AO172" si="11">+D201</f>
        <v>550302.94000000006</v>
      </c>
      <c r="E172" s="20">
        <f t="shared" si="11"/>
        <v>550302.94000000006</v>
      </c>
      <c r="F172" s="20">
        <f t="shared" si="11"/>
        <v>550302.94000000006</v>
      </c>
      <c r="G172" s="20">
        <f t="shared" si="11"/>
        <v>550302.94000000006</v>
      </c>
      <c r="H172" s="20">
        <f t="shared" si="11"/>
        <v>550302.94000000006</v>
      </c>
      <c r="I172" s="20">
        <f t="shared" si="11"/>
        <v>550802.94000000006</v>
      </c>
      <c r="J172" s="20">
        <f t="shared" si="11"/>
        <v>550862.94000000006</v>
      </c>
      <c r="K172" s="20">
        <f t="shared" si="11"/>
        <v>550862.94000000006</v>
      </c>
      <c r="L172" s="20">
        <f t="shared" si="11"/>
        <v>550862.94000000006</v>
      </c>
      <c r="M172" s="20">
        <f t="shared" si="11"/>
        <v>550862.94000000006</v>
      </c>
      <c r="N172" s="20">
        <f t="shared" si="11"/>
        <v>550862.94000000006</v>
      </c>
      <c r="O172" s="20">
        <f t="shared" si="11"/>
        <v>550862.94000000006</v>
      </c>
      <c r="P172" s="20">
        <f t="shared" si="11"/>
        <v>550862.94000000006</v>
      </c>
      <c r="Q172" s="20">
        <f t="shared" si="11"/>
        <v>550862.94000000006</v>
      </c>
      <c r="R172" s="20">
        <f t="shared" si="11"/>
        <v>550862.94000000006</v>
      </c>
      <c r="S172" s="20">
        <f t="shared" si="11"/>
        <v>550862.94000000006</v>
      </c>
      <c r="T172" s="20">
        <f t="shared" si="11"/>
        <v>550862.94000000006</v>
      </c>
      <c r="U172" s="20">
        <f t="shared" si="11"/>
        <v>550862.94000000006</v>
      </c>
      <c r="V172" s="20">
        <f t="shared" si="11"/>
        <v>550862.94000000006</v>
      </c>
      <c r="W172" s="20">
        <f t="shared" si="11"/>
        <v>550862.94000000006</v>
      </c>
      <c r="X172" s="20">
        <f t="shared" si="11"/>
        <v>550862.94000000006</v>
      </c>
      <c r="Y172" s="20">
        <f t="shared" si="11"/>
        <v>550862.94000000006</v>
      </c>
      <c r="Z172" s="20">
        <f t="shared" si="11"/>
        <v>550862.94000000006</v>
      </c>
      <c r="AA172" s="20">
        <f t="shared" si="11"/>
        <v>550862.94000000006</v>
      </c>
      <c r="AB172" s="20">
        <f t="shared" si="11"/>
        <v>550862.94000000006</v>
      </c>
      <c r="AC172" s="20">
        <f t="shared" si="11"/>
        <v>550862.94000000006</v>
      </c>
      <c r="AD172" s="20">
        <f t="shared" si="11"/>
        <v>550862.94000000006</v>
      </c>
      <c r="AE172" s="20">
        <f t="shared" si="11"/>
        <v>550862.94000000006</v>
      </c>
      <c r="AF172" s="20">
        <f t="shared" si="11"/>
        <v>550862.94000000006</v>
      </c>
      <c r="AG172" s="20">
        <f t="shared" si="11"/>
        <v>550862.94000000006</v>
      </c>
      <c r="AH172" s="20">
        <f t="shared" si="11"/>
        <v>550862.94000000006</v>
      </c>
      <c r="AI172" s="20">
        <f t="shared" si="11"/>
        <v>550862.94000000006</v>
      </c>
      <c r="AJ172" s="20">
        <f t="shared" si="11"/>
        <v>550862.94000000006</v>
      </c>
      <c r="AK172" s="20">
        <f t="shared" si="11"/>
        <v>550862.94000000006</v>
      </c>
      <c r="AL172" s="20">
        <f t="shared" si="11"/>
        <v>550862.94000000006</v>
      </c>
      <c r="AM172" s="20">
        <f t="shared" si="11"/>
        <v>550862.94000000006</v>
      </c>
      <c r="AN172" s="20">
        <f t="shared" si="11"/>
        <v>550862.94000000006</v>
      </c>
      <c r="AO172" s="20">
        <f t="shared" si="11"/>
        <v>550862.94000000006</v>
      </c>
    </row>
    <row r="173" spans="1:41" ht="14.25" x14ac:dyDescent="0.2">
      <c r="A173" s="2">
        <v>130305</v>
      </c>
      <c r="B173" s="3" t="s">
        <v>39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spans="1:41" ht="14.25" x14ac:dyDescent="0.2">
      <c r="A174" s="2">
        <v>13030501</v>
      </c>
      <c r="B174" s="3" t="s">
        <v>40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spans="1:41" ht="14.25" x14ac:dyDescent="0.2">
      <c r="A175" s="2">
        <v>13030519</v>
      </c>
      <c r="B175" s="3" t="s">
        <v>41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spans="1:41" ht="14.25" x14ac:dyDescent="0.2">
      <c r="A176" s="2">
        <v>130306</v>
      </c>
      <c r="B176" s="3" t="s">
        <v>42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spans="1:41" ht="14.25" x14ac:dyDescent="0.2">
      <c r="A177" s="2">
        <v>13030601</v>
      </c>
      <c r="B177" s="3" t="s">
        <v>40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spans="1:41" ht="14.25" x14ac:dyDescent="0.2">
      <c r="A178" s="2">
        <v>13030619</v>
      </c>
      <c r="B178" s="3" t="s">
        <v>41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spans="1:41" ht="14.25" x14ac:dyDescent="0.2">
      <c r="A179" s="2">
        <v>130307</v>
      </c>
      <c r="B179" s="3" t="s">
        <v>43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spans="1:41" ht="14.25" x14ac:dyDescent="0.2">
      <c r="A180" s="2">
        <v>13030701</v>
      </c>
      <c r="B180" s="3" t="s">
        <v>40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spans="1:41" ht="14.25" x14ac:dyDescent="0.2">
      <c r="A181" s="2">
        <v>13030702</v>
      </c>
      <c r="B181" s="3" t="s">
        <v>44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spans="1:41" ht="14.25" x14ac:dyDescent="0.2">
      <c r="A182" s="2">
        <v>13030705</v>
      </c>
      <c r="B182" s="3" t="s">
        <v>45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spans="1:41" ht="14.25" x14ac:dyDescent="0.2">
      <c r="A183" s="2">
        <v>13030706</v>
      </c>
      <c r="B183" s="3" t="s">
        <v>46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spans="1:41" ht="14.25" x14ac:dyDescent="0.2">
      <c r="A184" s="2">
        <v>13030712</v>
      </c>
      <c r="B184" s="3" t="s">
        <v>47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spans="1:41" ht="14.25" x14ac:dyDescent="0.2">
      <c r="A185" s="2">
        <v>13030719</v>
      </c>
      <c r="B185" s="3" t="s">
        <v>41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spans="1:41" ht="28.5" x14ac:dyDescent="0.2">
      <c r="A186" s="2">
        <v>130310</v>
      </c>
      <c r="B186" s="4" t="s">
        <v>48</v>
      </c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</row>
    <row r="187" spans="1:41" ht="14.25" x14ac:dyDescent="0.2">
      <c r="A187" s="2">
        <v>13031005</v>
      </c>
      <c r="B187" s="3" t="s">
        <v>39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spans="1:41" ht="14.25" x14ac:dyDescent="0.2">
      <c r="A188" s="2">
        <v>13031006</v>
      </c>
      <c r="B188" s="3" t="s">
        <v>42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spans="1:41" ht="14.25" x14ac:dyDescent="0.2">
      <c r="A189" s="2">
        <v>13031007</v>
      </c>
      <c r="B189" s="3" t="s">
        <v>43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spans="1:41" ht="14.25" x14ac:dyDescent="0.2">
      <c r="A190" s="2">
        <v>13031013</v>
      </c>
      <c r="B190" s="3" t="s">
        <v>49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spans="1:41" ht="28.5" x14ac:dyDescent="0.2">
      <c r="A191" s="2">
        <v>130311</v>
      </c>
      <c r="B191" s="4" t="s">
        <v>50</v>
      </c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</row>
    <row r="192" spans="1:41" ht="14.25" x14ac:dyDescent="0.2">
      <c r="A192" s="2">
        <v>13031105</v>
      </c>
      <c r="B192" s="3" t="s">
        <v>39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spans="1:41" ht="14.25" x14ac:dyDescent="0.2">
      <c r="A193" s="2">
        <v>13031106</v>
      </c>
      <c r="B193" s="3" t="s">
        <v>42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spans="1:41" ht="14.25" x14ac:dyDescent="0.2">
      <c r="A194" s="2">
        <v>13031107</v>
      </c>
      <c r="B194" s="3" t="s">
        <v>43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spans="1:41" ht="14.25" x14ac:dyDescent="0.2">
      <c r="A195" s="2">
        <v>13031113</v>
      </c>
      <c r="B195" s="3" t="s">
        <v>49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spans="1:41" ht="28.5" x14ac:dyDescent="0.2">
      <c r="A196" s="2">
        <v>130312</v>
      </c>
      <c r="B196" s="4" t="s">
        <v>51</v>
      </c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</row>
    <row r="197" spans="1:41" ht="14.25" x14ac:dyDescent="0.2">
      <c r="A197" s="2">
        <v>13031205</v>
      </c>
      <c r="B197" s="3" t="s">
        <v>39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spans="1:41" ht="14.25" x14ac:dyDescent="0.2">
      <c r="A198" s="2">
        <v>13031206</v>
      </c>
      <c r="B198" s="3" t="s">
        <v>42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spans="1:41" ht="14.25" x14ac:dyDescent="0.2">
      <c r="A199" s="2">
        <v>13031207</v>
      </c>
      <c r="B199" s="3" t="s">
        <v>43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spans="1:41" ht="14.25" x14ac:dyDescent="0.2">
      <c r="A200" s="2">
        <v>13031213</v>
      </c>
      <c r="B200" s="3" t="s">
        <v>49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spans="1:41" ht="14.25" x14ac:dyDescent="0.2">
      <c r="A201" s="2">
        <v>130313</v>
      </c>
      <c r="B201" s="3" t="s">
        <v>49</v>
      </c>
      <c r="C201" s="20">
        <f t="shared" ref="C201:AB201" si="12">SUM(C203:C207)</f>
        <v>550302.94000000006</v>
      </c>
      <c r="D201" s="20">
        <f t="shared" si="12"/>
        <v>550302.94000000006</v>
      </c>
      <c r="E201" s="20">
        <f t="shared" si="12"/>
        <v>550302.94000000006</v>
      </c>
      <c r="F201" s="20">
        <f t="shared" si="12"/>
        <v>550302.94000000006</v>
      </c>
      <c r="G201" s="20">
        <f t="shared" si="12"/>
        <v>550302.94000000006</v>
      </c>
      <c r="H201" s="20">
        <f t="shared" si="12"/>
        <v>550302.94000000006</v>
      </c>
      <c r="I201" s="20">
        <f t="shared" si="12"/>
        <v>550802.94000000006</v>
      </c>
      <c r="J201" s="20">
        <f t="shared" si="12"/>
        <v>550862.94000000006</v>
      </c>
      <c r="K201" s="20">
        <f t="shared" si="12"/>
        <v>550862.94000000006</v>
      </c>
      <c r="L201" s="20">
        <f t="shared" si="12"/>
        <v>550862.94000000006</v>
      </c>
      <c r="M201" s="20">
        <f t="shared" si="12"/>
        <v>550862.94000000006</v>
      </c>
      <c r="N201" s="20">
        <f t="shared" si="12"/>
        <v>550862.94000000006</v>
      </c>
      <c r="O201" s="20">
        <f t="shared" si="12"/>
        <v>550862.94000000006</v>
      </c>
      <c r="P201" s="20">
        <f t="shared" si="12"/>
        <v>550862.94000000006</v>
      </c>
      <c r="Q201" s="20">
        <f t="shared" si="12"/>
        <v>550862.94000000006</v>
      </c>
      <c r="R201" s="20">
        <f t="shared" si="12"/>
        <v>550862.94000000006</v>
      </c>
      <c r="S201" s="20">
        <f t="shared" si="12"/>
        <v>550862.94000000006</v>
      </c>
      <c r="T201" s="20">
        <f t="shared" si="12"/>
        <v>550862.94000000006</v>
      </c>
      <c r="U201" s="20">
        <f t="shared" si="12"/>
        <v>550862.94000000006</v>
      </c>
      <c r="V201" s="20">
        <f t="shared" si="12"/>
        <v>550862.94000000006</v>
      </c>
      <c r="W201" s="20">
        <f t="shared" si="12"/>
        <v>550862.94000000006</v>
      </c>
      <c r="X201" s="20">
        <f t="shared" si="12"/>
        <v>550862.94000000006</v>
      </c>
      <c r="Y201" s="20">
        <f t="shared" si="12"/>
        <v>550862.94000000006</v>
      </c>
      <c r="Z201" s="20">
        <f t="shared" si="12"/>
        <v>550862.94000000006</v>
      </c>
      <c r="AA201" s="20">
        <f t="shared" si="12"/>
        <v>550862.94000000006</v>
      </c>
      <c r="AB201" s="20">
        <f t="shared" si="12"/>
        <v>550862.94000000006</v>
      </c>
      <c r="AC201" s="20">
        <f>SUM(AC203:AC207)</f>
        <v>550862.94000000006</v>
      </c>
      <c r="AD201" s="20">
        <f t="shared" ref="AD201:AO201" si="13">SUM(AD203:AD207)</f>
        <v>550862.94000000006</v>
      </c>
      <c r="AE201" s="20">
        <f t="shared" si="13"/>
        <v>550862.94000000006</v>
      </c>
      <c r="AF201" s="20">
        <f t="shared" si="13"/>
        <v>550862.94000000006</v>
      </c>
      <c r="AG201" s="20">
        <f t="shared" si="13"/>
        <v>550862.94000000006</v>
      </c>
      <c r="AH201" s="20">
        <f t="shared" si="13"/>
        <v>550862.94000000006</v>
      </c>
      <c r="AI201" s="20">
        <f t="shared" si="13"/>
        <v>550862.94000000006</v>
      </c>
      <c r="AJ201" s="20">
        <f t="shared" si="13"/>
        <v>550862.94000000006</v>
      </c>
      <c r="AK201" s="20">
        <f t="shared" si="13"/>
        <v>550862.94000000006</v>
      </c>
      <c r="AL201" s="20">
        <f t="shared" si="13"/>
        <v>550862.94000000006</v>
      </c>
      <c r="AM201" s="20">
        <f t="shared" si="13"/>
        <v>550862.94000000006</v>
      </c>
      <c r="AN201" s="20">
        <f t="shared" si="13"/>
        <v>550862.94000000006</v>
      </c>
      <c r="AO201" s="20">
        <f t="shared" si="13"/>
        <v>550862.94000000006</v>
      </c>
    </row>
    <row r="202" spans="1:41" ht="14.25" x14ac:dyDescent="0.2">
      <c r="A202" s="2">
        <v>13031301</v>
      </c>
      <c r="B202" s="3" t="s">
        <v>52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spans="1:41" s="15" customFormat="1" ht="14.25" x14ac:dyDescent="0.2">
      <c r="A203" s="18" t="s">
        <v>1245</v>
      </c>
      <c r="B203" s="19" t="s">
        <v>1246</v>
      </c>
      <c r="C203" s="20">
        <v>418503.39</v>
      </c>
      <c r="D203" s="20">
        <v>418503.39</v>
      </c>
      <c r="E203" s="20">
        <v>418503.39</v>
      </c>
      <c r="F203" s="20">
        <v>418503.39</v>
      </c>
      <c r="G203" s="20">
        <v>418503.39</v>
      </c>
      <c r="H203" s="20">
        <v>418503.39</v>
      </c>
      <c r="I203" s="20">
        <v>418503.39</v>
      </c>
      <c r="J203" s="20">
        <v>418503.39</v>
      </c>
      <c r="K203" s="20">
        <v>418503.39</v>
      </c>
      <c r="L203" s="20">
        <v>418503.39</v>
      </c>
      <c r="M203" s="20">
        <v>418503.39</v>
      </c>
      <c r="N203" s="20">
        <v>418503.39</v>
      </c>
      <c r="O203" s="20">
        <v>418503.39</v>
      </c>
      <c r="P203" s="20">
        <v>418503.39</v>
      </c>
      <c r="Q203" s="20">
        <v>418503.39</v>
      </c>
      <c r="R203" s="20">
        <v>418503.39</v>
      </c>
      <c r="S203" s="20">
        <v>418503.39</v>
      </c>
      <c r="T203" s="20">
        <v>418503.39</v>
      </c>
      <c r="U203" s="20">
        <v>418503.39</v>
      </c>
      <c r="V203" s="20">
        <v>418503.39</v>
      </c>
      <c r="W203" s="20">
        <v>418503.39</v>
      </c>
      <c r="X203" s="20">
        <v>418503.39</v>
      </c>
      <c r="Y203" s="20">
        <v>418503.39</v>
      </c>
      <c r="Z203" s="20">
        <v>418503.39</v>
      </c>
      <c r="AA203" s="20">
        <v>418503.39</v>
      </c>
      <c r="AB203" s="20">
        <v>418503.39</v>
      </c>
      <c r="AC203" s="20">
        <v>418503.39</v>
      </c>
      <c r="AD203" s="20">
        <v>418503.39</v>
      </c>
      <c r="AE203" s="20">
        <v>418503.39</v>
      </c>
      <c r="AF203" s="20">
        <v>418503.39</v>
      </c>
      <c r="AG203" s="20">
        <v>418503.39</v>
      </c>
      <c r="AH203" s="20">
        <v>418503.39</v>
      </c>
      <c r="AI203" s="20">
        <v>418503.39</v>
      </c>
      <c r="AJ203" s="20">
        <v>418503.39</v>
      </c>
      <c r="AK203" s="20">
        <v>418503.39</v>
      </c>
      <c r="AL203" s="20">
        <v>418503.39</v>
      </c>
      <c r="AM203" s="20">
        <v>418503.39</v>
      </c>
      <c r="AN203" s="20">
        <v>418503.39</v>
      </c>
      <c r="AO203" s="20">
        <v>418503.39</v>
      </c>
    </row>
    <row r="204" spans="1:41" s="15" customFormat="1" ht="14.25" x14ac:dyDescent="0.2">
      <c r="A204" s="18" t="s">
        <v>1247</v>
      </c>
      <c r="B204" s="19" t="s">
        <v>1248</v>
      </c>
      <c r="C204" s="20">
        <v>131016.55</v>
      </c>
      <c r="D204" s="20">
        <v>131016.55</v>
      </c>
      <c r="E204" s="20">
        <v>131016.55</v>
      </c>
      <c r="F204" s="20">
        <v>131016.55</v>
      </c>
      <c r="G204" s="20">
        <v>131016.55</v>
      </c>
      <c r="H204" s="20">
        <v>131016.55</v>
      </c>
      <c r="I204" s="20">
        <v>131016.55</v>
      </c>
      <c r="J204" s="20">
        <v>131016.55</v>
      </c>
      <c r="K204" s="20">
        <v>131016.55</v>
      </c>
      <c r="L204" s="20">
        <v>131016.55</v>
      </c>
      <c r="M204" s="20">
        <v>131016.55</v>
      </c>
      <c r="N204" s="20">
        <v>131016.55</v>
      </c>
      <c r="O204" s="20">
        <v>131016.55</v>
      </c>
      <c r="P204" s="20">
        <v>131016.55</v>
      </c>
      <c r="Q204" s="20">
        <v>131016.55</v>
      </c>
      <c r="R204" s="20">
        <v>131016.55</v>
      </c>
      <c r="S204" s="20">
        <v>131016.55</v>
      </c>
      <c r="T204" s="20">
        <v>131016.55</v>
      </c>
      <c r="U204" s="20">
        <v>131016.55</v>
      </c>
      <c r="V204" s="20">
        <v>131016.55</v>
      </c>
      <c r="W204" s="20">
        <v>131016.55</v>
      </c>
      <c r="X204" s="20">
        <v>131016.55</v>
      </c>
      <c r="Y204" s="20">
        <v>131016.55</v>
      </c>
      <c r="Z204" s="20">
        <v>131016.55</v>
      </c>
      <c r="AA204" s="20">
        <v>131016.55</v>
      </c>
      <c r="AB204" s="20">
        <v>131016.55</v>
      </c>
      <c r="AC204" s="20">
        <v>131016.55</v>
      </c>
      <c r="AD204" s="20">
        <v>131016.55</v>
      </c>
      <c r="AE204" s="20">
        <v>131016.55</v>
      </c>
      <c r="AF204" s="20">
        <v>131016.55</v>
      </c>
      <c r="AG204" s="20">
        <v>131016.55</v>
      </c>
      <c r="AH204" s="20">
        <v>131016.55</v>
      </c>
      <c r="AI204" s="20">
        <v>131016.55</v>
      </c>
      <c r="AJ204" s="20">
        <v>131016.55</v>
      </c>
      <c r="AK204" s="20">
        <v>131016.55</v>
      </c>
      <c r="AL204" s="20">
        <v>131016.55</v>
      </c>
      <c r="AM204" s="20">
        <v>131016.55</v>
      </c>
      <c r="AN204" s="20">
        <v>131016.55</v>
      </c>
      <c r="AO204" s="20">
        <v>131016.55</v>
      </c>
    </row>
    <row r="205" spans="1:41" s="15" customFormat="1" ht="14.25" x14ac:dyDescent="0.2">
      <c r="A205" s="18" t="s">
        <v>1249</v>
      </c>
      <c r="B205" s="19" t="s">
        <v>1250</v>
      </c>
      <c r="C205" s="20">
        <v>33</v>
      </c>
      <c r="D205" s="20">
        <v>33</v>
      </c>
      <c r="E205" s="20">
        <v>33</v>
      </c>
      <c r="F205" s="20">
        <v>33</v>
      </c>
      <c r="G205" s="20">
        <v>33</v>
      </c>
      <c r="H205" s="20">
        <v>33</v>
      </c>
      <c r="I205" s="20">
        <v>33</v>
      </c>
      <c r="J205" s="20">
        <v>33</v>
      </c>
      <c r="K205" s="20">
        <v>33</v>
      </c>
      <c r="L205" s="20">
        <v>33</v>
      </c>
      <c r="M205" s="20">
        <v>33</v>
      </c>
      <c r="N205" s="20">
        <v>33</v>
      </c>
      <c r="O205" s="20">
        <v>33</v>
      </c>
      <c r="P205" s="20">
        <v>33</v>
      </c>
      <c r="Q205" s="20">
        <v>33</v>
      </c>
      <c r="R205" s="20">
        <v>33</v>
      </c>
      <c r="S205" s="20">
        <v>33</v>
      </c>
      <c r="T205" s="20">
        <v>33</v>
      </c>
      <c r="U205" s="20">
        <v>33</v>
      </c>
      <c r="V205" s="20">
        <v>33</v>
      </c>
      <c r="W205" s="20">
        <v>33</v>
      </c>
      <c r="X205" s="20">
        <v>33</v>
      </c>
      <c r="Y205" s="20">
        <v>33</v>
      </c>
      <c r="Z205" s="20">
        <v>33</v>
      </c>
      <c r="AA205" s="20">
        <v>33</v>
      </c>
      <c r="AB205" s="20">
        <v>33</v>
      </c>
      <c r="AC205" s="20">
        <v>33</v>
      </c>
      <c r="AD205" s="20">
        <v>33</v>
      </c>
      <c r="AE205" s="20">
        <v>33</v>
      </c>
      <c r="AF205" s="20">
        <v>33</v>
      </c>
      <c r="AG205" s="20">
        <v>33</v>
      </c>
      <c r="AH205" s="20">
        <v>33</v>
      </c>
      <c r="AI205" s="20">
        <v>33</v>
      </c>
      <c r="AJ205" s="20">
        <v>33</v>
      </c>
      <c r="AK205" s="20">
        <v>33</v>
      </c>
      <c r="AL205" s="20">
        <v>33</v>
      </c>
      <c r="AM205" s="20">
        <v>33</v>
      </c>
      <c r="AN205" s="20">
        <v>33</v>
      </c>
      <c r="AO205" s="20">
        <v>33</v>
      </c>
    </row>
    <row r="206" spans="1:41" s="15" customFormat="1" ht="14.25" x14ac:dyDescent="0.2">
      <c r="A206" s="18" t="s">
        <v>1251</v>
      </c>
      <c r="B206" s="19" t="s">
        <v>1252</v>
      </c>
      <c r="C206" s="20">
        <v>750</v>
      </c>
      <c r="D206" s="20">
        <v>750</v>
      </c>
      <c r="E206" s="20">
        <v>750</v>
      </c>
      <c r="F206" s="20">
        <v>750</v>
      </c>
      <c r="G206" s="20">
        <v>750</v>
      </c>
      <c r="H206" s="20">
        <v>750</v>
      </c>
      <c r="I206" s="20">
        <v>750</v>
      </c>
      <c r="J206" s="20">
        <v>750</v>
      </c>
      <c r="K206" s="20">
        <v>750</v>
      </c>
      <c r="L206" s="20">
        <v>750</v>
      </c>
      <c r="M206" s="20">
        <v>750</v>
      </c>
      <c r="N206" s="20">
        <v>750</v>
      </c>
      <c r="O206" s="20">
        <v>750</v>
      </c>
      <c r="P206" s="20">
        <v>750</v>
      </c>
      <c r="Q206" s="20">
        <v>750</v>
      </c>
      <c r="R206" s="20">
        <v>750</v>
      </c>
      <c r="S206" s="20">
        <v>750</v>
      </c>
      <c r="T206" s="20">
        <v>750</v>
      </c>
      <c r="U206" s="20">
        <v>750</v>
      </c>
      <c r="V206" s="20">
        <v>750</v>
      </c>
      <c r="W206" s="20">
        <v>750</v>
      </c>
      <c r="X206" s="20">
        <v>750</v>
      </c>
      <c r="Y206" s="20">
        <v>750</v>
      </c>
      <c r="Z206" s="20">
        <v>750</v>
      </c>
      <c r="AA206" s="20">
        <v>750</v>
      </c>
      <c r="AB206" s="20">
        <v>750</v>
      </c>
      <c r="AC206" s="20">
        <v>750</v>
      </c>
      <c r="AD206" s="20">
        <v>750</v>
      </c>
      <c r="AE206" s="20">
        <v>750</v>
      </c>
      <c r="AF206" s="20">
        <v>750</v>
      </c>
      <c r="AG206" s="20">
        <v>750</v>
      </c>
      <c r="AH206" s="20">
        <v>750</v>
      </c>
      <c r="AI206" s="20">
        <v>750</v>
      </c>
      <c r="AJ206" s="20">
        <v>750</v>
      </c>
      <c r="AK206" s="20">
        <v>750</v>
      </c>
      <c r="AL206" s="20">
        <v>750</v>
      </c>
      <c r="AM206" s="20">
        <v>750</v>
      </c>
      <c r="AN206" s="20">
        <v>750</v>
      </c>
      <c r="AO206" s="20">
        <v>750</v>
      </c>
    </row>
    <row r="207" spans="1:41" s="15" customFormat="1" ht="14.25" x14ac:dyDescent="0.2">
      <c r="A207" s="18" t="s">
        <v>1253</v>
      </c>
      <c r="B207" s="19" t="s">
        <v>1254</v>
      </c>
      <c r="C207" s="20"/>
      <c r="D207" s="20"/>
      <c r="E207" s="20"/>
      <c r="F207" s="20"/>
      <c r="G207" s="20"/>
      <c r="H207" s="20"/>
      <c r="I207" s="20">
        <v>500</v>
      </c>
      <c r="J207" s="20">
        <v>560</v>
      </c>
      <c r="K207" s="20">
        <v>560</v>
      </c>
      <c r="L207" s="20">
        <v>560</v>
      </c>
      <c r="M207" s="20">
        <v>560</v>
      </c>
      <c r="N207" s="20">
        <v>560</v>
      </c>
      <c r="O207" s="20">
        <v>560</v>
      </c>
      <c r="P207" s="20">
        <v>560</v>
      </c>
      <c r="Q207" s="20">
        <v>560</v>
      </c>
      <c r="R207" s="20">
        <v>560</v>
      </c>
      <c r="S207" s="20">
        <v>560</v>
      </c>
      <c r="T207" s="20">
        <v>560</v>
      </c>
      <c r="U207" s="20">
        <v>560</v>
      </c>
      <c r="V207" s="20">
        <v>560</v>
      </c>
      <c r="W207" s="20">
        <v>560</v>
      </c>
      <c r="X207" s="20">
        <v>560</v>
      </c>
      <c r="Y207" s="20">
        <v>560</v>
      </c>
      <c r="Z207" s="20">
        <v>560</v>
      </c>
      <c r="AA207" s="20">
        <v>560</v>
      </c>
      <c r="AB207" s="20">
        <v>560</v>
      </c>
      <c r="AC207" s="20">
        <v>560</v>
      </c>
      <c r="AD207" s="20">
        <v>560</v>
      </c>
      <c r="AE207" s="20">
        <v>560</v>
      </c>
      <c r="AF207" s="20">
        <v>560</v>
      </c>
      <c r="AG207" s="20">
        <v>560</v>
      </c>
      <c r="AH207" s="20">
        <v>560</v>
      </c>
      <c r="AI207" s="20">
        <v>560</v>
      </c>
      <c r="AJ207" s="20">
        <v>560</v>
      </c>
      <c r="AK207" s="20">
        <v>560</v>
      </c>
      <c r="AL207" s="20">
        <v>560</v>
      </c>
      <c r="AM207" s="20">
        <v>560</v>
      </c>
      <c r="AN207" s="20">
        <v>560</v>
      </c>
      <c r="AO207" s="20">
        <v>560</v>
      </c>
    </row>
    <row r="208" spans="1:41" ht="14.25" x14ac:dyDescent="0.2">
      <c r="A208" s="2">
        <v>130318</v>
      </c>
      <c r="B208" s="3" t="s">
        <v>78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spans="1:41" ht="14.25" x14ac:dyDescent="0.2">
      <c r="A209" s="2">
        <v>13031805</v>
      </c>
      <c r="B209" s="3" t="s">
        <v>39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spans="1:41" ht="14.25" x14ac:dyDescent="0.2">
      <c r="A210" s="2">
        <v>13031806</v>
      </c>
      <c r="B210" s="3" t="s">
        <v>42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spans="1:41" ht="14.25" x14ac:dyDescent="0.2">
      <c r="A211" s="2">
        <v>13031807</v>
      </c>
      <c r="B211" s="3" t="s">
        <v>43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spans="1:41" ht="14.25" x14ac:dyDescent="0.2">
      <c r="A212" s="2">
        <v>13031813</v>
      </c>
      <c r="B212" s="3" t="s">
        <v>49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spans="1:41" ht="14.25" x14ac:dyDescent="0.2">
      <c r="A213" s="2">
        <v>130319</v>
      </c>
      <c r="B213" s="3" t="s">
        <v>53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spans="1:41" ht="28.5" x14ac:dyDescent="0.2">
      <c r="A214" s="2">
        <v>1304</v>
      </c>
      <c r="B214" s="4" t="s">
        <v>79</v>
      </c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</row>
    <row r="215" spans="1:41" ht="14.25" x14ac:dyDescent="0.2">
      <c r="A215" s="2">
        <v>130401</v>
      </c>
      <c r="B215" s="3" t="s">
        <v>55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spans="1:41" ht="14.25" x14ac:dyDescent="0.2">
      <c r="A216" s="2">
        <v>13040101</v>
      </c>
      <c r="B216" s="3" t="s">
        <v>56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 spans="1:41" ht="14.25" x14ac:dyDescent="0.2">
      <c r="A217" s="2">
        <v>1304010101</v>
      </c>
      <c r="B217" s="3" t="s">
        <v>57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 spans="1:41" ht="14.25" x14ac:dyDescent="0.2">
      <c r="A218" s="2">
        <v>1304010102</v>
      </c>
      <c r="B218" s="3" t="s">
        <v>80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 spans="1:41" ht="14.25" x14ac:dyDescent="0.2">
      <c r="A219" s="2">
        <v>1304010119</v>
      </c>
      <c r="B219" s="3" t="s">
        <v>59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 spans="1:41" ht="14.25" x14ac:dyDescent="0.2">
      <c r="A220" s="2">
        <v>13040109</v>
      </c>
      <c r="B220" s="3" t="s">
        <v>60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 spans="1:41" ht="14.25" x14ac:dyDescent="0.2">
      <c r="A221" s="2">
        <v>1304010901</v>
      </c>
      <c r="B221" s="3" t="s">
        <v>57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 spans="1:41" ht="14.25" x14ac:dyDescent="0.2">
      <c r="A222" s="2">
        <v>1304010902</v>
      </c>
      <c r="B222" s="3" t="s">
        <v>80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 spans="1:41" ht="14.25" x14ac:dyDescent="0.2">
      <c r="A223" s="2">
        <v>1304010919</v>
      </c>
      <c r="B223" s="3" t="s">
        <v>59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 spans="1:41" ht="14.25" x14ac:dyDescent="0.2">
      <c r="A224" s="2">
        <v>130402</v>
      </c>
      <c r="B224" s="3" t="s">
        <v>61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 spans="1:41" ht="14.25" x14ac:dyDescent="0.2">
      <c r="A225" s="2">
        <v>13040201</v>
      </c>
      <c r="B225" s="3" t="s">
        <v>57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 spans="1:41" ht="14.25" x14ac:dyDescent="0.2">
      <c r="A226" s="2">
        <v>13040202</v>
      </c>
      <c r="B226" s="3" t="s">
        <v>58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 spans="1:41" ht="14.25" x14ac:dyDescent="0.2">
      <c r="A227" s="2">
        <v>13040219</v>
      </c>
      <c r="B227" s="3" t="s">
        <v>59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 spans="1:41" ht="14.25" x14ac:dyDescent="0.2">
      <c r="A228" s="2">
        <v>130403</v>
      </c>
      <c r="B228" s="3" t="s">
        <v>62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 spans="1:41" ht="14.25" x14ac:dyDescent="0.2">
      <c r="A229" s="2">
        <v>13040303</v>
      </c>
      <c r="B229" s="3" t="s">
        <v>63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 spans="1:41" ht="14.25" x14ac:dyDescent="0.2">
      <c r="A230" s="2">
        <v>13040319</v>
      </c>
      <c r="B230" s="3" t="s">
        <v>64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 spans="1:41" ht="14.25" x14ac:dyDescent="0.2">
      <c r="A231" s="2">
        <v>130405</v>
      </c>
      <c r="B231" s="3" t="s">
        <v>39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 spans="1:41" ht="14.25" x14ac:dyDescent="0.2">
      <c r="A232" s="2">
        <v>13040503</v>
      </c>
      <c r="B232" s="3" t="s">
        <v>81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 spans="1:41" ht="14.25" x14ac:dyDescent="0.2">
      <c r="A233" s="2">
        <v>13040505</v>
      </c>
      <c r="B233" s="3" t="s">
        <v>66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 spans="1:41" ht="14.25" x14ac:dyDescent="0.2">
      <c r="A234" s="2">
        <v>13040506</v>
      </c>
      <c r="B234" s="3" t="s">
        <v>67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 spans="1:41" ht="14.25" x14ac:dyDescent="0.2">
      <c r="A235" s="2">
        <v>13040507</v>
      </c>
      <c r="B235" s="3" t="s">
        <v>68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 spans="1:41" ht="14.25" x14ac:dyDescent="0.2">
      <c r="A236" s="2">
        <v>13040508</v>
      </c>
      <c r="B236" s="3" t="s">
        <v>69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 spans="1:41" ht="14.25" x14ac:dyDescent="0.2">
      <c r="A237" s="2">
        <v>13040509</v>
      </c>
      <c r="B237" s="3" t="s">
        <v>70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 spans="1:41" ht="28.5" x14ac:dyDescent="0.2">
      <c r="A238" s="2">
        <v>13040510</v>
      </c>
      <c r="B238" s="4" t="s">
        <v>71</v>
      </c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</row>
    <row r="239" spans="1:41" ht="14.25" x14ac:dyDescent="0.2">
      <c r="A239" s="2">
        <v>13040511</v>
      </c>
      <c r="B239" s="3" t="s">
        <v>72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 spans="1:41" ht="14.25" x14ac:dyDescent="0.2">
      <c r="A240" s="2">
        <v>13040519</v>
      </c>
      <c r="B240" s="3" t="s">
        <v>41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 spans="1:41" ht="14.25" x14ac:dyDescent="0.2">
      <c r="A241" s="2">
        <v>130406</v>
      </c>
      <c r="B241" s="3" t="s">
        <v>42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 spans="1:41" ht="14.25" x14ac:dyDescent="0.2">
      <c r="A242" s="2">
        <v>13040608</v>
      </c>
      <c r="B242" s="3" t="s">
        <v>69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 spans="1:41" ht="14.25" x14ac:dyDescent="0.2">
      <c r="A243" s="2">
        <v>13040609</v>
      </c>
      <c r="B243" s="3" t="s">
        <v>70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 spans="1:41" ht="28.5" x14ac:dyDescent="0.2">
      <c r="A244" s="2">
        <v>13040610</v>
      </c>
      <c r="B244" s="4" t="s">
        <v>71</v>
      </c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</row>
    <row r="245" spans="1:41" ht="14.25" x14ac:dyDescent="0.2">
      <c r="A245" s="2">
        <v>13040611</v>
      </c>
      <c r="B245" s="3" t="s">
        <v>72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 spans="1:41" ht="14.25" x14ac:dyDescent="0.2">
      <c r="A246" s="2">
        <v>13040619</v>
      </c>
      <c r="B246" s="3" t="s">
        <v>41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 spans="1:41" ht="14.25" x14ac:dyDescent="0.2">
      <c r="A247" s="2">
        <v>130407</v>
      </c>
      <c r="B247" s="3" t="s">
        <v>43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 spans="1:41" ht="14.25" x14ac:dyDescent="0.2">
      <c r="A248" s="2">
        <v>13040708</v>
      </c>
      <c r="B248" s="3" t="s">
        <v>69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 spans="1:41" ht="14.25" x14ac:dyDescent="0.2">
      <c r="A249" s="2">
        <v>13040709</v>
      </c>
      <c r="B249" s="3" t="s">
        <v>70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 spans="1:41" ht="28.5" x14ac:dyDescent="0.2">
      <c r="A250" s="2">
        <v>13040710</v>
      </c>
      <c r="B250" s="4" t="s">
        <v>71</v>
      </c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</row>
    <row r="251" spans="1:41" ht="14.25" x14ac:dyDescent="0.2">
      <c r="A251" s="2">
        <v>13040711</v>
      </c>
      <c r="B251" s="3" t="s">
        <v>72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 spans="1:41" ht="14.25" x14ac:dyDescent="0.2">
      <c r="A252" s="2">
        <v>13040712</v>
      </c>
      <c r="B252" s="3" t="s">
        <v>47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 spans="1:41" ht="14.25" x14ac:dyDescent="0.2">
      <c r="A253" s="2">
        <v>13040714</v>
      </c>
      <c r="B253" s="3" t="s">
        <v>73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 spans="1:41" ht="14.25" x14ac:dyDescent="0.2">
      <c r="A254" s="2">
        <v>13040715</v>
      </c>
      <c r="B254" s="3" t="s">
        <v>74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 spans="1:41" ht="14.25" x14ac:dyDescent="0.2">
      <c r="A255" s="2">
        <v>1304071501</v>
      </c>
      <c r="B255" s="3" t="s">
        <v>75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 spans="1:41" ht="14.25" x14ac:dyDescent="0.2">
      <c r="A256" s="2">
        <v>1304071502</v>
      </c>
      <c r="B256" s="3" t="s">
        <v>76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 spans="1:41" ht="14.25" x14ac:dyDescent="0.2">
      <c r="A257" s="2">
        <v>1304071519</v>
      </c>
      <c r="B257" s="3" t="s">
        <v>41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 spans="1:41" ht="14.25" x14ac:dyDescent="0.2">
      <c r="A258" s="2">
        <v>13040719</v>
      </c>
      <c r="B258" s="3" t="s">
        <v>41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 spans="1:41" ht="28.5" x14ac:dyDescent="0.2">
      <c r="A259" s="2">
        <v>130410</v>
      </c>
      <c r="B259" s="4" t="s">
        <v>48</v>
      </c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</row>
    <row r="260" spans="1:41" ht="14.25" x14ac:dyDescent="0.2">
      <c r="A260" s="2">
        <v>13041001</v>
      </c>
      <c r="B260" s="3" t="s">
        <v>55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 spans="1:41" ht="14.25" x14ac:dyDescent="0.2">
      <c r="A261" s="2">
        <v>13041002</v>
      </c>
      <c r="B261" s="3" t="s">
        <v>61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 spans="1:41" ht="14.25" x14ac:dyDescent="0.2">
      <c r="A262" s="2">
        <v>13041003</v>
      </c>
      <c r="B262" s="3" t="s">
        <v>62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 spans="1:41" ht="14.25" x14ac:dyDescent="0.2">
      <c r="A263" s="2">
        <v>13041005</v>
      </c>
      <c r="B263" s="3" t="s">
        <v>39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 spans="1:41" ht="14.25" x14ac:dyDescent="0.2">
      <c r="A264" s="2">
        <v>13041006</v>
      </c>
      <c r="B264" s="3" t="s">
        <v>42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 spans="1:41" ht="14.25" x14ac:dyDescent="0.2">
      <c r="A265" s="2">
        <v>13041007</v>
      </c>
      <c r="B265" s="3" t="s">
        <v>43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 spans="1:41" ht="14.25" x14ac:dyDescent="0.2">
      <c r="A266" s="2">
        <v>13041013</v>
      </c>
      <c r="B266" s="3" t="s">
        <v>49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 spans="1:41" ht="28.5" x14ac:dyDescent="0.2">
      <c r="A267" s="2">
        <v>130411</v>
      </c>
      <c r="B267" s="4" t="s">
        <v>50</v>
      </c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</row>
    <row r="268" spans="1:41" ht="14.25" x14ac:dyDescent="0.2">
      <c r="A268" s="2">
        <v>13041101</v>
      </c>
      <c r="B268" s="3" t="s">
        <v>55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 spans="1:41" ht="14.25" x14ac:dyDescent="0.2">
      <c r="A269" s="2">
        <v>13041102</v>
      </c>
      <c r="B269" s="3" t="s">
        <v>61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 spans="1:41" ht="14.25" x14ac:dyDescent="0.2">
      <c r="A270" s="2">
        <v>13041103</v>
      </c>
      <c r="B270" s="3" t="s">
        <v>62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</row>
    <row r="271" spans="1:41" ht="14.25" x14ac:dyDescent="0.2">
      <c r="A271" s="2">
        <v>13041105</v>
      </c>
      <c r="B271" s="3" t="s">
        <v>39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</row>
    <row r="272" spans="1:41" ht="14.25" x14ac:dyDescent="0.2">
      <c r="A272" s="2">
        <v>13041106</v>
      </c>
      <c r="B272" s="3" t="s">
        <v>42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</row>
    <row r="273" spans="1:41" ht="14.25" x14ac:dyDescent="0.2">
      <c r="A273" s="2">
        <v>13041107</v>
      </c>
      <c r="B273" s="3" t="s">
        <v>43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</row>
    <row r="274" spans="1:41" ht="14.25" x14ac:dyDescent="0.2">
      <c r="A274" s="2">
        <v>13041113</v>
      </c>
      <c r="B274" s="3" t="s">
        <v>49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</row>
    <row r="275" spans="1:41" ht="28.5" x14ac:dyDescent="0.2">
      <c r="A275" s="2">
        <v>130412</v>
      </c>
      <c r="B275" s="4" t="s">
        <v>51</v>
      </c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</row>
    <row r="276" spans="1:41" ht="14.25" x14ac:dyDescent="0.2">
      <c r="A276" s="2">
        <v>13041201</v>
      </c>
      <c r="B276" s="3" t="s">
        <v>55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</row>
    <row r="277" spans="1:41" ht="14.25" x14ac:dyDescent="0.2">
      <c r="A277" s="2">
        <v>13041202</v>
      </c>
      <c r="B277" s="3" t="s">
        <v>61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</row>
    <row r="278" spans="1:41" ht="14.25" x14ac:dyDescent="0.2">
      <c r="A278" s="2">
        <v>13041203</v>
      </c>
      <c r="B278" s="3" t="s">
        <v>62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</row>
    <row r="279" spans="1:41" ht="14.25" x14ac:dyDescent="0.2">
      <c r="A279" s="2">
        <v>13041205</v>
      </c>
      <c r="B279" s="3" t="s">
        <v>39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</row>
    <row r="280" spans="1:41" ht="14.25" x14ac:dyDescent="0.2">
      <c r="A280" s="2">
        <v>13041206</v>
      </c>
      <c r="B280" s="3" t="s">
        <v>42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</row>
    <row r="281" spans="1:41" ht="14.25" x14ac:dyDescent="0.2">
      <c r="A281" s="2">
        <v>13041207</v>
      </c>
      <c r="B281" s="3" t="s">
        <v>43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</row>
    <row r="282" spans="1:41" ht="14.25" x14ac:dyDescent="0.2">
      <c r="A282" s="2">
        <v>13041213</v>
      </c>
      <c r="B282" s="3" t="s">
        <v>49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</row>
    <row r="283" spans="1:41" ht="14.25" x14ac:dyDescent="0.2">
      <c r="A283" s="2">
        <v>130413</v>
      </c>
      <c r="B283" s="3" t="s">
        <v>49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</row>
    <row r="284" spans="1:41" ht="28.5" x14ac:dyDescent="0.2">
      <c r="A284" s="2">
        <v>13041310</v>
      </c>
      <c r="B284" s="4" t="s">
        <v>71</v>
      </c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</row>
    <row r="285" spans="1:41" ht="14.25" x14ac:dyDescent="0.2">
      <c r="A285" s="2">
        <v>13041319</v>
      </c>
      <c r="B285" s="3" t="s">
        <v>41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</row>
    <row r="286" spans="1:41" ht="14.25" x14ac:dyDescent="0.2">
      <c r="A286" s="2">
        <v>130418</v>
      </c>
      <c r="B286" s="3" t="s">
        <v>78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</row>
    <row r="287" spans="1:41" ht="14.25" x14ac:dyDescent="0.2">
      <c r="A287" s="2">
        <v>13041801</v>
      </c>
      <c r="B287" s="3" t="s">
        <v>55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</row>
    <row r="288" spans="1:41" ht="14.25" x14ac:dyDescent="0.2">
      <c r="A288" s="2">
        <v>13041802</v>
      </c>
      <c r="B288" s="3" t="s">
        <v>61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</row>
    <row r="289" spans="1:41" ht="14.25" x14ac:dyDescent="0.2">
      <c r="A289" s="2">
        <v>13041803</v>
      </c>
      <c r="B289" s="3" t="s">
        <v>62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</row>
    <row r="290" spans="1:41" ht="14.25" x14ac:dyDescent="0.2">
      <c r="A290" s="2">
        <v>13041805</v>
      </c>
      <c r="B290" s="3" t="s">
        <v>39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</row>
    <row r="291" spans="1:41" ht="14.25" x14ac:dyDescent="0.2">
      <c r="A291" s="2">
        <v>13041806</v>
      </c>
      <c r="B291" s="3" t="s">
        <v>42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</row>
    <row r="292" spans="1:41" ht="14.25" x14ac:dyDescent="0.2">
      <c r="A292" s="2">
        <v>13041807</v>
      </c>
      <c r="B292" s="3" t="s">
        <v>43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</row>
    <row r="293" spans="1:41" ht="14.25" x14ac:dyDescent="0.2">
      <c r="A293" s="2">
        <v>13041813</v>
      </c>
      <c r="B293" s="3" t="s">
        <v>49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</row>
    <row r="294" spans="1:41" ht="14.25" x14ac:dyDescent="0.2">
      <c r="A294" s="2">
        <v>130419</v>
      </c>
      <c r="B294" s="3" t="s">
        <v>59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</row>
    <row r="295" spans="1:41" ht="14.25" x14ac:dyDescent="0.2">
      <c r="A295" s="2">
        <v>1305</v>
      </c>
      <c r="B295" s="3" t="s">
        <v>82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</row>
    <row r="296" spans="1:41" ht="14.25" x14ac:dyDescent="0.2">
      <c r="A296" s="2">
        <v>130501</v>
      </c>
      <c r="B296" s="3" t="s">
        <v>55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</row>
    <row r="297" spans="1:41" ht="14.25" x14ac:dyDescent="0.2">
      <c r="A297" s="2">
        <v>13050101</v>
      </c>
      <c r="B297" s="3" t="s">
        <v>56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</row>
    <row r="298" spans="1:41" ht="14.25" x14ac:dyDescent="0.2">
      <c r="A298" s="2">
        <v>1305010101</v>
      </c>
      <c r="B298" s="3" t="s">
        <v>57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</row>
    <row r="299" spans="1:41" ht="14.25" x14ac:dyDescent="0.2">
      <c r="A299" s="2">
        <v>1305010102</v>
      </c>
      <c r="B299" s="3" t="s">
        <v>58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</row>
    <row r="300" spans="1:41" ht="14.25" x14ac:dyDescent="0.2">
      <c r="A300" s="2">
        <v>1305010119</v>
      </c>
      <c r="B300" s="3" t="s">
        <v>59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</row>
    <row r="301" spans="1:41" ht="14.25" x14ac:dyDescent="0.2">
      <c r="A301" s="2">
        <v>13050109</v>
      </c>
      <c r="B301" s="3" t="s">
        <v>60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</row>
    <row r="302" spans="1:41" ht="14.25" x14ac:dyDescent="0.2">
      <c r="A302" s="2">
        <v>1305010901</v>
      </c>
      <c r="B302" s="3" t="s">
        <v>57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</row>
    <row r="303" spans="1:41" ht="14.25" x14ac:dyDescent="0.2">
      <c r="A303" s="2">
        <v>1305010919</v>
      </c>
      <c r="B303" s="3" t="s">
        <v>59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</row>
    <row r="304" spans="1:41" ht="14.25" x14ac:dyDescent="0.2">
      <c r="A304" s="2">
        <v>130502</v>
      </c>
      <c r="B304" s="3" t="s">
        <v>61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</row>
    <row r="305" spans="1:41" ht="14.25" x14ac:dyDescent="0.2">
      <c r="A305" s="2">
        <v>13050201</v>
      </c>
      <c r="B305" s="3" t="s">
        <v>57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</row>
    <row r="306" spans="1:41" ht="14.25" x14ac:dyDescent="0.2">
      <c r="A306" s="2">
        <v>13050202</v>
      </c>
      <c r="B306" s="3" t="s">
        <v>58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</row>
    <row r="307" spans="1:41" ht="14.25" x14ac:dyDescent="0.2">
      <c r="A307" s="2">
        <v>13050219</v>
      </c>
      <c r="B307" s="3" t="s">
        <v>59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</row>
    <row r="308" spans="1:41" ht="14.25" x14ac:dyDescent="0.2">
      <c r="A308" s="2">
        <v>130503</v>
      </c>
      <c r="B308" s="3" t="s">
        <v>62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</row>
    <row r="309" spans="1:41" ht="14.25" x14ac:dyDescent="0.2">
      <c r="A309" s="2">
        <v>13050303</v>
      </c>
      <c r="B309" s="3" t="s">
        <v>63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</row>
    <row r="310" spans="1:41" ht="14.25" x14ac:dyDescent="0.2">
      <c r="A310" s="2">
        <v>13050319</v>
      </c>
      <c r="B310" s="3" t="s">
        <v>64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</row>
    <row r="311" spans="1:41" ht="14.25" x14ac:dyDescent="0.2">
      <c r="A311" s="2">
        <v>130505</v>
      </c>
      <c r="B311" s="3" t="s">
        <v>39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</row>
    <row r="312" spans="1:41" ht="14.25" x14ac:dyDescent="0.2">
      <c r="A312" s="2">
        <v>13050503</v>
      </c>
      <c r="B312" s="3" t="s">
        <v>83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</row>
    <row r="313" spans="1:41" ht="14.25" x14ac:dyDescent="0.2">
      <c r="A313" s="2">
        <v>13050505</v>
      </c>
      <c r="B313" s="3" t="s">
        <v>66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</row>
    <row r="314" spans="1:41" ht="14.25" x14ac:dyDescent="0.2">
      <c r="A314" s="2">
        <v>13050506</v>
      </c>
      <c r="B314" s="3" t="s">
        <v>67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</row>
    <row r="315" spans="1:41" ht="14.25" x14ac:dyDescent="0.2">
      <c r="A315" s="2">
        <v>13050507</v>
      </c>
      <c r="B315" s="3" t="s">
        <v>68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</row>
    <row r="316" spans="1:41" ht="14.25" x14ac:dyDescent="0.2">
      <c r="A316" s="2">
        <v>13050508</v>
      </c>
      <c r="B316" s="3" t="s">
        <v>69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</row>
    <row r="317" spans="1:41" ht="14.25" x14ac:dyDescent="0.2">
      <c r="A317" s="2">
        <v>13050509</v>
      </c>
      <c r="B317" s="3" t="s">
        <v>70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</row>
    <row r="318" spans="1:41" ht="28.5" x14ac:dyDescent="0.2">
      <c r="A318" s="2">
        <v>13050510</v>
      </c>
      <c r="B318" s="4" t="s">
        <v>71</v>
      </c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</row>
    <row r="319" spans="1:41" ht="14.25" x14ac:dyDescent="0.2">
      <c r="A319" s="2">
        <v>13050511</v>
      </c>
      <c r="B319" s="3" t="s">
        <v>72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</row>
    <row r="320" spans="1:41" ht="14.25" x14ac:dyDescent="0.2">
      <c r="A320" s="2">
        <v>13050519</v>
      </c>
      <c r="B320" s="3" t="s">
        <v>41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</row>
    <row r="321" spans="1:41" ht="14.25" x14ac:dyDescent="0.2">
      <c r="A321" s="2">
        <v>130506</v>
      </c>
      <c r="B321" s="3" t="s">
        <v>42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</row>
    <row r="322" spans="1:41" ht="14.25" x14ac:dyDescent="0.2">
      <c r="A322" s="2">
        <v>13050608</v>
      </c>
      <c r="B322" s="3" t="s">
        <v>69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</row>
    <row r="323" spans="1:41" ht="14.25" x14ac:dyDescent="0.2">
      <c r="A323" s="2">
        <v>13050609</v>
      </c>
      <c r="B323" s="3" t="s">
        <v>70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</row>
    <row r="324" spans="1:41" ht="28.5" x14ac:dyDescent="0.2">
      <c r="A324" s="2">
        <v>13050610</v>
      </c>
      <c r="B324" s="4" t="s">
        <v>71</v>
      </c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</row>
    <row r="325" spans="1:41" ht="14.25" x14ac:dyDescent="0.2">
      <c r="A325" s="2">
        <v>13050611</v>
      </c>
      <c r="B325" s="3" t="s">
        <v>72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</row>
    <row r="326" spans="1:41" ht="14.25" x14ac:dyDescent="0.2">
      <c r="A326" s="2">
        <v>13050619</v>
      </c>
      <c r="B326" s="3" t="s">
        <v>41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</row>
    <row r="327" spans="1:41" ht="14.25" x14ac:dyDescent="0.2">
      <c r="A327" s="2">
        <v>130507</v>
      </c>
      <c r="B327" s="3" t="s">
        <v>43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</row>
    <row r="328" spans="1:41" ht="14.25" x14ac:dyDescent="0.2">
      <c r="A328" s="2">
        <v>13050708</v>
      </c>
      <c r="B328" s="3" t="s">
        <v>69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</row>
    <row r="329" spans="1:41" ht="14.25" x14ac:dyDescent="0.2">
      <c r="A329" s="2">
        <v>13050709</v>
      </c>
      <c r="B329" s="3" t="s">
        <v>70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</row>
    <row r="330" spans="1:41" ht="28.5" x14ac:dyDescent="0.2">
      <c r="A330" s="2">
        <v>13050710</v>
      </c>
      <c r="B330" s="4" t="s">
        <v>71</v>
      </c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</row>
    <row r="331" spans="1:41" ht="14.25" x14ac:dyDescent="0.2">
      <c r="A331" s="2">
        <v>13050711</v>
      </c>
      <c r="B331" s="3" t="s">
        <v>72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</row>
    <row r="332" spans="1:41" ht="14.25" x14ac:dyDescent="0.2">
      <c r="A332" s="2">
        <v>13050712</v>
      </c>
      <c r="B332" s="3" t="s">
        <v>47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</row>
    <row r="333" spans="1:41" ht="14.25" x14ac:dyDescent="0.2">
      <c r="A333" s="2">
        <v>13050719</v>
      </c>
      <c r="B333" s="3" t="s">
        <v>41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</row>
    <row r="334" spans="1:41" ht="28.5" x14ac:dyDescent="0.2">
      <c r="A334" s="2">
        <v>130510</v>
      </c>
      <c r="B334" s="4" t="s">
        <v>48</v>
      </c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</row>
    <row r="335" spans="1:41" ht="14.25" x14ac:dyDescent="0.2">
      <c r="A335" s="2">
        <v>13051001</v>
      </c>
      <c r="B335" s="3" t="s">
        <v>55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</row>
    <row r="336" spans="1:41" ht="14.25" x14ac:dyDescent="0.2">
      <c r="A336" s="2">
        <v>13051002</v>
      </c>
      <c r="B336" s="3" t="s">
        <v>61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</row>
    <row r="337" spans="1:41" ht="14.25" x14ac:dyDescent="0.2">
      <c r="A337" s="2">
        <v>13051003</v>
      </c>
      <c r="B337" s="3" t="s">
        <v>62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</row>
    <row r="338" spans="1:41" ht="14.25" x14ac:dyDescent="0.2">
      <c r="A338" s="2">
        <v>13051005</v>
      </c>
      <c r="B338" s="3" t="s">
        <v>39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</row>
    <row r="339" spans="1:41" ht="14.25" x14ac:dyDescent="0.2">
      <c r="A339" s="2">
        <v>13051006</v>
      </c>
      <c r="B339" s="3" t="s">
        <v>42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</row>
    <row r="340" spans="1:41" ht="14.25" x14ac:dyDescent="0.2">
      <c r="A340" s="2">
        <v>13051007</v>
      </c>
      <c r="B340" s="3" t="s">
        <v>43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</row>
    <row r="341" spans="1:41" ht="14.25" x14ac:dyDescent="0.2">
      <c r="A341" s="2">
        <v>13051013</v>
      </c>
      <c r="B341" s="3" t="s">
        <v>49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</row>
    <row r="342" spans="1:41" ht="28.5" x14ac:dyDescent="0.2">
      <c r="A342" s="2">
        <v>130511</v>
      </c>
      <c r="B342" s="4" t="s">
        <v>50</v>
      </c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</row>
    <row r="343" spans="1:41" ht="14.25" x14ac:dyDescent="0.2">
      <c r="A343" s="2">
        <v>13051101</v>
      </c>
      <c r="B343" s="3" t="s">
        <v>55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</row>
    <row r="344" spans="1:41" ht="14.25" x14ac:dyDescent="0.2">
      <c r="A344" s="2">
        <v>13051102</v>
      </c>
      <c r="B344" s="3" t="s">
        <v>61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</row>
    <row r="345" spans="1:41" ht="14.25" x14ac:dyDescent="0.2">
      <c r="A345" s="2">
        <v>13051103</v>
      </c>
      <c r="B345" s="3" t="s">
        <v>62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</row>
    <row r="346" spans="1:41" ht="14.25" x14ac:dyDescent="0.2">
      <c r="A346" s="2">
        <v>13051105</v>
      </c>
      <c r="B346" s="3" t="s">
        <v>39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</row>
    <row r="347" spans="1:41" ht="14.25" x14ac:dyDescent="0.2">
      <c r="A347" s="2">
        <v>13051106</v>
      </c>
      <c r="B347" s="3" t="s">
        <v>42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</row>
    <row r="348" spans="1:41" ht="14.25" x14ac:dyDescent="0.2">
      <c r="A348" s="2">
        <v>13051107</v>
      </c>
      <c r="B348" s="3" t="s">
        <v>43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</row>
    <row r="349" spans="1:41" ht="14.25" x14ac:dyDescent="0.2">
      <c r="A349" s="2">
        <v>13051113</v>
      </c>
      <c r="B349" s="3" t="s">
        <v>49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</row>
    <row r="350" spans="1:41" ht="28.5" x14ac:dyDescent="0.2">
      <c r="A350" s="2">
        <v>130512</v>
      </c>
      <c r="B350" s="4" t="s">
        <v>51</v>
      </c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</row>
    <row r="351" spans="1:41" ht="14.25" x14ac:dyDescent="0.2">
      <c r="A351" s="2">
        <v>13051201</v>
      </c>
      <c r="B351" s="3" t="s">
        <v>55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</row>
    <row r="352" spans="1:41" ht="14.25" x14ac:dyDescent="0.2">
      <c r="A352" s="2">
        <v>13051202</v>
      </c>
      <c r="B352" s="3" t="s">
        <v>61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</row>
    <row r="353" spans="1:41" ht="14.25" x14ac:dyDescent="0.2">
      <c r="A353" s="2">
        <v>13051203</v>
      </c>
      <c r="B353" s="3" t="s">
        <v>62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</row>
    <row r="354" spans="1:41" ht="14.25" x14ac:dyDescent="0.2">
      <c r="A354" s="2">
        <v>13051205</v>
      </c>
      <c r="B354" s="3" t="s">
        <v>39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</row>
    <row r="355" spans="1:41" ht="14.25" x14ac:dyDescent="0.2">
      <c r="A355" s="2">
        <v>13051206</v>
      </c>
      <c r="B355" s="3" t="s">
        <v>42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</row>
    <row r="356" spans="1:41" ht="14.25" x14ac:dyDescent="0.2">
      <c r="A356" s="2">
        <v>13051207</v>
      </c>
      <c r="B356" s="3" t="s">
        <v>43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</row>
    <row r="357" spans="1:41" ht="14.25" x14ac:dyDescent="0.2">
      <c r="A357" s="2">
        <v>13051213</v>
      </c>
      <c r="B357" s="3" t="s">
        <v>49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</row>
    <row r="358" spans="1:41" ht="14.25" x14ac:dyDescent="0.2">
      <c r="A358" s="2">
        <v>130513</v>
      </c>
      <c r="B358" s="3" t="s">
        <v>49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</row>
    <row r="359" spans="1:41" ht="28.5" x14ac:dyDescent="0.2">
      <c r="A359" s="2">
        <v>13051310</v>
      </c>
      <c r="B359" s="4" t="s">
        <v>71</v>
      </c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</row>
    <row r="360" spans="1:41" ht="14.25" x14ac:dyDescent="0.2">
      <c r="A360" s="2">
        <v>13051319</v>
      </c>
      <c r="B360" s="3" t="s">
        <v>41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</row>
    <row r="361" spans="1:41" ht="14.25" x14ac:dyDescent="0.2">
      <c r="A361" s="2">
        <v>130518</v>
      </c>
      <c r="B361" s="3" t="s">
        <v>78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</row>
    <row r="362" spans="1:41" ht="14.25" x14ac:dyDescent="0.2">
      <c r="A362" s="2">
        <v>13051801</v>
      </c>
      <c r="B362" s="3" t="s">
        <v>55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</row>
    <row r="363" spans="1:41" ht="14.25" x14ac:dyDescent="0.2">
      <c r="A363" s="2">
        <v>13051802</v>
      </c>
      <c r="B363" s="3" t="s">
        <v>61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</row>
    <row r="364" spans="1:41" ht="14.25" x14ac:dyDescent="0.2">
      <c r="A364" s="2">
        <v>13051803</v>
      </c>
      <c r="B364" s="3" t="s">
        <v>62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</row>
    <row r="365" spans="1:41" ht="14.25" x14ac:dyDescent="0.2">
      <c r="A365" s="2">
        <v>13051805</v>
      </c>
      <c r="B365" s="3" t="s">
        <v>39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</row>
    <row r="366" spans="1:41" ht="14.25" x14ac:dyDescent="0.2">
      <c r="A366" s="2">
        <v>13051806</v>
      </c>
      <c r="B366" s="3" t="s">
        <v>42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</row>
    <row r="367" spans="1:41" ht="14.25" x14ac:dyDescent="0.2">
      <c r="A367" s="2">
        <v>13051807</v>
      </c>
      <c r="B367" s="3" t="s">
        <v>43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</row>
    <row r="368" spans="1:41" ht="14.25" x14ac:dyDescent="0.2">
      <c r="A368" s="2">
        <v>13051813</v>
      </c>
      <c r="B368" s="3" t="s">
        <v>49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</row>
    <row r="369" spans="1:41" ht="14.25" x14ac:dyDescent="0.2">
      <c r="A369" s="2">
        <v>130519</v>
      </c>
      <c r="B369" s="3" t="s">
        <v>59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</row>
    <row r="370" spans="1:41" ht="14.25" x14ac:dyDescent="0.2">
      <c r="A370" s="2">
        <v>1306</v>
      </c>
      <c r="B370" s="3" t="s">
        <v>84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</row>
    <row r="371" spans="1:41" ht="28.5" x14ac:dyDescent="0.2">
      <c r="A371" s="2">
        <v>1308</v>
      </c>
      <c r="B371" s="4" t="s">
        <v>85</v>
      </c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</row>
    <row r="372" spans="1:41" ht="28.5" x14ac:dyDescent="0.2">
      <c r="A372" s="2">
        <v>130801</v>
      </c>
      <c r="B372" s="4" t="s">
        <v>86</v>
      </c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</row>
    <row r="373" spans="1:41" ht="14.25" x14ac:dyDescent="0.2">
      <c r="A373" s="2">
        <v>13080105</v>
      </c>
      <c r="B373" s="3" t="s">
        <v>39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</row>
    <row r="374" spans="1:41" ht="14.25" x14ac:dyDescent="0.2">
      <c r="A374" s="2">
        <v>13080106</v>
      </c>
      <c r="B374" s="3" t="s">
        <v>42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</row>
    <row r="375" spans="1:41" ht="14.25" x14ac:dyDescent="0.2">
      <c r="A375" s="2">
        <v>13080107</v>
      </c>
      <c r="B375" s="3" t="s">
        <v>43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</row>
    <row r="376" spans="1:41" ht="28.5" x14ac:dyDescent="0.2">
      <c r="A376" s="2">
        <v>13080110</v>
      </c>
      <c r="B376" s="4" t="s">
        <v>48</v>
      </c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</row>
    <row r="377" spans="1:41" ht="28.5" x14ac:dyDescent="0.2">
      <c r="A377" s="2">
        <v>13080111</v>
      </c>
      <c r="B377" s="4" t="s">
        <v>50</v>
      </c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</row>
    <row r="378" spans="1:41" ht="28.5" x14ac:dyDescent="0.2">
      <c r="A378" s="2">
        <v>13080112</v>
      </c>
      <c r="B378" s="4" t="s">
        <v>51</v>
      </c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</row>
    <row r="379" spans="1:41" ht="14.25" x14ac:dyDescent="0.2">
      <c r="A379" s="2">
        <v>13080113</v>
      </c>
      <c r="B379" s="3" t="s">
        <v>49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</row>
    <row r="380" spans="1:41" ht="14.25" x14ac:dyDescent="0.2">
      <c r="A380" s="2">
        <v>13080119</v>
      </c>
      <c r="B380" s="3" t="s">
        <v>59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</row>
    <row r="381" spans="1:41" ht="28.5" x14ac:dyDescent="0.2">
      <c r="A381" s="2">
        <v>130803</v>
      </c>
      <c r="B381" s="4" t="s">
        <v>87</v>
      </c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</row>
    <row r="382" spans="1:41" ht="14.25" x14ac:dyDescent="0.2">
      <c r="A382" s="2">
        <v>13080305</v>
      </c>
      <c r="B382" s="3" t="s">
        <v>39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</row>
    <row r="383" spans="1:41" ht="14.25" x14ac:dyDescent="0.2">
      <c r="A383" s="2">
        <v>13080306</v>
      </c>
      <c r="B383" s="3" t="s">
        <v>42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</row>
    <row r="384" spans="1:41" ht="14.25" x14ac:dyDescent="0.2">
      <c r="A384" s="2">
        <v>13080307</v>
      </c>
      <c r="B384" s="3" t="s">
        <v>43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</row>
    <row r="385" spans="1:41" ht="28.5" x14ac:dyDescent="0.2">
      <c r="A385" s="2">
        <v>13080310</v>
      </c>
      <c r="B385" s="4" t="s">
        <v>48</v>
      </c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</row>
    <row r="386" spans="1:41" ht="28.5" x14ac:dyDescent="0.2">
      <c r="A386" s="2">
        <v>13080311</v>
      </c>
      <c r="B386" s="4" t="s">
        <v>50</v>
      </c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</row>
    <row r="387" spans="1:41" ht="28.5" x14ac:dyDescent="0.2">
      <c r="A387" s="2">
        <v>13080312</v>
      </c>
      <c r="B387" s="4" t="s">
        <v>51</v>
      </c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</row>
    <row r="388" spans="1:41" ht="14.25" x14ac:dyDescent="0.2">
      <c r="A388" s="2">
        <v>13080313</v>
      </c>
      <c r="B388" s="3" t="s">
        <v>49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</row>
    <row r="389" spans="1:41" ht="14.25" x14ac:dyDescent="0.2">
      <c r="A389" s="2">
        <v>13080318</v>
      </c>
      <c r="B389" s="3" t="s">
        <v>78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</row>
    <row r="390" spans="1:41" ht="14.25" x14ac:dyDescent="0.2">
      <c r="A390" s="2">
        <v>13080319</v>
      </c>
      <c r="B390" s="3" t="s">
        <v>59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</row>
    <row r="391" spans="1:41" ht="28.5" x14ac:dyDescent="0.2">
      <c r="A391" s="2">
        <v>1309</v>
      </c>
      <c r="B391" s="4" t="s">
        <v>88</v>
      </c>
      <c r="C391" s="20">
        <f>+C392</f>
        <v>-12600</v>
      </c>
      <c r="D391" s="20">
        <f t="shared" ref="D391:AO391" si="14">+D392</f>
        <v>-12600</v>
      </c>
      <c r="E391" s="20">
        <f t="shared" si="14"/>
        <v>-12600</v>
      </c>
      <c r="F391" s="20">
        <f t="shared" si="14"/>
        <v>-12600</v>
      </c>
      <c r="G391" s="20">
        <f t="shared" si="14"/>
        <v>-12600</v>
      </c>
      <c r="H391" s="20">
        <f t="shared" si="14"/>
        <v>-12600</v>
      </c>
      <c r="I391" s="20">
        <f t="shared" si="14"/>
        <v>-12600</v>
      </c>
      <c r="J391" s="20">
        <f t="shared" si="14"/>
        <v>-12600</v>
      </c>
      <c r="K391" s="20">
        <f t="shared" si="14"/>
        <v>-418503.39</v>
      </c>
      <c r="L391" s="20">
        <f t="shared" si="14"/>
        <v>-418503.39</v>
      </c>
      <c r="M391" s="20">
        <f t="shared" si="14"/>
        <v>-418503.39</v>
      </c>
      <c r="N391" s="20">
        <f t="shared" si="14"/>
        <v>-418503.39</v>
      </c>
      <c r="O391" s="20">
        <f t="shared" si="14"/>
        <v>-418503.39</v>
      </c>
      <c r="P391" s="20">
        <f t="shared" si="14"/>
        <v>-418503.39</v>
      </c>
      <c r="Q391" s="20">
        <f t="shared" si="14"/>
        <v>-419253.39</v>
      </c>
      <c r="R391" s="20">
        <f t="shared" si="14"/>
        <v>-419253.39</v>
      </c>
      <c r="S391" s="20">
        <f t="shared" si="14"/>
        <v>-419253.39</v>
      </c>
      <c r="T391" s="20">
        <f t="shared" si="14"/>
        <v>-419253.39</v>
      </c>
      <c r="U391" s="20">
        <f t="shared" si="14"/>
        <v>-419253.39</v>
      </c>
      <c r="V391" s="20">
        <f t="shared" si="14"/>
        <v>-419253.39</v>
      </c>
      <c r="W391" s="20">
        <f t="shared" si="14"/>
        <v>-419253.39</v>
      </c>
      <c r="X391" s="20">
        <f t="shared" si="14"/>
        <v>-419253.39</v>
      </c>
      <c r="Y391" s="20">
        <f t="shared" si="14"/>
        <v>-419253.39</v>
      </c>
      <c r="Z391" s="20">
        <f t="shared" si="14"/>
        <v>-419253.39</v>
      </c>
      <c r="AA391" s="20">
        <f t="shared" si="14"/>
        <v>-419253.39</v>
      </c>
      <c r="AB391" s="20">
        <f t="shared" si="14"/>
        <v>-419253.39</v>
      </c>
      <c r="AC391" s="20">
        <f t="shared" si="14"/>
        <v>-419253.39</v>
      </c>
      <c r="AD391" s="20">
        <f t="shared" si="14"/>
        <v>-419253.39</v>
      </c>
      <c r="AE391" s="20">
        <f t="shared" si="14"/>
        <v>-419253.39</v>
      </c>
      <c r="AF391" s="20">
        <f t="shared" si="14"/>
        <v>-419253.39</v>
      </c>
      <c r="AG391" s="20">
        <f t="shared" si="14"/>
        <v>-419253.39</v>
      </c>
      <c r="AH391" s="20">
        <f t="shared" si="14"/>
        <v>-419253.39</v>
      </c>
      <c r="AI391" s="20">
        <f t="shared" si="14"/>
        <v>-419253.39</v>
      </c>
      <c r="AJ391" s="20">
        <f t="shared" si="14"/>
        <v>-419253.39</v>
      </c>
      <c r="AK391" s="20">
        <f t="shared" si="14"/>
        <v>-419253.39</v>
      </c>
      <c r="AL391" s="20">
        <f t="shared" si="14"/>
        <v>-419253.39</v>
      </c>
      <c r="AM391" s="20">
        <f t="shared" si="14"/>
        <v>-419253.39</v>
      </c>
      <c r="AN391" s="20">
        <f t="shared" si="14"/>
        <v>-419253.39</v>
      </c>
      <c r="AO391" s="20">
        <f t="shared" si="14"/>
        <v>-419253.39</v>
      </c>
    </row>
    <row r="392" spans="1:41" ht="28.5" x14ac:dyDescent="0.2">
      <c r="A392" s="2">
        <v>130903</v>
      </c>
      <c r="B392" s="4" t="s">
        <v>87</v>
      </c>
      <c r="C392" s="20">
        <f>+C419</f>
        <v>-12600</v>
      </c>
      <c r="D392" s="20">
        <f t="shared" ref="D392:AO392" si="15">+D419</f>
        <v>-12600</v>
      </c>
      <c r="E392" s="20">
        <f t="shared" si="15"/>
        <v>-12600</v>
      </c>
      <c r="F392" s="20">
        <f t="shared" si="15"/>
        <v>-12600</v>
      </c>
      <c r="G392" s="20">
        <f t="shared" si="15"/>
        <v>-12600</v>
      </c>
      <c r="H392" s="20">
        <f t="shared" si="15"/>
        <v>-12600</v>
      </c>
      <c r="I392" s="20">
        <f t="shared" si="15"/>
        <v>-12600</v>
      </c>
      <c r="J392" s="20">
        <f t="shared" si="15"/>
        <v>-12600</v>
      </c>
      <c r="K392" s="20">
        <f t="shared" si="15"/>
        <v>-418503.39</v>
      </c>
      <c r="L392" s="20">
        <f t="shared" si="15"/>
        <v>-418503.39</v>
      </c>
      <c r="M392" s="20">
        <f t="shared" si="15"/>
        <v>-418503.39</v>
      </c>
      <c r="N392" s="20">
        <f t="shared" si="15"/>
        <v>-418503.39</v>
      </c>
      <c r="O392" s="20">
        <f t="shared" si="15"/>
        <v>-418503.39</v>
      </c>
      <c r="P392" s="20">
        <f t="shared" si="15"/>
        <v>-418503.39</v>
      </c>
      <c r="Q392" s="20">
        <f t="shared" si="15"/>
        <v>-419253.39</v>
      </c>
      <c r="R392" s="20">
        <f t="shared" si="15"/>
        <v>-419253.39</v>
      </c>
      <c r="S392" s="20">
        <f t="shared" si="15"/>
        <v>-419253.39</v>
      </c>
      <c r="T392" s="20">
        <f t="shared" si="15"/>
        <v>-419253.39</v>
      </c>
      <c r="U392" s="20">
        <f t="shared" si="15"/>
        <v>-419253.39</v>
      </c>
      <c r="V392" s="20">
        <f t="shared" si="15"/>
        <v>-419253.39</v>
      </c>
      <c r="W392" s="20">
        <f t="shared" si="15"/>
        <v>-419253.39</v>
      </c>
      <c r="X392" s="20">
        <f t="shared" si="15"/>
        <v>-419253.39</v>
      </c>
      <c r="Y392" s="20">
        <f t="shared" si="15"/>
        <v>-419253.39</v>
      </c>
      <c r="Z392" s="20">
        <f t="shared" si="15"/>
        <v>-419253.39</v>
      </c>
      <c r="AA392" s="20">
        <f t="shared" si="15"/>
        <v>-419253.39</v>
      </c>
      <c r="AB392" s="20">
        <f t="shared" si="15"/>
        <v>-419253.39</v>
      </c>
      <c r="AC392" s="20">
        <f t="shared" si="15"/>
        <v>-419253.39</v>
      </c>
      <c r="AD392" s="20">
        <f t="shared" si="15"/>
        <v>-419253.39</v>
      </c>
      <c r="AE392" s="20">
        <f t="shared" si="15"/>
        <v>-419253.39</v>
      </c>
      <c r="AF392" s="20">
        <f t="shared" si="15"/>
        <v>-419253.39</v>
      </c>
      <c r="AG392" s="20">
        <f t="shared" si="15"/>
        <v>-419253.39</v>
      </c>
      <c r="AH392" s="20">
        <f t="shared" si="15"/>
        <v>-419253.39</v>
      </c>
      <c r="AI392" s="20">
        <f t="shared" si="15"/>
        <v>-419253.39</v>
      </c>
      <c r="AJ392" s="20">
        <f t="shared" si="15"/>
        <v>-419253.39</v>
      </c>
      <c r="AK392" s="20">
        <f t="shared" si="15"/>
        <v>-419253.39</v>
      </c>
      <c r="AL392" s="20">
        <f t="shared" si="15"/>
        <v>-419253.39</v>
      </c>
      <c r="AM392" s="20">
        <f t="shared" si="15"/>
        <v>-419253.39</v>
      </c>
      <c r="AN392" s="20">
        <f t="shared" si="15"/>
        <v>-419253.39</v>
      </c>
      <c r="AO392" s="20">
        <f t="shared" si="15"/>
        <v>-419253.39</v>
      </c>
    </row>
    <row r="393" spans="1:41" ht="14.25" x14ac:dyDescent="0.2">
      <c r="A393" s="2">
        <v>13090305</v>
      </c>
      <c r="B393" s="3" t="s">
        <v>39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</row>
    <row r="394" spans="1:41" ht="14.25" x14ac:dyDescent="0.2">
      <c r="A394" s="2">
        <v>1309030501</v>
      </c>
      <c r="B394" s="3" t="s">
        <v>40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</row>
    <row r="395" spans="1:41" ht="14.25" x14ac:dyDescent="0.2">
      <c r="A395" s="2">
        <v>1309030519</v>
      </c>
      <c r="B395" s="3" t="s">
        <v>41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</row>
    <row r="396" spans="1:41" ht="14.25" x14ac:dyDescent="0.2">
      <c r="A396" s="2">
        <v>13090306</v>
      </c>
      <c r="B396" s="3" t="s">
        <v>42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</row>
    <row r="397" spans="1:41" ht="14.25" x14ac:dyDescent="0.2">
      <c r="A397" s="2">
        <v>1309030601</v>
      </c>
      <c r="B397" s="3" t="s">
        <v>40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</row>
    <row r="398" spans="1:41" ht="14.25" x14ac:dyDescent="0.2">
      <c r="A398" s="2">
        <v>1309030619</v>
      </c>
      <c r="B398" s="3" t="s">
        <v>41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</row>
    <row r="399" spans="1:41" ht="14.25" x14ac:dyDescent="0.2">
      <c r="A399" s="2">
        <v>13090307</v>
      </c>
      <c r="B399" s="3" t="s">
        <v>43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</row>
    <row r="400" spans="1:41" ht="14.25" x14ac:dyDescent="0.2">
      <c r="A400" s="2">
        <v>1309030701</v>
      </c>
      <c r="B400" s="3" t="s">
        <v>40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</row>
    <row r="401" spans="1:41" ht="14.25" x14ac:dyDescent="0.2">
      <c r="A401" s="2">
        <v>1309030702</v>
      </c>
      <c r="B401" s="3" t="s">
        <v>44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</row>
    <row r="402" spans="1:41" ht="14.25" x14ac:dyDescent="0.2">
      <c r="A402" s="2">
        <v>1309030705</v>
      </c>
      <c r="B402" s="3" t="s">
        <v>45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</row>
    <row r="403" spans="1:41" ht="14.25" x14ac:dyDescent="0.2">
      <c r="A403" s="2">
        <v>1309030706</v>
      </c>
      <c r="B403" s="3" t="s">
        <v>46</v>
      </c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</row>
    <row r="404" spans="1:41" ht="14.25" x14ac:dyDescent="0.2">
      <c r="A404" s="2">
        <v>1309030712</v>
      </c>
      <c r="B404" s="3" t="s">
        <v>47</v>
      </c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</row>
    <row r="405" spans="1:41" ht="14.25" x14ac:dyDescent="0.2">
      <c r="A405" s="2">
        <v>1309030719</v>
      </c>
      <c r="B405" s="3" t="s">
        <v>41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</row>
    <row r="406" spans="1:41" ht="28.5" x14ac:dyDescent="0.2">
      <c r="A406" s="2">
        <v>13090310</v>
      </c>
      <c r="B406" s="4" t="s">
        <v>48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</row>
    <row r="407" spans="1:41" ht="14.25" x14ac:dyDescent="0.2">
      <c r="A407" s="2">
        <v>1309031005</v>
      </c>
      <c r="B407" s="3" t="s">
        <v>39</v>
      </c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</row>
    <row r="408" spans="1:41" ht="14.25" x14ac:dyDescent="0.2">
      <c r="A408" s="2">
        <v>1309031006</v>
      </c>
      <c r="B408" s="3" t="s">
        <v>42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</row>
    <row r="409" spans="1:41" ht="14.25" x14ac:dyDescent="0.2">
      <c r="A409" s="2">
        <v>1309031007</v>
      </c>
      <c r="B409" s="3" t="s">
        <v>43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</row>
    <row r="410" spans="1:41" ht="28.5" x14ac:dyDescent="0.2">
      <c r="A410" s="2">
        <v>13090311</v>
      </c>
      <c r="B410" s="4" t="s">
        <v>50</v>
      </c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</row>
    <row r="411" spans="1:41" ht="14.25" x14ac:dyDescent="0.2">
      <c r="A411" s="2">
        <v>1309031105</v>
      </c>
      <c r="B411" s="3" t="s">
        <v>39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</row>
    <row r="412" spans="1:41" ht="14.25" x14ac:dyDescent="0.2">
      <c r="A412" s="2">
        <v>1309031106</v>
      </c>
      <c r="B412" s="3" t="s">
        <v>42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</row>
    <row r="413" spans="1:41" ht="14.25" x14ac:dyDescent="0.2">
      <c r="A413" s="2">
        <v>1309031107</v>
      </c>
      <c r="B413" s="3" t="s">
        <v>43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</row>
    <row r="414" spans="1:41" ht="28.5" x14ac:dyDescent="0.2">
      <c r="A414" s="2">
        <v>13090312</v>
      </c>
      <c r="B414" s="4" t="s">
        <v>51</v>
      </c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</row>
    <row r="415" spans="1:41" ht="14.25" x14ac:dyDescent="0.2">
      <c r="A415" s="2">
        <v>1309031205</v>
      </c>
      <c r="B415" s="3" t="s">
        <v>39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</row>
    <row r="416" spans="1:41" ht="14.25" x14ac:dyDescent="0.2">
      <c r="A416" s="2">
        <v>1309031206</v>
      </c>
      <c r="B416" s="3" t="s">
        <v>42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</row>
    <row r="417" spans="1:41" ht="14.25" x14ac:dyDescent="0.2">
      <c r="A417" s="2">
        <v>1309031207</v>
      </c>
      <c r="B417" s="3" t="s">
        <v>43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</row>
    <row r="418" spans="1:41" ht="14.25" x14ac:dyDescent="0.2">
      <c r="A418" s="2">
        <v>13090313</v>
      </c>
      <c r="B418" s="3" t="s">
        <v>49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</row>
    <row r="419" spans="1:41" s="15" customFormat="1" ht="14.25" x14ac:dyDescent="0.2">
      <c r="A419" s="18" t="s">
        <v>1255</v>
      </c>
      <c r="B419" s="19" t="s">
        <v>1256</v>
      </c>
      <c r="C419" s="20">
        <v>-12600</v>
      </c>
      <c r="D419" s="20">
        <v>-12600</v>
      </c>
      <c r="E419" s="20">
        <v>-12600</v>
      </c>
      <c r="F419" s="20">
        <v>-12600</v>
      </c>
      <c r="G419" s="20">
        <v>-12600</v>
      </c>
      <c r="H419" s="20">
        <v>-12600</v>
      </c>
      <c r="I419" s="20">
        <v>-12600</v>
      </c>
      <c r="J419" s="20">
        <v>-12600</v>
      </c>
      <c r="K419" s="20">
        <v>-418503.39</v>
      </c>
      <c r="L419" s="20">
        <v>-418503.39</v>
      </c>
      <c r="M419" s="20">
        <v>-418503.39</v>
      </c>
      <c r="N419" s="20">
        <v>-418503.39</v>
      </c>
      <c r="O419" s="20">
        <v>-418503.39</v>
      </c>
      <c r="P419" s="20">
        <v>-418503.39</v>
      </c>
      <c r="Q419" s="20">
        <v>-419253.39</v>
      </c>
      <c r="R419" s="20">
        <v>-419253.39</v>
      </c>
      <c r="S419" s="20">
        <v>-419253.39</v>
      </c>
      <c r="T419" s="20">
        <v>-419253.39</v>
      </c>
      <c r="U419" s="20">
        <v>-419253.39</v>
      </c>
      <c r="V419" s="20">
        <v>-419253.39</v>
      </c>
      <c r="W419" s="20">
        <v>-419253.39</v>
      </c>
      <c r="X419" s="20">
        <v>-419253.39</v>
      </c>
      <c r="Y419" s="20">
        <v>-419253.39</v>
      </c>
      <c r="Z419" s="20">
        <v>-419253.39</v>
      </c>
      <c r="AA419" s="20">
        <v>-419253.39</v>
      </c>
      <c r="AB419" s="20">
        <v>-419253.39</v>
      </c>
      <c r="AC419" s="20">
        <v>-419253.39</v>
      </c>
      <c r="AD419" s="20">
        <v>-419253.39</v>
      </c>
      <c r="AE419" s="20">
        <v>-419253.39</v>
      </c>
      <c r="AF419" s="20">
        <v>-419253.39</v>
      </c>
      <c r="AG419" s="20">
        <v>-419253.39</v>
      </c>
      <c r="AH419" s="20">
        <v>-419253.39</v>
      </c>
      <c r="AI419" s="20">
        <v>-419253.39</v>
      </c>
      <c r="AJ419" s="20">
        <v>-419253.39</v>
      </c>
      <c r="AK419" s="20">
        <v>-419253.39</v>
      </c>
      <c r="AL419" s="20">
        <v>-419253.39</v>
      </c>
      <c r="AM419" s="20">
        <v>-419253.39</v>
      </c>
      <c r="AN419" s="20">
        <v>-419253.39</v>
      </c>
      <c r="AO419" s="20">
        <v>-419253.39</v>
      </c>
    </row>
    <row r="420" spans="1:41" ht="14.25" x14ac:dyDescent="0.2">
      <c r="A420" s="2">
        <v>13090318</v>
      </c>
      <c r="B420" s="3" t="s">
        <v>78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</row>
    <row r="421" spans="1:41" ht="14.25" x14ac:dyDescent="0.2">
      <c r="A421" s="2">
        <v>1309031805</v>
      </c>
      <c r="B421" s="3" t="s">
        <v>39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</row>
    <row r="422" spans="1:41" ht="14.25" x14ac:dyDescent="0.2">
      <c r="A422" s="2">
        <v>1309031806</v>
      </c>
      <c r="B422" s="3" t="s">
        <v>42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</row>
    <row r="423" spans="1:41" ht="14.25" x14ac:dyDescent="0.2">
      <c r="A423" s="2">
        <v>1309031807</v>
      </c>
      <c r="B423" s="3" t="s">
        <v>43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</row>
    <row r="424" spans="1:41" ht="14.25" x14ac:dyDescent="0.2">
      <c r="A424" s="2">
        <v>13090319</v>
      </c>
      <c r="B424" s="3" t="s">
        <v>59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</row>
    <row r="425" spans="1:41" ht="28.5" x14ac:dyDescent="0.2">
      <c r="A425" s="2">
        <v>130904</v>
      </c>
      <c r="B425" s="4" t="s">
        <v>89</v>
      </c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</row>
    <row r="426" spans="1:41" ht="14.25" x14ac:dyDescent="0.2">
      <c r="A426" s="2">
        <v>13090401</v>
      </c>
      <c r="B426" s="3" t="s">
        <v>55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</row>
    <row r="427" spans="1:41" ht="14.25" x14ac:dyDescent="0.2">
      <c r="A427" s="2">
        <v>1309040101</v>
      </c>
      <c r="B427" s="3" t="s">
        <v>56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</row>
    <row r="428" spans="1:41" ht="14.25" x14ac:dyDescent="0.2">
      <c r="A428" s="2">
        <v>1309040109</v>
      </c>
      <c r="B428" s="3" t="s">
        <v>60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</row>
    <row r="429" spans="1:41" ht="14.25" x14ac:dyDescent="0.2">
      <c r="A429" s="2">
        <v>13090402</v>
      </c>
      <c r="B429" s="3" t="s">
        <v>61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</row>
    <row r="430" spans="1:41" ht="14.25" x14ac:dyDescent="0.2">
      <c r="A430" s="2">
        <v>13090403</v>
      </c>
      <c r="B430" s="3" t="s">
        <v>62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</row>
    <row r="431" spans="1:41" ht="14.25" x14ac:dyDescent="0.2">
      <c r="A431" s="2">
        <v>13090405</v>
      </c>
      <c r="B431" s="3" t="s">
        <v>39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</row>
    <row r="432" spans="1:41" ht="14.25" x14ac:dyDescent="0.2">
      <c r="A432" s="2">
        <v>1309040503</v>
      </c>
      <c r="B432" s="3" t="s">
        <v>81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</row>
    <row r="433" spans="1:41" ht="14.25" x14ac:dyDescent="0.2">
      <c r="A433" s="2">
        <v>1309040505</v>
      </c>
      <c r="B433" s="3" t="s">
        <v>66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</row>
    <row r="434" spans="1:41" ht="14.25" x14ac:dyDescent="0.2">
      <c r="A434" s="2">
        <v>1309040506</v>
      </c>
      <c r="B434" s="3" t="s">
        <v>67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</row>
    <row r="435" spans="1:41" ht="14.25" x14ac:dyDescent="0.2">
      <c r="A435" s="2">
        <v>1309040507</v>
      </c>
      <c r="B435" s="3" t="s">
        <v>68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</row>
    <row r="436" spans="1:41" ht="14.25" x14ac:dyDescent="0.2">
      <c r="A436" s="2">
        <v>1309040508</v>
      </c>
      <c r="B436" s="3" t="s">
        <v>69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</row>
    <row r="437" spans="1:41" ht="14.25" x14ac:dyDescent="0.2">
      <c r="A437" s="2">
        <v>1309040509</v>
      </c>
      <c r="B437" s="3" t="s">
        <v>70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</row>
    <row r="438" spans="1:41" ht="28.5" x14ac:dyDescent="0.2">
      <c r="A438" s="2">
        <v>1309040510</v>
      </c>
      <c r="B438" s="4" t="s">
        <v>71</v>
      </c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</row>
    <row r="439" spans="1:41" ht="14.25" x14ac:dyDescent="0.2">
      <c r="A439" s="2">
        <v>1309040511</v>
      </c>
      <c r="B439" s="3" t="s">
        <v>72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</row>
    <row r="440" spans="1:41" ht="14.25" x14ac:dyDescent="0.2">
      <c r="A440" s="2">
        <v>1309040519</v>
      </c>
      <c r="B440" s="3" t="s">
        <v>41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</row>
    <row r="441" spans="1:41" ht="14.25" x14ac:dyDescent="0.2">
      <c r="A441" s="2">
        <v>13090406</v>
      </c>
      <c r="B441" s="3" t="s">
        <v>42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</row>
    <row r="442" spans="1:41" ht="14.25" x14ac:dyDescent="0.2">
      <c r="A442" s="2">
        <v>1309040608</v>
      </c>
      <c r="B442" s="3" t="s">
        <v>69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</row>
    <row r="443" spans="1:41" ht="14.25" x14ac:dyDescent="0.2">
      <c r="A443" s="2">
        <v>1309040609</v>
      </c>
      <c r="B443" s="3" t="s">
        <v>70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</row>
    <row r="444" spans="1:41" ht="28.5" x14ac:dyDescent="0.2">
      <c r="A444" s="2">
        <v>1309040610</v>
      </c>
      <c r="B444" s="4" t="s">
        <v>71</v>
      </c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</row>
    <row r="445" spans="1:41" ht="14.25" x14ac:dyDescent="0.2">
      <c r="A445" s="2">
        <v>1309040611</v>
      </c>
      <c r="B445" s="3" t="s">
        <v>72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</row>
    <row r="446" spans="1:41" ht="14.25" x14ac:dyDescent="0.2">
      <c r="A446" s="2">
        <v>1309040619</v>
      </c>
      <c r="B446" s="3" t="s">
        <v>41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</row>
    <row r="447" spans="1:41" ht="14.25" x14ac:dyDescent="0.2">
      <c r="A447" s="2">
        <v>13090407</v>
      </c>
      <c r="B447" s="3" t="s">
        <v>43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</row>
    <row r="448" spans="1:41" ht="14.25" x14ac:dyDescent="0.2">
      <c r="A448" s="2">
        <v>1309040708</v>
      </c>
      <c r="B448" s="3" t="s">
        <v>69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</row>
    <row r="449" spans="1:41" ht="14.25" x14ac:dyDescent="0.2">
      <c r="A449" s="2">
        <v>1309040709</v>
      </c>
      <c r="B449" s="3" t="s">
        <v>70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</row>
    <row r="450" spans="1:41" ht="14.25" x14ac:dyDescent="0.2">
      <c r="A450" s="2">
        <v>1309040710</v>
      </c>
      <c r="B450" s="3" t="s">
        <v>90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</row>
    <row r="451" spans="1:41" ht="14.25" x14ac:dyDescent="0.2">
      <c r="A451" s="2">
        <v>1309040711</v>
      </c>
      <c r="B451" s="3" t="s">
        <v>72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</row>
    <row r="452" spans="1:41" ht="14.25" x14ac:dyDescent="0.2">
      <c r="A452" s="2">
        <v>1309040712</v>
      </c>
      <c r="B452" s="3" t="s">
        <v>47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</row>
    <row r="453" spans="1:41" ht="14.25" x14ac:dyDescent="0.2">
      <c r="A453" s="2">
        <v>1309040714</v>
      </c>
      <c r="B453" s="3" t="s">
        <v>73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</row>
    <row r="454" spans="1:41" ht="14.25" x14ac:dyDescent="0.2">
      <c r="A454" s="2">
        <v>1309040715</v>
      </c>
      <c r="B454" s="3" t="s">
        <v>74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</row>
    <row r="455" spans="1:41" ht="14.25" x14ac:dyDescent="0.2">
      <c r="A455" s="2">
        <v>1309040719</v>
      </c>
      <c r="B455" s="3" t="s">
        <v>41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</row>
    <row r="456" spans="1:41" ht="28.5" x14ac:dyDescent="0.2">
      <c r="A456" s="2">
        <v>13090410</v>
      </c>
      <c r="B456" s="4" t="s">
        <v>48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</row>
    <row r="457" spans="1:41" ht="14.25" x14ac:dyDescent="0.2">
      <c r="A457" s="2">
        <v>1309041001</v>
      </c>
      <c r="B457" s="3" t="s">
        <v>55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</row>
    <row r="458" spans="1:41" ht="14.25" x14ac:dyDescent="0.2">
      <c r="A458" s="2">
        <v>1309041002</v>
      </c>
      <c r="B458" s="3" t="s">
        <v>61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</row>
    <row r="459" spans="1:41" ht="14.25" x14ac:dyDescent="0.2">
      <c r="A459" s="2">
        <v>1309041003</v>
      </c>
      <c r="B459" s="3" t="s">
        <v>62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</row>
    <row r="460" spans="1:41" ht="14.25" x14ac:dyDescent="0.2">
      <c r="A460" s="2">
        <v>1309041005</v>
      </c>
      <c r="B460" s="3" t="s">
        <v>39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</row>
    <row r="461" spans="1:41" ht="14.25" x14ac:dyDescent="0.2">
      <c r="A461" s="2">
        <v>1309041006</v>
      </c>
      <c r="B461" s="3" t="s">
        <v>42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</row>
    <row r="462" spans="1:41" ht="14.25" x14ac:dyDescent="0.2">
      <c r="A462" s="2">
        <v>1309041007</v>
      </c>
      <c r="B462" s="3" t="s">
        <v>43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</row>
    <row r="463" spans="1:41" ht="28.5" x14ac:dyDescent="0.2">
      <c r="A463" s="2">
        <v>13090411</v>
      </c>
      <c r="B463" s="4" t="s">
        <v>50</v>
      </c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</row>
    <row r="464" spans="1:41" ht="14.25" x14ac:dyDescent="0.2">
      <c r="A464" s="2">
        <v>1309041101</v>
      </c>
      <c r="B464" s="3" t="s">
        <v>55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</row>
    <row r="465" spans="1:41" ht="14.25" x14ac:dyDescent="0.2">
      <c r="A465" s="2">
        <v>1309041102</v>
      </c>
      <c r="B465" s="3" t="s">
        <v>61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</row>
    <row r="466" spans="1:41" ht="14.25" x14ac:dyDescent="0.2">
      <c r="A466" s="2">
        <v>1309041103</v>
      </c>
      <c r="B466" s="3" t="s">
        <v>62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</row>
    <row r="467" spans="1:41" ht="14.25" x14ac:dyDescent="0.2">
      <c r="A467" s="2">
        <v>1309041105</v>
      </c>
      <c r="B467" s="3" t="s">
        <v>39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</row>
    <row r="468" spans="1:41" ht="14.25" x14ac:dyDescent="0.2">
      <c r="A468" s="2">
        <v>1309041106</v>
      </c>
      <c r="B468" s="3" t="s">
        <v>42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</row>
    <row r="469" spans="1:41" ht="14.25" x14ac:dyDescent="0.2">
      <c r="A469" s="2">
        <v>1309041107</v>
      </c>
      <c r="B469" s="3" t="s">
        <v>43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</row>
    <row r="470" spans="1:41" ht="28.5" x14ac:dyDescent="0.2">
      <c r="A470" s="2">
        <v>13090412</v>
      </c>
      <c r="B470" s="4" t="s">
        <v>51</v>
      </c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</row>
    <row r="471" spans="1:41" ht="14.25" x14ac:dyDescent="0.2">
      <c r="A471" s="2">
        <v>1309041201</v>
      </c>
      <c r="B471" s="3" t="s">
        <v>55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</row>
    <row r="472" spans="1:41" ht="14.25" x14ac:dyDescent="0.2">
      <c r="A472" s="2">
        <v>1309041202</v>
      </c>
      <c r="B472" s="3" t="s">
        <v>61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</row>
    <row r="473" spans="1:41" ht="14.25" x14ac:dyDescent="0.2">
      <c r="A473" s="2">
        <v>1309041203</v>
      </c>
      <c r="B473" s="3" t="s">
        <v>62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</row>
    <row r="474" spans="1:41" ht="14.25" x14ac:dyDescent="0.2">
      <c r="A474" s="2">
        <v>1309041205</v>
      </c>
      <c r="B474" s="3" t="s">
        <v>39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</row>
    <row r="475" spans="1:41" ht="14.25" x14ac:dyDescent="0.2">
      <c r="A475" s="2">
        <v>1309041206</v>
      </c>
      <c r="B475" s="3" t="s">
        <v>42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</row>
    <row r="476" spans="1:41" ht="14.25" x14ac:dyDescent="0.2">
      <c r="A476" s="2">
        <v>1309041207</v>
      </c>
      <c r="B476" s="3" t="s">
        <v>43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</row>
    <row r="477" spans="1:41" ht="14.25" x14ac:dyDescent="0.2">
      <c r="A477" s="2">
        <v>13090418</v>
      </c>
      <c r="B477" s="3" t="s">
        <v>78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</row>
    <row r="478" spans="1:41" ht="14.25" x14ac:dyDescent="0.2">
      <c r="A478" s="2">
        <v>1309041801</v>
      </c>
      <c r="B478" s="3" t="s">
        <v>55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</row>
    <row r="479" spans="1:41" ht="14.25" x14ac:dyDescent="0.2">
      <c r="A479" s="2">
        <v>1309041802</v>
      </c>
      <c r="B479" s="3" t="s">
        <v>61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</row>
    <row r="480" spans="1:41" ht="14.25" x14ac:dyDescent="0.2">
      <c r="A480" s="2">
        <v>1309041803</v>
      </c>
      <c r="B480" s="3" t="s">
        <v>62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</row>
    <row r="481" spans="1:41" ht="14.25" x14ac:dyDescent="0.2">
      <c r="A481" s="2">
        <v>1309041805</v>
      </c>
      <c r="B481" s="3" t="s">
        <v>39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</row>
    <row r="482" spans="1:41" ht="14.25" x14ac:dyDescent="0.2">
      <c r="A482" s="2">
        <v>1309041806</v>
      </c>
      <c r="B482" s="3" t="s">
        <v>42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</row>
    <row r="483" spans="1:41" ht="14.25" x14ac:dyDescent="0.2">
      <c r="A483" s="2">
        <v>1309041807</v>
      </c>
      <c r="B483" s="3" t="s">
        <v>43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</row>
    <row r="484" spans="1:41" ht="14.25" x14ac:dyDescent="0.2">
      <c r="A484" s="2">
        <v>13090419</v>
      </c>
      <c r="B484" s="3" t="s">
        <v>59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</row>
    <row r="485" spans="1:41" ht="14.25" x14ac:dyDescent="0.2">
      <c r="A485" s="2">
        <v>130905</v>
      </c>
      <c r="B485" s="3" t="s">
        <v>91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</row>
    <row r="486" spans="1:41" ht="14.25" x14ac:dyDescent="0.2">
      <c r="A486" s="2">
        <v>13090501</v>
      </c>
      <c r="B486" s="3" t="s">
        <v>55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</row>
    <row r="487" spans="1:41" ht="14.25" x14ac:dyDescent="0.2">
      <c r="A487" s="2">
        <v>1309050101</v>
      </c>
      <c r="B487" s="3" t="s">
        <v>56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</row>
    <row r="488" spans="1:41" ht="14.25" x14ac:dyDescent="0.2">
      <c r="A488" s="2">
        <v>1309050109</v>
      </c>
      <c r="B488" s="3" t="s">
        <v>60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</row>
    <row r="489" spans="1:41" ht="14.25" x14ac:dyDescent="0.2">
      <c r="A489" s="2">
        <v>13090502</v>
      </c>
      <c r="B489" s="3" t="s">
        <v>61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</row>
    <row r="490" spans="1:41" ht="14.25" x14ac:dyDescent="0.2">
      <c r="A490" s="2">
        <v>13090503</v>
      </c>
      <c r="B490" s="3" t="s">
        <v>62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</row>
    <row r="491" spans="1:41" ht="14.25" x14ac:dyDescent="0.2">
      <c r="A491" s="2">
        <v>13090505</v>
      </c>
      <c r="B491" s="3" t="s">
        <v>39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</row>
    <row r="492" spans="1:41" ht="14.25" x14ac:dyDescent="0.2">
      <c r="A492" s="2">
        <v>1309050503</v>
      </c>
      <c r="B492" s="3" t="s">
        <v>81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</row>
    <row r="493" spans="1:41" ht="14.25" x14ac:dyDescent="0.2">
      <c r="A493" s="2">
        <v>1309050505</v>
      </c>
      <c r="B493" s="3" t="s">
        <v>66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</row>
    <row r="494" spans="1:41" ht="14.25" x14ac:dyDescent="0.2">
      <c r="A494" s="2">
        <v>1309050506</v>
      </c>
      <c r="B494" s="3" t="s">
        <v>67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</row>
    <row r="495" spans="1:41" ht="14.25" x14ac:dyDescent="0.2">
      <c r="A495" s="2">
        <v>1309050507</v>
      </c>
      <c r="B495" s="3" t="s">
        <v>68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</row>
    <row r="496" spans="1:41" ht="14.25" x14ac:dyDescent="0.2">
      <c r="A496" s="2">
        <v>1309050508</v>
      </c>
      <c r="B496" s="3" t="s">
        <v>69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</row>
    <row r="497" spans="1:41" ht="14.25" x14ac:dyDescent="0.2">
      <c r="A497" s="2">
        <v>1309050509</v>
      </c>
      <c r="B497" s="3" t="s">
        <v>70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</row>
    <row r="498" spans="1:41" ht="28.5" x14ac:dyDescent="0.2">
      <c r="A498" s="2">
        <v>1309050510</v>
      </c>
      <c r="B498" s="4" t="s">
        <v>71</v>
      </c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</row>
    <row r="499" spans="1:41" ht="14.25" x14ac:dyDescent="0.2">
      <c r="A499" s="2">
        <v>1309050511</v>
      </c>
      <c r="B499" s="3" t="s">
        <v>72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</row>
    <row r="500" spans="1:41" ht="14.25" x14ac:dyDescent="0.2">
      <c r="A500" s="2">
        <v>1309050519</v>
      </c>
      <c r="B500" s="3" t="s">
        <v>41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</row>
    <row r="501" spans="1:41" ht="14.25" x14ac:dyDescent="0.2">
      <c r="A501" s="2">
        <v>13090506</v>
      </c>
      <c r="B501" s="3" t="s">
        <v>42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</row>
    <row r="502" spans="1:41" ht="14.25" x14ac:dyDescent="0.2">
      <c r="A502" s="2">
        <v>1309050608</v>
      </c>
      <c r="B502" s="3" t="s">
        <v>69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</row>
    <row r="503" spans="1:41" ht="14.25" x14ac:dyDescent="0.2">
      <c r="A503" s="2">
        <v>1309050609</v>
      </c>
      <c r="B503" s="3" t="s">
        <v>70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</row>
    <row r="504" spans="1:41" ht="28.5" x14ac:dyDescent="0.2">
      <c r="A504" s="2">
        <v>1309050610</v>
      </c>
      <c r="B504" s="4" t="s">
        <v>71</v>
      </c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</row>
    <row r="505" spans="1:41" ht="14.25" x14ac:dyDescent="0.2">
      <c r="A505" s="2">
        <v>1309050611</v>
      </c>
      <c r="B505" s="3" t="s">
        <v>72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</row>
    <row r="506" spans="1:41" ht="14.25" x14ac:dyDescent="0.2">
      <c r="A506" s="2">
        <v>1309050619</v>
      </c>
      <c r="B506" s="3" t="s">
        <v>41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</row>
    <row r="507" spans="1:41" ht="14.25" x14ac:dyDescent="0.2">
      <c r="A507" s="2">
        <v>13090507</v>
      </c>
      <c r="B507" s="3" t="s">
        <v>43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</row>
    <row r="508" spans="1:41" ht="14.25" x14ac:dyDescent="0.2">
      <c r="A508" s="2">
        <v>1309050708</v>
      </c>
      <c r="B508" s="3" t="s">
        <v>69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</row>
    <row r="509" spans="1:41" ht="14.25" x14ac:dyDescent="0.2">
      <c r="A509" s="2">
        <v>1309050709</v>
      </c>
      <c r="B509" s="3" t="s">
        <v>70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</row>
    <row r="510" spans="1:41" ht="14.25" x14ac:dyDescent="0.2">
      <c r="A510" s="2">
        <v>1309050710</v>
      </c>
      <c r="B510" s="3" t="s">
        <v>90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</row>
    <row r="511" spans="1:41" ht="14.25" x14ac:dyDescent="0.2">
      <c r="A511" s="2">
        <v>1309050711</v>
      </c>
      <c r="B511" s="3" t="s">
        <v>72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</row>
    <row r="512" spans="1:41" ht="14.25" x14ac:dyDescent="0.2">
      <c r="A512" s="2">
        <v>1309050712</v>
      </c>
      <c r="B512" s="3" t="s">
        <v>47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</row>
    <row r="513" spans="1:41" ht="14.25" x14ac:dyDescent="0.2">
      <c r="A513" s="2">
        <v>1309050719</v>
      </c>
      <c r="B513" s="3" t="s">
        <v>41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</row>
    <row r="514" spans="1:41" ht="28.5" x14ac:dyDescent="0.2">
      <c r="A514" s="2">
        <v>13090510</v>
      </c>
      <c r="B514" s="4" t="s">
        <v>48</v>
      </c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</row>
    <row r="515" spans="1:41" ht="14.25" x14ac:dyDescent="0.2">
      <c r="A515" s="2">
        <v>1309051001</v>
      </c>
      <c r="B515" s="3" t="s">
        <v>55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</row>
    <row r="516" spans="1:41" ht="14.25" x14ac:dyDescent="0.2">
      <c r="A516" s="2">
        <v>1309051002</v>
      </c>
      <c r="B516" s="3" t="s">
        <v>61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</row>
    <row r="517" spans="1:41" ht="14.25" x14ac:dyDescent="0.2">
      <c r="A517" s="2">
        <v>1309051003</v>
      </c>
      <c r="B517" s="3" t="s">
        <v>62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</row>
    <row r="518" spans="1:41" ht="14.25" x14ac:dyDescent="0.2">
      <c r="A518" s="2">
        <v>1309051005</v>
      </c>
      <c r="B518" s="3" t="s">
        <v>39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</row>
    <row r="519" spans="1:41" ht="14.25" x14ac:dyDescent="0.2">
      <c r="A519" s="2">
        <v>1309051006</v>
      </c>
      <c r="B519" s="3" t="s">
        <v>42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</row>
    <row r="520" spans="1:41" ht="14.25" x14ac:dyDescent="0.2">
      <c r="A520" s="2">
        <v>1309051007</v>
      </c>
      <c r="B520" s="3" t="s">
        <v>43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</row>
    <row r="521" spans="1:41" ht="28.5" x14ac:dyDescent="0.2">
      <c r="A521" s="2">
        <v>13090511</v>
      </c>
      <c r="B521" s="4" t="s">
        <v>50</v>
      </c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</row>
    <row r="522" spans="1:41" ht="14.25" x14ac:dyDescent="0.2">
      <c r="A522" s="2">
        <v>1309051101</v>
      </c>
      <c r="B522" s="3" t="s">
        <v>55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</row>
    <row r="523" spans="1:41" ht="14.25" x14ac:dyDescent="0.2">
      <c r="A523" s="2">
        <v>1309051102</v>
      </c>
      <c r="B523" s="3" t="s">
        <v>61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</row>
    <row r="524" spans="1:41" ht="14.25" x14ac:dyDescent="0.2">
      <c r="A524" s="2">
        <v>1309051103</v>
      </c>
      <c r="B524" s="3" t="s">
        <v>62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</row>
    <row r="525" spans="1:41" ht="14.25" x14ac:dyDescent="0.2">
      <c r="A525" s="2">
        <v>1309051105</v>
      </c>
      <c r="B525" s="3" t="s">
        <v>39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</row>
    <row r="526" spans="1:41" ht="14.25" x14ac:dyDescent="0.2">
      <c r="A526" s="2">
        <v>1309051106</v>
      </c>
      <c r="B526" s="3" t="s">
        <v>42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</row>
    <row r="527" spans="1:41" ht="14.25" x14ac:dyDescent="0.2">
      <c r="A527" s="2">
        <v>1309051107</v>
      </c>
      <c r="B527" s="3" t="s">
        <v>43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</row>
    <row r="528" spans="1:41" ht="28.5" x14ac:dyDescent="0.2">
      <c r="A528" s="2">
        <v>13090512</v>
      </c>
      <c r="B528" s="4" t="s">
        <v>51</v>
      </c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</row>
    <row r="529" spans="1:45" ht="14.25" x14ac:dyDescent="0.2">
      <c r="A529" s="2">
        <v>1309051201</v>
      </c>
      <c r="B529" s="3" t="s">
        <v>55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</row>
    <row r="530" spans="1:45" ht="14.25" x14ac:dyDescent="0.2">
      <c r="A530" s="2">
        <v>1309051202</v>
      </c>
      <c r="B530" s="3" t="s">
        <v>61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</row>
    <row r="531" spans="1:45" ht="14.25" x14ac:dyDescent="0.2">
      <c r="A531" s="2">
        <v>1309051203</v>
      </c>
      <c r="B531" s="3" t="s">
        <v>62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</row>
    <row r="532" spans="1:45" ht="14.25" x14ac:dyDescent="0.2">
      <c r="A532" s="2">
        <v>1309051205</v>
      </c>
      <c r="B532" s="3" t="s">
        <v>39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</row>
    <row r="533" spans="1:45" ht="14.25" x14ac:dyDescent="0.2">
      <c r="A533" s="2">
        <v>1309051206</v>
      </c>
      <c r="B533" s="3" t="s">
        <v>42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</row>
    <row r="534" spans="1:45" ht="14.25" x14ac:dyDescent="0.2">
      <c r="A534" s="2">
        <v>1309051207</v>
      </c>
      <c r="B534" s="3" t="s">
        <v>43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</row>
    <row r="535" spans="1:45" ht="14.25" x14ac:dyDescent="0.2">
      <c r="A535" s="2">
        <v>13090518</v>
      </c>
      <c r="B535" s="3" t="s">
        <v>78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</row>
    <row r="536" spans="1:45" ht="14.25" x14ac:dyDescent="0.2">
      <c r="A536" s="2">
        <v>1309051801</v>
      </c>
      <c r="B536" s="3" t="s">
        <v>55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</row>
    <row r="537" spans="1:45" ht="14.25" x14ac:dyDescent="0.2">
      <c r="A537" s="2">
        <v>1309051802</v>
      </c>
      <c r="B537" s="3" t="s">
        <v>61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</row>
    <row r="538" spans="1:45" ht="14.25" x14ac:dyDescent="0.2">
      <c r="A538" s="2">
        <v>1309051803</v>
      </c>
      <c r="B538" s="3" t="s">
        <v>62</v>
      </c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</row>
    <row r="539" spans="1:45" ht="14.25" x14ac:dyDescent="0.2">
      <c r="A539" s="2">
        <v>1309051805</v>
      </c>
      <c r="B539" s="3" t="s">
        <v>39</v>
      </c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</row>
    <row r="540" spans="1:45" ht="14.25" x14ac:dyDescent="0.2">
      <c r="A540" s="2">
        <v>1309051806</v>
      </c>
      <c r="B540" s="3" t="s">
        <v>42</v>
      </c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</row>
    <row r="541" spans="1:45" ht="14.25" x14ac:dyDescent="0.2">
      <c r="A541" s="2">
        <v>1309051807</v>
      </c>
      <c r="B541" s="3" t="s">
        <v>43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</row>
    <row r="542" spans="1:45" ht="14.25" x14ac:dyDescent="0.2">
      <c r="A542" s="2">
        <v>1309051809</v>
      </c>
      <c r="B542" s="3" t="s">
        <v>41</v>
      </c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</row>
    <row r="543" spans="1:45" ht="14.25" x14ac:dyDescent="0.2">
      <c r="A543" s="2">
        <v>13090519</v>
      </c>
      <c r="B543" s="3" t="s">
        <v>59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</row>
    <row r="544" spans="1:45" ht="14.25" x14ac:dyDescent="0.2">
      <c r="A544" s="2">
        <v>14</v>
      </c>
      <c r="B544" s="3" t="s">
        <v>92</v>
      </c>
      <c r="C544" s="20">
        <f>+C545+C809+C936+C1507+C1518</f>
        <v>57114645.960000001</v>
      </c>
      <c r="D544" s="20">
        <f t="shared" ref="D544:AO544" si="16">+D545+D809+D936+D1507+D1518</f>
        <v>54679770.07</v>
      </c>
      <c r="E544" s="20">
        <f t="shared" si="16"/>
        <v>53794938.109999999</v>
      </c>
      <c r="F544" s="20">
        <f t="shared" si="16"/>
        <v>57429966.490000002</v>
      </c>
      <c r="G544" s="20">
        <f t="shared" si="16"/>
        <v>59443786.110000007</v>
      </c>
      <c r="H544" s="20">
        <f t="shared" si="16"/>
        <v>60396063.769999996</v>
      </c>
      <c r="I544" s="20">
        <f t="shared" si="16"/>
        <v>62088256.780000016</v>
      </c>
      <c r="J544" s="20">
        <f t="shared" si="16"/>
        <v>65333521.269999996</v>
      </c>
      <c r="K544" s="20">
        <f t="shared" si="16"/>
        <v>66433285.710000008</v>
      </c>
      <c r="L544" s="20">
        <f t="shared" si="16"/>
        <v>66620659.770000011</v>
      </c>
      <c r="M544" s="20">
        <f t="shared" si="16"/>
        <v>66207696.950000003</v>
      </c>
      <c r="N544" s="20">
        <f t="shared" si="16"/>
        <v>64954059.25999999</v>
      </c>
      <c r="O544" s="20">
        <f t="shared" si="16"/>
        <v>63619473.020000003</v>
      </c>
      <c r="P544" s="20">
        <f t="shared" si="16"/>
        <v>55920890.650000006</v>
      </c>
      <c r="Q544" s="20">
        <f t="shared" si="16"/>
        <v>51887547.00999999</v>
      </c>
      <c r="R544" s="20">
        <f t="shared" si="16"/>
        <v>50435761.979999997</v>
      </c>
      <c r="S544" s="20">
        <f t="shared" si="16"/>
        <v>48110399.470000006</v>
      </c>
      <c r="T544" s="20">
        <f t="shared" si="16"/>
        <v>51678505.710000008</v>
      </c>
      <c r="U544" s="20">
        <f t="shared" si="16"/>
        <v>52076113.640000008</v>
      </c>
      <c r="V544" s="20">
        <f t="shared" si="16"/>
        <v>55312145.699999988</v>
      </c>
      <c r="W544" s="20">
        <f t="shared" si="16"/>
        <v>56719368.289999999</v>
      </c>
      <c r="X544" s="20">
        <f t="shared" si="16"/>
        <v>58731800.689999998</v>
      </c>
      <c r="Y544" s="20">
        <f t="shared" si="16"/>
        <v>60549367.540000014</v>
      </c>
      <c r="Z544" s="20">
        <f t="shared" si="16"/>
        <v>64898288.749999993</v>
      </c>
      <c r="AA544" s="20">
        <f t="shared" si="16"/>
        <v>63750467.579999998</v>
      </c>
      <c r="AB544" s="20">
        <f t="shared" si="16"/>
        <v>60875716.820000008</v>
      </c>
      <c r="AC544" s="20">
        <f t="shared" si="16"/>
        <v>60378977.890000001</v>
      </c>
      <c r="AD544" s="20">
        <f t="shared" si="16"/>
        <v>57739424.849999994</v>
      </c>
      <c r="AE544" s="20">
        <f t="shared" si="16"/>
        <v>55760765.639999993</v>
      </c>
      <c r="AF544" s="20">
        <f t="shared" si="16"/>
        <v>58161145.079999998</v>
      </c>
      <c r="AG544" s="20">
        <f t="shared" si="16"/>
        <v>57980698.079999998</v>
      </c>
      <c r="AH544" s="20">
        <f t="shared" si="16"/>
        <v>59340933.330000013</v>
      </c>
      <c r="AI544" s="20">
        <f t="shared" si="16"/>
        <v>60502380.150000006</v>
      </c>
      <c r="AJ544" s="20">
        <f t="shared" si="16"/>
        <v>62233900.129999995</v>
      </c>
      <c r="AK544" s="20">
        <f t="shared" si="16"/>
        <v>65188484.669999987</v>
      </c>
      <c r="AL544" s="20">
        <f t="shared" si="16"/>
        <v>69625312.519999996</v>
      </c>
      <c r="AM544" s="20">
        <f t="shared" si="16"/>
        <v>68116131.50999999</v>
      </c>
      <c r="AN544" s="20">
        <f t="shared" si="16"/>
        <v>66262497.36999999</v>
      </c>
      <c r="AO544" s="20">
        <f>+AO545+AO809+AO936+AO1507+AO1518</f>
        <v>65115212.129999995</v>
      </c>
      <c r="AS544" s="23"/>
    </row>
    <row r="545" spans="1:41" ht="14.25" x14ac:dyDescent="0.2">
      <c r="A545" s="2">
        <v>1401</v>
      </c>
      <c r="B545" s="3" t="s">
        <v>93</v>
      </c>
      <c r="C545" s="20">
        <f>+C581</f>
        <v>51678309</v>
      </c>
      <c r="D545" s="20">
        <f t="shared" ref="D545:AO545" si="17">+D581</f>
        <v>49027458.369999997</v>
      </c>
      <c r="E545" s="20">
        <f t="shared" si="17"/>
        <v>48887585.509999998</v>
      </c>
      <c r="F545" s="20">
        <f t="shared" si="17"/>
        <v>52220940.57</v>
      </c>
      <c r="G545" s="20">
        <f t="shared" si="17"/>
        <v>52681440.460000001</v>
      </c>
      <c r="H545" s="20">
        <f t="shared" si="17"/>
        <v>53639459.149999999</v>
      </c>
      <c r="I545" s="20">
        <f t="shared" si="17"/>
        <v>55104554.210000001</v>
      </c>
      <c r="J545" s="20">
        <f t="shared" si="17"/>
        <v>57886125.960000001</v>
      </c>
      <c r="K545" s="20">
        <f t="shared" si="17"/>
        <v>58760330.18</v>
      </c>
      <c r="L545" s="20">
        <f t="shared" si="17"/>
        <v>59017125.030000001</v>
      </c>
      <c r="M545" s="20">
        <f t="shared" si="17"/>
        <v>58328047.869999997</v>
      </c>
      <c r="N545" s="20">
        <f t="shared" si="17"/>
        <v>58174633.869999997</v>
      </c>
      <c r="O545" s="20">
        <f t="shared" si="17"/>
        <v>56398174.509999998</v>
      </c>
      <c r="P545" s="20">
        <f t="shared" si="17"/>
        <v>48610406.770000003</v>
      </c>
      <c r="Q545" s="20">
        <f t="shared" si="17"/>
        <v>45537653.18</v>
      </c>
      <c r="R545" s="20">
        <f t="shared" si="17"/>
        <v>44633381.509999998</v>
      </c>
      <c r="S545" s="20">
        <f t="shared" si="17"/>
        <v>41292592.710000001</v>
      </c>
      <c r="T545" s="20">
        <f t="shared" si="17"/>
        <v>45173762.700000003</v>
      </c>
      <c r="U545" s="20">
        <f t="shared" si="17"/>
        <v>45807535.990000002</v>
      </c>
      <c r="V545" s="20">
        <f t="shared" si="17"/>
        <v>48875092.329999998</v>
      </c>
      <c r="W545" s="20">
        <f t="shared" si="17"/>
        <v>50073284.390000001</v>
      </c>
      <c r="X545" s="20">
        <f t="shared" si="17"/>
        <v>52005916.609999999</v>
      </c>
      <c r="Y545" s="20">
        <f t="shared" si="17"/>
        <v>53611835.880000003</v>
      </c>
      <c r="Z545" s="20">
        <f t="shared" si="17"/>
        <v>58726150.920000002</v>
      </c>
      <c r="AA545" s="20">
        <f t="shared" si="17"/>
        <v>57590826.630000003</v>
      </c>
      <c r="AB545" s="20">
        <f t="shared" si="17"/>
        <v>55218665.609999999</v>
      </c>
      <c r="AC545" s="20">
        <f t="shared" si="17"/>
        <v>54738440.719999999</v>
      </c>
      <c r="AD545" s="20">
        <f t="shared" si="17"/>
        <v>52273848.210000001</v>
      </c>
      <c r="AE545" s="20">
        <f t="shared" si="17"/>
        <v>49449732.060000002</v>
      </c>
      <c r="AF545" s="20">
        <f t="shared" si="17"/>
        <v>51892470.859999999</v>
      </c>
      <c r="AG545" s="20">
        <f t="shared" si="17"/>
        <v>52254449.259999998</v>
      </c>
      <c r="AH545" s="20">
        <f t="shared" si="17"/>
        <v>53627196.880000003</v>
      </c>
      <c r="AI545" s="20">
        <f t="shared" si="17"/>
        <v>54892920.630000003</v>
      </c>
      <c r="AJ545" s="20">
        <f t="shared" si="17"/>
        <v>56714241.380000003</v>
      </c>
      <c r="AK545" s="20">
        <f t="shared" si="17"/>
        <v>59651520.159999996</v>
      </c>
      <c r="AL545" s="20">
        <f t="shared" si="17"/>
        <v>65164885.310000002</v>
      </c>
      <c r="AM545" s="20">
        <f t="shared" si="17"/>
        <v>63641776.090000004</v>
      </c>
      <c r="AN545" s="20">
        <f t="shared" si="17"/>
        <v>62400365.969999999</v>
      </c>
      <c r="AO545" s="20">
        <f>+AO581</f>
        <v>61412383.859999999</v>
      </c>
    </row>
    <row r="546" spans="1:41" ht="14.25" x14ac:dyDescent="0.2">
      <c r="A546" s="2">
        <v>140102</v>
      </c>
      <c r="B546" s="3" t="s">
        <v>94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</row>
    <row r="547" spans="1:41" x14ac:dyDescent="0.2">
      <c r="A547" s="5">
        <v>14010201</v>
      </c>
      <c r="B547" s="6" t="s">
        <v>95</v>
      </c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</row>
    <row r="548" spans="1:41" x14ac:dyDescent="0.2">
      <c r="A548" s="5">
        <v>14010202</v>
      </c>
      <c r="B548" s="6" t="s">
        <v>96</v>
      </c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</row>
    <row r="549" spans="1:41" ht="14.25" x14ac:dyDescent="0.2">
      <c r="A549" s="2">
        <v>14010203</v>
      </c>
      <c r="B549" s="3" t="s">
        <v>97</v>
      </c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</row>
    <row r="550" spans="1:41" ht="14.25" x14ac:dyDescent="0.2">
      <c r="A550" s="2">
        <v>1401020301</v>
      </c>
      <c r="B550" s="3" t="s">
        <v>98</v>
      </c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</row>
    <row r="551" spans="1:41" ht="14.25" x14ac:dyDescent="0.2">
      <c r="A551" s="2">
        <v>1401020302</v>
      </c>
      <c r="B551" s="3" t="s">
        <v>99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</row>
    <row r="552" spans="1:41" ht="14.25" x14ac:dyDescent="0.2">
      <c r="A552" s="2">
        <v>1401020303</v>
      </c>
      <c r="B552" s="3" t="s">
        <v>100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</row>
    <row r="553" spans="1:41" ht="14.25" x14ac:dyDescent="0.2">
      <c r="A553" s="2">
        <v>14010204</v>
      </c>
      <c r="B553" s="3" t="s">
        <v>101</v>
      </c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</row>
    <row r="554" spans="1:41" ht="14.25" x14ac:dyDescent="0.2">
      <c r="A554" s="2">
        <v>1401020401</v>
      </c>
      <c r="B554" s="3" t="s">
        <v>102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</row>
    <row r="555" spans="1:41" ht="14.25" x14ac:dyDescent="0.2">
      <c r="A555" s="2">
        <v>1401020402</v>
      </c>
      <c r="B555" s="3" t="s">
        <v>103</v>
      </c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</row>
    <row r="556" spans="1:41" ht="14.25" x14ac:dyDescent="0.2">
      <c r="A556" s="2">
        <v>1401020403</v>
      </c>
      <c r="B556" s="3" t="s">
        <v>104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</row>
    <row r="557" spans="1:41" ht="14.25" x14ac:dyDescent="0.2">
      <c r="A557" s="2">
        <v>1401020409</v>
      </c>
      <c r="B557" s="3" t="s">
        <v>105</v>
      </c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</row>
    <row r="558" spans="1:41" ht="14.25" x14ac:dyDescent="0.2">
      <c r="A558" s="2">
        <v>14010205</v>
      </c>
      <c r="B558" s="3" t="s">
        <v>106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</row>
    <row r="559" spans="1:41" ht="14.25" x14ac:dyDescent="0.2">
      <c r="A559" s="2">
        <v>1401020501</v>
      </c>
      <c r="B559" s="3" t="s">
        <v>107</v>
      </c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</row>
    <row r="560" spans="1:41" ht="14.25" x14ac:dyDescent="0.2">
      <c r="A560" s="2">
        <v>1401020502</v>
      </c>
      <c r="B560" s="3" t="s">
        <v>108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</row>
    <row r="561" spans="1:41" ht="14.25" x14ac:dyDescent="0.2">
      <c r="A561" s="2">
        <v>1401020503</v>
      </c>
      <c r="B561" s="3" t="s">
        <v>109</v>
      </c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</row>
    <row r="562" spans="1:41" ht="14.25" x14ac:dyDescent="0.2">
      <c r="A562" s="2">
        <v>1401020509</v>
      </c>
      <c r="B562" s="3" t="s">
        <v>110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</row>
    <row r="563" spans="1:41" ht="14.25" x14ac:dyDescent="0.2">
      <c r="A563" s="2">
        <v>14010206</v>
      </c>
      <c r="B563" s="3" t="s">
        <v>111</v>
      </c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</row>
    <row r="564" spans="1:41" ht="14.25" x14ac:dyDescent="0.2">
      <c r="A564" s="2">
        <v>14010207</v>
      </c>
      <c r="B564" s="3" t="s">
        <v>112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</row>
    <row r="565" spans="1:41" ht="14.25" x14ac:dyDescent="0.2">
      <c r="A565" s="2">
        <v>14010211</v>
      </c>
      <c r="B565" s="3" t="s">
        <v>113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</row>
    <row r="566" spans="1:41" ht="14.25" x14ac:dyDescent="0.2">
      <c r="A566" s="2">
        <v>14010212</v>
      </c>
      <c r="B566" s="3" t="s">
        <v>114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</row>
    <row r="567" spans="1:41" ht="14.25" x14ac:dyDescent="0.2">
      <c r="A567" s="2">
        <v>14010221</v>
      </c>
      <c r="B567" s="3" t="s">
        <v>115</v>
      </c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</row>
    <row r="568" spans="1:41" ht="14.25" x14ac:dyDescent="0.2">
      <c r="A568" s="2">
        <v>14010227</v>
      </c>
      <c r="B568" s="3" t="s">
        <v>116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</row>
    <row r="569" spans="1:41" ht="14.25" x14ac:dyDescent="0.2">
      <c r="A569" s="2">
        <v>14010299</v>
      </c>
      <c r="B569" s="3" t="s">
        <v>117</v>
      </c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</row>
    <row r="570" spans="1:41" ht="14.25" x14ac:dyDescent="0.2">
      <c r="A570" s="2">
        <v>1401029901</v>
      </c>
      <c r="B570" s="3" t="s">
        <v>118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</row>
    <row r="571" spans="1:41" ht="14.25" x14ac:dyDescent="0.2">
      <c r="A571" s="2">
        <v>1401029902</v>
      </c>
      <c r="B571" s="3" t="s">
        <v>119</v>
      </c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</row>
    <row r="572" spans="1:41" ht="14.25" x14ac:dyDescent="0.2">
      <c r="A572" s="2">
        <v>140103</v>
      </c>
      <c r="B572" s="3" t="s">
        <v>120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</row>
    <row r="573" spans="1:41" x14ac:dyDescent="0.2">
      <c r="A573" s="5">
        <v>14010301</v>
      </c>
      <c r="B573" s="6" t="s">
        <v>95</v>
      </c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</row>
    <row r="574" spans="1:41" x14ac:dyDescent="0.2">
      <c r="A574" s="5">
        <v>14010302</v>
      </c>
      <c r="B574" s="6" t="s">
        <v>96</v>
      </c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</row>
    <row r="575" spans="1:41" ht="14.25" x14ac:dyDescent="0.2">
      <c r="A575" s="2">
        <v>14010303</v>
      </c>
      <c r="B575" s="3" t="s">
        <v>97</v>
      </c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</row>
    <row r="576" spans="1:41" ht="14.25" x14ac:dyDescent="0.2">
      <c r="A576" s="2">
        <v>1401030301</v>
      </c>
      <c r="B576" s="3" t="s">
        <v>98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</row>
    <row r="577" spans="1:41" ht="14.25" x14ac:dyDescent="0.2">
      <c r="A577" s="2">
        <v>1401030302</v>
      </c>
      <c r="B577" s="3" t="s">
        <v>99</v>
      </c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</row>
    <row r="578" spans="1:41" ht="14.25" x14ac:dyDescent="0.2">
      <c r="A578" s="2">
        <v>1401030303</v>
      </c>
      <c r="B578" s="3" t="s">
        <v>100</v>
      </c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</row>
    <row r="579" spans="1:41" ht="14.25" x14ac:dyDescent="0.2">
      <c r="A579" s="2">
        <v>14010306</v>
      </c>
      <c r="B579" s="3" t="s">
        <v>111</v>
      </c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</row>
    <row r="580" spans="1:41" ht="14.25" x14ac:dyDescent="0.2">
      <c r="A580" s="2">
        <v>1401030602</v>
      </c>
      <c r="B580" s="3" t="s">
        <v>121</v>
      </c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</row>
    <row r="581" spans="1:41" s="15" customFormat="1" ht="14.25" x14ac:dyDescent="0.2">
      <c r="A581" s="18" t="s">
        <v>1257</v>
      </c>
      <c r="B581" s="19" t="s">
        <v>1258</v>
      </c>
      <c r="C581" s="20">
        <v>51678309</v>
      </c>
      <c r="D581" s="20">
        <v>49027458.369999997</v>
      </c>
      <c r="E581" s="20">
        <v>48887585.509999998</v>
      </c>
      <c r="F581" s="20">
        <v>52220940.57</v>
      </c>
      <c r="G581" s="20">
        <v>52681440.460000001</v>
      </c>
      <c r="H581" s="20">
        <v>53639459.149999999</v>
      </c>
      <c r="I581" s="20">
        <v>55104554.210000001</v>
      </c>
      <c r="J581" s="20">
        <v>57886125.960000001</v>
      </c>
      <c r="K581" s="20">
        <v>58760330.18</v>
      </c>
      <c r="L581" s="20">
        <v>59017125.030000001</v>
      </c>
      <c r="M581" s="20">
        <v>58328047.869999997</v>
      </c>
      <c r="N581" s="20">
        <v>58174633.869999997</v>
      </c>
      <c r="O581" s="20">
        <v>56398174.509999998</v>
      </c>
      <c r="P581" s="20">
        <v>48610406.770000003</v>
      </c>
      <c r="Q581" s="20">
        <v>45537653.18</v>
      </c>
      <c r="R581" s="20">
        <v>44633381.509999998</v>
      </c>
      <c r="S581" s="20">
        <v>41292592.710000001</v>
      </c>
      <c r="T581" s="20">
        <v>45173762.700000003</v>
      </c>
      <c r="U581" s="20">
        <v>45807535.990000002</v>
      </c>
      <c r="V581" s="20">
        <v>48875092.329999998</v>
      </c>
      <c r="W581" s="20">
        <v>50073284.390000001</v>
      </c>
      <c r="X581" s="20">
        <v>52005916.609999999</v>
      </c>
      <c r="Y581" s="20">
        <v>53611835.880000003</v>
      </c>
      <c r="Z581" s="20">
        <v>58726150.920000002</v>
      </c>
      <c r="AA581" s="20">
        <v>57590826.630000003</v>
      </c>
      <c r="AB581" s="20">
        <v>55218665.609999999</v>
      </c>
      <c r="AC581" s="20">
        <v>54738440.719999999</v>
      </c>
      <c r="AD581" s="20">
        <v>52273848.210000001</v>
      </c>
      <c r="AE581" s="20">
        <v>49449732.060000002</v>
      </c>
      <c r="AF581" s="20">
        <v>51892470.859999999</v>
      </c>
      <c r="AG581" s="20">
        <v>52254449.259999998</v>
      </c>
      <c r="AH581" s="20">
        <v>53627196.880000003</v>
      </c>
      <c r="AI581" s="20">
        <v>54892920.630000003</v>
      </c>
      <c r="AJ581" s="20">
        <v>56714241.380000003</v>
      </c>
      <c r="AK581" s="20">
        <v>59651520.159999996</v>
      </c>
      <c r="AL581" s="20">
        <v>65164885.310000002</v>
      </c>
      <c r="AM581" s="20">
        <v>63641776.090000004</v>
      </c>
      <c r="AN581" s="20">
        <v>62400365.969999999</v>
      </c>
      <c r="AO581" s="20">
        <v>61412383.859999999</v>
      </c>
    </row>
    <row r="582" spans="1:41" ht="14.25" x14ac:dyDescent="0.2">
      <c r="A582" s="2">
        <v>1401030604</v>
      </c>
      <c r="B582" s="3" t="s">
        <v>123</v>
      </c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</row>
    <row r="583" spans="1:41" ht="14.25" x14ac:dyDescent="0.2">
      <c r="A583" s="2">
        <v>1401030605</v>
      </c>
      <c r="B583" s="3" t="s">
        <v>124</v>
      </c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</row>
    <row r="584" spans="1:41" ht="28.5" x14ac:dyDescent="0.2">
      <c r="A584" s="2">
        <v>1401030611</v>
      </c>
      <c r="B584" s="4" t="s">
        <v>125</v>
      </c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</row>
    <row r="585" spans="1:41" ht="28.5" x14ac:dyDescent="0.2">
      <c r="A585" s="2">
        <v>1401030612</v>
      </c>
      <c r="B585" s="4" t="s">
        <v>126</v>
      </c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</row>
    <row r="586" spans="1:41" ht="14.25" x14ac:dyDescent="0.2">
      <c r="A586" s="2">
        <v>14010307</v>
      </c>
      <c r="B586" s="3" t="s">
        <v>112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</row>
    <row r="587" spans="1:41" ht="14.25" x14ac:dyDescent="0.2">
      <c r="A587" s="2">
        <v>1401030701</v>
      </c>
      <c r="B587" s="3" t="s">
        <v>127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</row>
    <row r="588" spans="1:41" ht="14.25" x14ac:dyDescent="0.2">
      <c r="A588" s="2">
        <v>1401030702</v>
      </c>
      <c r="B588" s="3" t="s">
        <v>128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</row>
    <row r="589" spans="1:41" ht="14.25" x14ac:dyDescent="0.2">
      <c r="A589" s="2">
        <v>14010311</v>
      </c>
      <c r="B589" s="3" t="s">
        <v>113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</row>
    <row r="590" spans="1:41" ht="14.25" x14ac:dyDescent="0.2">
      <c r="A590" s="2">
        <v>14010312</v>
      </c>
      <c r="B590" s="3" t="s">
        <v>114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</row>
    <row r="591" spans="1:41" ht="14.25" x14ac:dyDescent="0.2">
      <c r="A591" s="2">
        <v>14010313</v>
      </c>
      <c r="B591" s="3" t="s">
        <v>129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</row>
    <row r="592" spans="1:41" ht="14.25" x14ac:dyDescent="0.2">
      <c r="A592" s="2">
        <v>14010399</v>
      </c>
      <c r="B592" s="3" t="s">
        <v>117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</row>
    <row r="593" spans="1:41" ht="14.25" x14ac:dyDescent="0.2">
      <c r="A593" s="2">
        <v>1401039901</v>
      </c>
      <c r="B593" s="3" t="s">
        <v>118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</row>
    <row r="594" spans="1:41" ht="14.25" x14ac:dyDescent="0.2">
      <c r="A594" s="2">
        <v>1401039902</v>
      </c>
      <c r="B594" s="3" t="s">
        <v>119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</row>
    <row r="595" spans="1:41" ht="14.25" x14ac:dyDescent="0.2">
      <c r="A595" s="2">
        <v>140104</v>
      </c>
      <c r="B595" s="3" t="s">
        <v>130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</row>
    <row r="596" spans="1:41" ht="14.25" x14ac:dyDescent="0.2">
      <c r="A596" s="2">
        <v>14010406</v>
      </c>
      <c r="B596" s="3" t="s">
        <v>131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</row>
    <row r="597" spans="1:41" ht="14.25" x14ac:dyDescent="0.2">
      <c r="A597" s="2">
        <v>1401040601</v>
      </c>
      <c r="B597" s="3" t="s">
        <v>132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</row>
    <row r="598" spans="1:41" ht="14.25" x14ac:dyDescent="0.2">
      <c r="A598" s="2">
        <v>1401040602</v>
      </c>
      <c r="B598" s="3" t="s">
        <v>133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</row>
    <row r="599" spans="1:41" ht="14.25" x14ac:dyDescent="0.2">
      <c r="A599" s="2">
        <v>14010423</v>
      </c>
      <c r="B599" s="3" t="s">
        <v>134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</row>
    <row r="600" spans="1:41" ht="28.5" x14ac:dyDescent="0.2">
      <c r="A600" s="2">
        <v>14010424</v>
      </c>
      <c r="B600" s="4" t="s">
        <v>135</v>
      </c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</row>
    <row r="601" spans="1:41" ht="28.5" x14ac:dyDescent="0.2">
      <c r="A601" s="2">
        <v>14010425</v>
      </c>
      <c r="B601" s="4" t="s">
        <v>136</v>
      </c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</row>
    <row r="602" spans="1:41" ht="14.25" x14ac:dyDescent="0.2">
      <c r="A602" s="2">
        <v>14010428</v>
      </c>
      <c r="B602" s="3" t="s">
        <v>137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</row>
    <row r="603" spans="1:41" ht="14.25" x14ac:dyDescent="0.2">
      <c r="A603" s="2">
        <v>14010499</v>
      </c>
      <c r="B603" s="3" t="s">
        <v>117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</row>
    <row r="604" spans="1:41" x14ac:dyDescent="0.2">
      <c r="A604" s="5">
        <v>140107</v>
      </c>
      <c r="B604" s="6" t="s">
        <v>138</v>
      </c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</row>
    <row r="605" spans="1:41" x14ac:dyDescent="0.2">
      <c r="A605" s="5">
        <v>14010701</v>
      </c>
      <c r="B605" s="6" t="s">
        <v>95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</row>
    <row r="606" spans="1:41" x14ac:dyDescent="0.2">
      <c r="A606" s="5">
        <v>14010702</v>
      </c>
      <c r="B606" s="6" t="s">
        <v>96</v>
      </c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</row>
    <row r="607" spans="1:41" x14ac:dyDescent="0.2">
      <c r="A607" s="5">
        <v>14010703</v>
      </c>
      <c r="B607" s="6" t="s">
        <v>139</v>
      </c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</row>
    <row r="608" spans="1:41" x14ac:dyDescent="0.2">
      <c r="A608" s="5">
        <v>14010704</v>
      </c>
      <c r="B608" s="6" t="s">
        <v>140</v>
      </c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</row>
    <row r="609" spans="1:41" x14ac:dyDescent="0.2">
      <c r="A609" s="5">
        <v>1401070401</v>
      </c>
      <c r="B609" s="6" t="s">
        <v>141</v>
      </c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</row>
    <row r="610" spans="1:41" x14ac:dyDescent="0.2">
      <c r="A610" s="5">
        <v>1401070402</v>
      </c>
      <c r="B610" s="6" t="s">
        <v>142</v>
      </c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</row>
    <row r="611" spans="1:41" x14ac:dyDescent="0.2">
      <c r="A611" s="5">
        <v>1401070403</v>
      </c>
      <c r="B611" s="6" t="s">
        <v>143</v>
      </c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</row>
    <row r="612" spans="1:41" x14ac:dyDescent="0.2">
      <c r="A612" s="5">
        <v>1401070409</v>
      </c>
      <c r="B612" s="6" t="s">
        <v>144</v>
      </c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</row>
    <row r="613" spans="1:41" x14ac:dyDescent="0.2">
      <c r="A613" s="5">
        <v>14010705</v>
      </c>
      <c r="B613" s="6" t="s">
        <v>145</v>
      </c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</row>
    <row r="614" spans="1:41" x14ac:dyDescent="0.2">
      <c r="A614" s="5">
        <v>1401070501</v>
      </c>
      <c r="B614" s="6" t="s">
        <v>146</v>
      </c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</row>
    <row r="615" spans="1:41" x14ac:dyDescent="0.2">
      <c r="A615" s="5">
        <v>1401070502</v>
      </c>
      <c r="B615" s="6" t="s">
        <v>147</v>
      </c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</row>
    <row r="616" spans="1:41" x14ac:dyDescent="0.2">
      <c r="A616" s="5">
        <v>1401070503</v>
      </c>
      <c r="B616" s="6" t="s">
        <v>148</v>
      </c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</row>
    <row r="617" spans="1:41" x14ac:dyDescent="0.2">
      <c r="A617" s="5">
        <v>1401070509</v>
      </c>
      <c r="B617" s="6" t="s">
        <v>149</v>
      </c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</row>
    <row r="618" spans="1:41" x14ac:dyDescent="0.2">
      <c r="A618" s="5">
        <v>14010706</v>
      </c>
      <c r="B618" s="6" t="s">
        <v>150</v>
      </c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</row>
    <row r="619" spans="1:41" x14ac:dyDescent="0.2">
      <c r="A619" s="5">
        <v>14010707</v>
      </c>
      <c r="B619" s="6" t="s">
        <v>151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</row>
    <row r="620" spans="1:41" x14ac:dyDescent="0.2">
      <c r="A620" s="5">
        <v>14010711</v>
      </c>
      <c r="B620" s="6" t="s">
        <v>152</v>
      </c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</row>
    <row r="621" spans="1:41" x14ac:dyDescent="0.2">
      <c r="A621" s="5">
        <v>14010712</v>
      </c>
      <c r="B621" s="6" t="s">
        <v>153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</row>
    <row r="622" spans="1:41" x14ac:dyDescent="0.2">
      <c r="A622" s="5">
        <v>14010721</v>
      </c>
      <c r="B622" s="6" t="s">
        <v>154</v>
      </c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</row>
    <row r="623" spans="1:41" x14ac:dyDescent="0.2">
      <c r="A623" s="5">
        <v>14010727</v>
      </c>
      <c r="B623" s="6" t="s">
        <v>155</v>
      </c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</row>
    <row r="624" spans="1:41" x14ac:dyDescent="0.2">
      <c r="A624" s="5">
        <v>14010799</v>
      </c>
      <c r="B624" s="6" t="s">
        <v>156</v>
      </c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</row>
    <row r="625" spans="1:41" x14ac:dyDescent="0.2">
      <c r="A625" s="5">
        <v>1401079901</v>
      </c>
      <c r="B625" s="6" t="s">
        <v>157</v>
      </c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</row>
    <row r="626" spans="1:41" x14ac:dyDescent="0.2">
      <c r="A626" s="5">
        <v>1401079902</v>
      </c>
      <c r="B626" s="6" t="s">
        <v>158</v>
      </c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</row>
    <row r="627" spans="1:41" ht="14.25" x14ac:dyDescent="0.2">
      <c r="A627" s="2">
        <v>140109</v>
      </c>
      <c r="B627" s="3" t="s">
        <v>159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</row>
    <row r="628" spans="1:41" ht="14.25" x14ac:dyDescent="0.2">
      <c r="A628" s="2">
        <v>14010906</v>
      </c>
      <c r="B628" s="3" t="s">
        <v>131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</row>
    <row r="629" spans="1:41" ht="14.25" x14ac:dyDescent="0.2">
      <c r="A629" s="2">
        <v>1401090611</v>
      </c>
      <c r="B629" s="3" t="s">
        <v>160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</row>
    <row r="630" spans="1:41" ht="14.25" x14ac:dyDescent="0.2">
      <c r="A630" s="2">
        <v>1401090612</v>
      </c>
      <c r="B630" s="3" t="s">
        <v>161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</row>
    <row r="631" spans="1:41" ht="14.25" x14ac:dyDescent="0.2">
      <c r="A631" s="2">
        <v>140110</v>
      </c>
      <c r="B631" s="3" t="s">
        <v>162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</row>
    <row r="632" spans="1:41" x14ac:dyDescent="0.2">
      <c r="A632" s="5">
        <v>14011001</v>
      </c>
      <c r="B632" s="6" t="s">
        <v>95</v>
      </c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</row>
    <row r="633" spans="1:41" x14ac:dyDescent="0.2">
      <c r="A633" s="5">
        <v>14011002</v>
      </c>
      <c r="B633" s="6" t="s">
        <v>96</v>
      </c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</row>
    <row r="634" spans="1:41" ht="14.25" x14ac:dyDescent="0.2">
      <c r="A634" s="2">
        <v>14011003</v>
      </c>
      <c r="B634" s="3" t="s">
        <v>97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</row>
    <row r="635" spans="1:41" ht="14.25" x14ac:dyDescent="0.2">
      <c r="A635" s="2">
        <v>14011004</v>
      </c>
      <c r="B635" s="3" t="s">
        <v>101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</row>
    <row r="636" spans="1:41" ht="14.25" x14ac:dyDescent="0.2">
      <c r="A636" s="2">
        <v>1401100401</v>
      </c>
      <c r="B636" s="3" t="s">
        <v>102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</row>
    <row r="637" spans="1:41" ht="14.25" x14ac:dyDescent="0.2">
      <c r="A637" s="2">
        <v>1401100402</v>
      </c>
      <c r="B637" s="3" t="s">
        <v>103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</row>
    <row r="638" spans="1:41" ht="14.25" x14ac:dyDescent="0.2">
      <c r="A638" s="2">
        <v>1401100403</v>
      </c>
      <c r="B638" s="3" t="s">
        <v>104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</row>
    <row r="639" spans="1:41" ht="14.25" x14ac:dyDescent="0.2">
      <c r="A639" s="2">
        <v>1401100409</v>
      </c>
      <c r="B639" s="3" t="s">
        <v>105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</row>
    <row r="640" spans="1:41" ht="14.25" x14ac:dyDescent="0.2">
      <c r="A640" s="2">
        <v>14011005</v>
      </c>
      <c r="B640" s="3" t="s">
        <v>106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</row>
    <row r="641" spans="1:41" ht="14.25" x14ac:dyDescent="0.2">
      <c r="A641" s="2">
        <v>1401100501</v>
      </c>
      <c r="B641" s="3" t="s">
        <v>107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</row>
    <row r="642" spans="1:41" ht="14.25" x14ac:dyDescent="0.2">
      <c r="A642" s="2">
        <v>1401100502</v>
      </c>
      <c r="B642" s="3" t="s">
        <v>163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</row>
    <row r="643" spans="1:41" ht="14.25" x14ac:dyDescent="0.2">
      <c r="A643" s="2">
        <v>1401100503</v>
      </c>
      <c r="B643" s="3" t="s">
        <v>164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</row>
    <row r="644" spans="1:41" ht="14.25" x14ac:dyDescent="0.2">
      <c r="A644" s="2">
        <v>1401100509</v>
      </c>
      <c r="B644" s="3" t="s">
        <v>165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</row>
    <row r="645" spans="1:41" ht="14.25" x14ac:dyDescent="0.2">
      <c r="A645" s="2">
        <v>14011006</v>
      </c>
      <c r="B645" s="3" t="s">
        <v>111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</row>
    <row r="646" spans="1:41" ht="14.25" x14ac:dyDescent="0.2">
      <c r="A646" s="2">
        <v>14011007</v>
      </c>
      <c r="B646" s="3" t="s">
        <v>112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</row>
    <row r="647" spans="1:41" ht="14.25" x14ac:dyDescent="0.2">
      <c r="A647" s="2">
        <v>14011011</v>
      </c>
      <c r="B647" s="3" t="s">
        <v>113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</row>
    <row r="648" spans="1:41" ht="14.25" x14ac:dyDescent="0.2">
      <c r="A648" s="2">
        <v>14011012</v>
      </c>
      <c r="B648" s="3" t="s">
        <v>114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</row>
    <row r="649" spans="1:41" ht="14.25" x14ac:dyDescent="0.2">
      <c r="A649" s="2">
        <v>14011021</v>
      </c>
      <c r="B649" s="3" t="s">
        <v>115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</row>
    <row r="650" spans="1:41" ht="14.25" x14ac:dyDescent="0.2">
      <c r="A650" s="2">
        <v>14011027</v>
      </c>
      <c r="B650" s="3" t="s">
        <v>166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</row>
    <row r="651" spans="1:41" x14ac:dyDescent="0.2">
      <c r="A651" s="5">
        <v>14011030</v>
      </c>
      <c r="B651" s="6" t="s">
        <v>167</v>
      </c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</row>
    <row r="652" spans="1:41" x14ac:dyDescent="0.2">
      <c r="A652" s="5">
        <v>14011031</v>
      </c>
      <c r="B652" s="6" t="s">
        <v>168</v>
      </c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</row>
    <row r="653" spans="1:41" x14ac:dyDescent="0.2">
      <c r="A653" s="5">
        <v>14011032</v>
      </c>
      <c r="B653" s="6" t="s">
        <v>169</v>
      </c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</row>
    <row r="654" spans="1:41" x14ac:dyDescent="0.2">
      <c r="A654" s="5">
        <v>14011033</v>
      </c>
      <c r="B654" s="6" t="s">
        <v>170</v>
      </c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</row>
    <row r="655" spans="1:41" x14ac:dyDescent="0.2">
      <c r="A655" s="5">
        <v>14011034</v>
      </c>
      <c r="B655" s="6" t="s">
        <v>171</v>
      </c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</row>
    <row r="656" spans="1:41" ht="14.25" x14ac:dyDescent="0.2">
      <c r="A656" s="2">
        <v>14011099</v>
      </c>
      <c r="B656" s="3" t="s">
        <v>117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</row>
    <row r="657" spans="1:41" ht="14.25" x14ac:dyDescent="0.2">
      <c r="A657" s="2">
        <v>1401109901</v>
      </c>
      <c r="B657" s="3" t="s">
        <v>118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</row>
    <row r="658" spans="1:41" ht="14.25" x14ac:dyDescent="0.2">
      <c r="A658" s="2">
        <v>1401109902</v>
      </c>
      <c r="B658" s="3" t="s">
        <v>119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</row>
    <row r="659" spans="1:41" ht="14.25" x14ac:dyDescent="0.2">
      <c r="A659" s="2">
        <v>140111</v>
      </c>
      <c r="B659" s="3" t="s">
        <v>172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</row>
    <row r="660" spans="1:41" x14ac:dyDescent="0.2">
      <c r="A660" s="5">
        <v>14011101</v>
      </c>
      <c r="B660" s="6" t="s">
        <v>95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</row>
    <row r="661" spans="1:41" x14ac:dyDescent="0.2">
      <c r="A661" s="5">
        <v>14011102</v>
      </c>
      <c r="B661" s="6" t="s">
        <v>96</v>
      </c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</row>
    <row r="662" spans="1:41" ht="14.25" x14ac:dyDescent="0.2">
      <c r="A662" s="2">
        <v>14011103</v>
      </c>
      <c r="B662" s="3" t="s">
        <v>97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</row>
    <row r="663" spans="1:41" ht="14.25" x14ac:dyDescent="0.2">
      <c r="A663" s="2">
        <v>14011104</v>
      </c>
      <c r="B663" s="3" t="s">
        <v>101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</row>
    <row r="664" spans="1:41" ht="14.25" x14ac:dyDescent="0.2">
      <c r="A664" s="2">
        <v>1401110401</v>
      </c>
      <c r="B664" s="3" t="s">
        <v>102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</row>
    <row r="665" spans="1:41" ht="14.25" x14ac:dyDescent="0.2">
      <c r="A665" s="2">
        <v>1401110402</v>
      </c>
      <c r="B665" s="3" t="s">
        <v>103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</row>
    <row r="666" spans="1:41" ht="14.25" x14ac:dyDescent="0.2">
      <c r="A666" s="2">
        <v>1401110403</v>
      </c>
      <c r="B666" s="3" t="s">
        <v>104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</row>
    <row r="667" spans="1:41" ht="14.25" x14ac:dyDescent="0.2">
      <c r="A667" s="2">
        <v>1401110409</v>
      </c>
      <c r="B667" s="3" t="s">
        <v>105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</row>
    <row r="668" spans="1:41" ht="14.25" x14ac:dyDescent="0.2">
      <c r="A668" s="2">
        <v>14011105</v>
      </c>
      <c r="B668" s="3" t="s">
        <v>106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</row>
    <row r="669" spans="1:41" ht="14.25" x14ac:dyDescent="0.2">
      <c r="A669" s="2">
        <v>1401110501</v>
      </c>
      <c r="B669" s="3" t="s">
        <v>173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</row>
    <row r="670" spans="1:41" ht="14.25" x14ac:dyDescent="0.2">
      <c r="A670" s="2">
        <v>1401110502</v>
      </c>
      <c r="B670" s="3" t="s">
        <v>163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</row>
    <row r="671" spans="1:41" ht="14.25" x14ac:dyDescent="0.2">
      <c r="A671" s="2">
        <v>1401110503</v>
      </c>
      <c r="B671" s="3" t="s">
        <v>164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</row>
    <row r="672" spans="1:41" ht="14.25" x14ac:dyDescent="0.2">
      <c r="A672" s="2">
        <v>1401110509</v>
      </c>
      <c r="B672" s="3" t="s">
        <v>165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</row>
    <row r="673" spans="1:41" ht="14.25" x14ac:dyDescent="0.2">
      <c r="A673" s="2">
        <v>14011106</v>
      </c>
      <c r="B673" s="3" t="s">
        <v>111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</row>
    <row r="674" spans="1:41" ht="14.25" x14ac:dyDescent="0.2">
      <c r="A674" s="2">
        <v>14011107</v>
      </c>
      <c r="B674" s="3" t="s">
        <v>112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</row>
    <row r="675" spans="1:41" ht="14.25" x14ac:dyDescent="0.2">
      <c r="A675" s="2">
        <v>14011111</v>
      </c>
      <c r="B675" s="3" t="s">
        <v>113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</row>
    <row r="676" spans="1:41" ht="14.25" x14ac:dyDescent="0.2">
      <c r="A676" s="2">
        <v>14011112</v>
      </c>
      <c r="B676" s="3" t="s">
        <v>114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</row>
    <row r="677" spans="1:41" ht="14.25" x14ac:dyDescent="0.2">
      <c r="A677" s="2">
        <v>14011121</v>
      </c>
      <c r="B677" s="3" t="s">
        <v>115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</row>
    <row r="678" spans="1:41" ht="14.25" x14ac:dyDescent="0.2">
      <c r="A678" s="2">
        <v>14011127</v>
      </c>
      <c r="B678" s="3" t="s">
        <v>166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</row>
    <row r="679" spans="1:41" x14ac:dyDescent="0.2">
      <c r="A679" s="5">
        <v>14011130</v>
      </c>
      <c r="B679" s="6" t="s">
        <v>167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</row>
    <row r="680" spans="1:41" x14ac:dyDescent="0.2">
      <c r="A680" s="5">
        <v>14011131</v>
      </c>
      <c r="B680" s="6" t="s">
        <v>168</v>
      </c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</row>
    <row r="681" spans="1:41" x14ac:dyDescent="0.2">
      <c r="A681" s="5">
        <v>14011132</v>
      </c>
      <c r="B681" s="6" t="s">
        <v>169</v>
      </c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</row>
    <row r="682" spans="1:41" x14ac:dyDescent="0.2">
      <c r="A682" s="5">
        <v>14011133</v>
      </c>
      <c r="B682" s="6" t="s">
        <v>170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</row>
    <row r="683" spans="1:41" x14ac:dyDescent="0.2">
      <c r="A683" s="5">
        <v>14011134</v>
      </c>
      <c r="B683" s="6" t="s">
        <v>171</v>
      </c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</row>
    <row r="684" spans="1:41" ht="14.25" x14ac:dyDescent="0.2">
      <c r="A684" s="2">
        <v>14011199</v>
      </c>
      <c r="B684" s="3" t="s">
        <v>117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</row>
    <row r="685" spans="1:41" ht="14.25" x14ac:dyDescent="0.2">
      <c r="A685" s="2">
        <v>1401119901</v>
      </c>
      <c r="B685" s="3" t="s">
        <v>118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</row>
    <row r="686" spans="1:41" ht="14.25" x14ac:dyDescent="0.2">
      <c r="A686" s="2">
        <v>1401119902</v>
      </c>
      <c r="B686" s="3" t="s">
        <v>119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</row>
    <row r="687" spans="1:41" ht="14.25" x14ac:dyDescent="0.2">
      <c r="A687" s="2">
        <v>140112</v>
      </c>
      <c r="B687" s="3" t="s">
        <v>174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</row>
    <row r="688" spans="1:41" x14ac:dyDescent="0.2">
      <c r="A688" s="5">
        <v>14011201</v>
      </c>
      <c r="B688" s="6" t="s">
        <v>95</v>
      </c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</row>
    <row r="689" spans="1:41" x14ac:dyDescent="0.2">
      <c r="A689" s="5">
        <v>14011202</v>
      </c>
      <c r="B689" s="6" t="s">
        <v>96</v>
      </c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</row>
    <row r="690" spans="1:41" ht="14.25" x14ac:dyDescent="0.2">
      <c r="A690" s="2">
        <v>14011203</v>
      </c>
      <c r="B690" s="3" t="s">
        <v>97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</row>
    <row r="691" spans="1:41" ht="14.25" x14ac:dyDescent="0.2">
      <c r="A691" s="2">
        <v>14011204</v>
      </c>
      <c r="B691" s="3" t="s">
        <v>101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</row>
    <row r="692" spans="1:41" ht="14.25" x14ac:dyDescent="0.2">
      <c r="A692" s="2">
        <v>1401120401</v>
      </c>
      <c r="B692" s="3" t="s">
        <v>102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</row>
    <row r="693" spans="1:41" ht="14.25" x14ac:dyDescent="0.2">
      <c r="A693" s="2">
        <v>1401120402</v>
      </c>
      <c r="B693" s="3" t="s">
        <v>103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</row>
    <row r="694" spans="1:41" ht="14.25" x14ac:dyDescent="0.2">
      <c r="A694" s="2">
        <v>1401120403</v>
      </c>
      <c r="B694" s="3" t="s">
        <v>104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</row>
    <row r="695" spans="1:41" ht="14.25" x14ac:dyDescent="0.2">
      <c r="A695" s="2">
        <v>1401120409</v>
      </c>
      <c r="B695" s="3" t="s">
        <v>105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</row>
    <row r="696" spans="1:41" ht="14.25" x14ac:dyDescent="0.2">
      <c r="A696" s="2">
        <v>14011205</v>
      </c>
      <c r="B696" s="3" t="s">
        <v>106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</row>
    <row r="697" spans="1:41" ht="14.25" x14ac:dyDescent="0.2">
      <c r="A697" s="2">
        <v>1401120501</v>
      </c>
      <c r="B697" s="3" t="s">
        <v>173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</row>
    <row r="698" spans="1:41" ht="14.25" x14ac:dyDescent="0.2">
      <c r="A698" s="2">
        <v>1401120502</v>
      </c>
      <c r="B698" s="3" t="s">
        <v>163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</row>
    <row r="699" spans="1:41" ht="14.25" x14ac:dyDescent="0.2">
      <c r="A699" s="2">
        <v>1401120503</v>
      </c>
      <c r="B699" s="3" t="s">
        <v>164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</row>
    <row r="700" spans="1:41" ht="14.25" x14ac:dyDescent="0.2">
      <c r="A700" s="2">
        <v>1401120509</v>
      </c>
      <c r="B700" s="3" t="s">
        <v>165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</row>
    <row r="701" spans="1:41" ht="14.25" x14ac:dyDescent="0.2">
      <c r="A701" s="2">
        <v>14011206</v>
      </c>
      <c r="B701" s="3" t="s">
        <v>111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</row>
    <row r="702" spans="1:41" ht="14.25" x14ac:dyDescent="0.2">
      <c r="A702" s="2">
        <v>14011207</v>
      </c>
      <c r="B702" s="3" t="s">
        <v>112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</row>
    <row r="703" spans="1:41" ht="14.25" x14ac:dyDescent="0.2">
      <c r="A703" s="2">
        <v>14011211</v>
      </c>
      <c r="B703" s="3" t="s">
        <v>113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</row>
    <row r="704" spans="1:41" ht="14.25" x14ac:dyDescent="0.2">
      <c r="A704" s="2">
        <v>14011212</v>
      </c>
      <c r="B704" s="3" t="s">
        <v>114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</row>
    <row r="705" spans="1:41" ht="14.25" x14ac:dyDescent="0.2">
      <c r="A705" s="2">
        <v>14011221</v>
      </c>
      <c r="B705" s="3" t="s">
        <v>115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</row>
    <row r="706" spans="1:41" ht="14.25" x14ac:dyDescent="0.2">
      <c r="A706" s="2">
        <v>14011227</v>
      </c>
      <c r="B706" s="3" t="s">
        <v>166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</row>
    <row r="707" spans="1:41" x14ac:dyDescent="0.2">
      <c r="A707" s="5">
        <v>14011230</v>
      </c>
      <c r="B707" s="6" t="s">
        <v>167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</row>
    <row r="708" spans="1:41" x14ac:dyDescent="0.2">
      <c r="A708" s="5">
        <v>14011231</v>
      </c>
      <c r="B708" s="6" t="s">
        <v>168</v>
      </c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</row>
    <row r="709" spans="1:41" x14ac:dyDescent="0.2">
      <c r="A709" s="5">
        <v>14011232</v>
      </c>
      <c r="B709" s="6" t="s">
        <v>169</v>
      </c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</row>
    <row r="710" spans="1:41" x14ac:dyDescent="0.2">
      <c r="A710" s="5">
        <v>14011233</v>
      </c>
      <c r="B710" s="6" t="s">
        <v>170</v>
      </c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</row>
    <row r="711" spans="1:41" x14ac:dyDescent="0.2">
      <c r="A711" s="5">
        <v>14011234</v>
      </c>
      <c r="B711" s="6" t="s">
        <v>171</v>
      </c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</row>
    <row r="712" spans="1:41" ht="14.25" x14ac:dyDescent="0.2">
      <c r="A712" s="2">
        <v>14011299</v>
      </c>
      <c r="B712" s="3" t="s">
        <v>117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</row>
    <row r="713" spans="1:41" ht="14.25" x14ac:dyDescent="0.2">
      <c r="A713" s="2">
        <v>1401129901</v>
      </c>
      <c r="B713" s="3" t="s">
        <v>118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</row>
    <row r="714" spans="1:41" ht="14.25" x14ac:dyDescent="0.2">
      <c r="A714" s="2">
        <v>1401129902</v>
      </c>
      <c r="B714" s="3" t="s">
        <v>119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</row>
    <row r="715" spans="1:41" ht="14.25" x14ac:dyDescent="0.2">
      <c r="A715" s="2">
        <v>140113</v>
      </c>
      <c r="B715" s="3" t="s">
        <v>175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</row>
    <row r="716" spans="1:41" x14ac:dyDescent="0.2">
      <c r="A716" s="5">
        <v>14011301</v>
      </c>
      <c r="B716" s="6" t="s">
        <v>95</v>
      </c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</row>
    <row r="717" spans="1:41" x14ac:dyDescent="0.2">
      <c r="A717" s="5">
        <v>14011302</v>
      </c>
      <c r="B717" s="6" t="s">
        <v>96</v>
      </c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</row>
    <row r="718" spans="1:41" ht="14.25" x14ac:dyDescent="0.2">
      <c r="A718" s="2">
        <v>14011303</v>
      </c>
      <c r="B718" s="3" t="s">
        <v>97</v>
      </c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</row>
    <row r="719" spans="1:41" ht="14.25" x14ac:dyDescent="0.2">
      <c r="A719" s="2">
        <v>1401130301</v>
      </c>
      <c r="B719" s="3" t="s">
        <v>98</v>
      </c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</row>
    <row r="720" spans="1:41" ht="14.25" x14ac:dyDescent="0.2">
      <c r="A720" s="2">
        <v>1401130302</v>
      </c>
      <c r="B720" s="3" t="s">
        <v>99</v>
      </c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</row>
    <row r="721" spans="1:41" ht="14.25" x14ac:dyDescent="0.2">
      <c r="A721" s="2">
        <v>1401130303</v>
      </c>
      <c r="B721" s="3" t="s">
        <v>100</v>
      </c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</row>
    <row r="722" spans="1:41" ht="14.25" x14ac:dyDescent="0.2">
      <c r="A722" s="2">
        <v>14011304</v>
      </c>
      <c r="B722" s="3" t="s">
        <v>101</v>
      </c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</row>
    <row r="723" spans="1:41" ht="14.25" x14ac:dyDescent="0.2">
      <c r="A723" s="2">
        <v>1401130401</v>
      </c>
      <c r="B723" s="3" t="s">
        <v>102</v>
      </c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</row>
    <row r="724" spans="1:41" ht="14.25" x14ac:dyDescent="0.2">
      <c r="A724" s="2">
        <v>1401130402</v>
      </c>
      <c r="B724" s="3" t="s">
        <v>103</v>
      </c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</row>
    <row r="725" spans="1:41" ht="14.25" x14ac:dyDescent="0.2">
      <c r="A725" s="2">
        <v>1401130403</v>
      </c>
      <c r="B725" s="3" t="s">
        <v>104</v>
      </c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</row>
    <row r="726" spans="1:41" ht="14.25" x14ac:dyDescent="0.2">
      <c r="A726" s="2">
        <v>1401130409</v>
      </c>
      <c r="B726" s="3" t="s">
        <v>105</v>
      </c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</row>
    <row r="727" spans="1:41" ht="14.25" x14ac:dyDescent="0.2">
      <c r="A727" s="2">
        <v>14011305</v>
      </c>
      <c r="B727" s="3" t="s">
        <v>106</v>
      </c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</row>
    <row r="728" spans="1:41" ht="14.25" x14ac:dyDescent="0.2">
      <c r="A728" s="2">
        <v>1401130501</v>
      </c>
      <c r="B728" s="3" t="s">
        <v>173</v>
      </c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</row>
    <row r="729" spans="1:41" ht="14.25" x14ac:dyDescent="0.2">
      <c r="A729" s="2">
        <v>1401130502</v>
      </c>
      <c r="B729" s="3" t="s">
        <v>163</v>
      </c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</row>
    <row r="730" spans="1:41" ht="14.25" x14ac:dyDescent="0.2">
      <c r="A730" s="2">
        <v>1401130503</v>
      </c>
      <c r="B730" s="3" t="s">
        <v>164</v>
      </c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</row>
    <row r="731" spans="1:41" ht="14.25" x14ac:dyDescent="0.2">
      <c r="A731" s="2">
        <v>1401130509</v>
      </c>
      <c r="B731" s="3" t="s">
        <v>165</v>
      </c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</row>
    <row r="732" spans="1:41" ht="14.25" x14ac:dyDescent="0.2">
      <c r="A732" s="2">
        <v>14011306</v>
      </c>
      <c r="B732" s="3" t="s">
        <v>111</v>
      </c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</row>
    <row r="733" spans="1:41" ht="14.25" x14ac:dyDescent="0.2">
      <c r="A733" s="2">
        <v>14011307</v>
      </c>
      <c r="B733" s="3" t="s">
        <v>112</v>
      </c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</row>
    <row r="734" spans="1:41" ht="14.25" x14ac:dyDescent="0.2">
      <c r="A734" s="2">
        <v>14011311</v>
      </c>
      <c r="B734" s="3" t="s">
        <v>113</v>
      </c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</row>
    <row r="735" spans="1:41" ht="14.25" x14ac:dyDescent="0.2">
      <c r="A735" s="2">
        <v>14011312</v>
      </c>
      <c r="B735" s="3" t="s">
        <v>114</v>
      </c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</row>
    <row r="736" spans="1:41" ht="14.25" x14ac:dyDescent="0.2">
      <c r="A736" s="2">
        <v>14011321</v>
      </c>
      <c r="B736" s="3" t="s">
        <v>115</v>
      </c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</row>
    <row r="737" spans="1:41" ht="14.25" x14ac:dyDescent="0.2">
      <c r="A737" s="2">
        <v>14011327</v>
      </c>
      <c r="B737" s="3" t="s">
        <v>166</v>
      </c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</row>
    <row r="738" spans="1:41" ht="14.25" x14ac:dyDescent="0.2">
      <c r="A738" s="2">
        <v>14011399</v>
      </c>
      <c r="B738" s="3" t="s">
        <v>117</v>
      </c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</row>
    <row r="739" spans="1:41" ht="14.25" x14ac:dyDescent="0.2">
      <c r="A739" s="2">
        <v>1401139901</v>
      </c>
      <c r="B739" s="3" t="s">
        <v>118</v>
      </c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</row>
    <row r="740" spans="1:41" ht="14.25" x14ac:dyDescent="0.2">
      <c r="A740" s="2">
        <v>1401139902</v>
      </c>
      <c r="B740" s="3" t="s">
        <v>119</v>
      </c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</row>
    <row r="741" spans="1:41" ht="14.25" x14ac:dyDescent="0.2">
      <c r="A741" s="2">
        <v>1403</v>
      </c>
      <c r="B741" s="3" t="s">
        <v>176</v>
      </c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</row>
    <row r="742" spans="1:41" ht="14.25" x14ac:dyDescent="0.2">
      <c r="A742" s="2">
        <v>140302</v>
      </c>
      <c r="B742" s="3" t="s">
        <v>94</v>
      </c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</row>
    <row r="743" spans="1:41" ht="14.25" x14ac:dyDescent="0.2">
      <c r="A743" s="2">
        <v>14030206</v>
      </c>
      <c r="B743" s="3" t="s">
        <v>111</v>
      </c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</row>
    <row r="744" spans="1:41" ht="14.25" x14ac:dyDescent="0.2">
      <c r="A744" s="2">
        <v>14030207</v>
      </c>
      <c r="B744" s="3" t="s">
        <v>112</v>
      </c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</row>
    <row r="745" spans="1:41" ht="14.25" x14ac:dyDescent="0.2">
      <c r="A745" s="2">
        <v>14030211</v>
      </c>
      <c r="B745" s="3" t="s">
        <v>113</v>
      </c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</row>
    <row r="746" spans="1:41" ht="14.25" x14ac:dyDescent="0.2">
      <c r="A746" s="2">
        <v>14030212</v>
      </c>
      <c r="B746" s="3" t="s">
        <v>114</v>
      </c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</row>
    <row r="747" spans="1:41" ht="14.25" x14ac:dyDescent="0.2">
      <c r="A747" s="2">
        <v>14030227</v>
      </c>
      <c r="B747" s="3" t="s">
        <v>166</v>
      </c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</row>
    <row r="748" spans="1:41" ht="14.25" x14ac:dyDescent="0.2">
      <c r="A748" s="2">
        <v>14030299</v>
      </c>
      <c r="B748" s="3" t="s">
        <v>117</v>
      </c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</row>
    <row r="749" spans="1:41" ht="14.25" x14ac:dyDescent="0.2">
      <c r="A749" s="2">
        <v>1403029901</v>
      </c>
      <c r="B749" s="3" t="s">
        <v>118</v>
      </c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</row>
    <row r="750" spans="1:41" ht="14.25" x14ac:dyDescent="0.2">
      <c r="A750" s="2">
        <v>1403029902</v>
      </c>
      <c r="B750" s="3" t="s">
        <v>119</v>
      </c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</row>
    <row r="751" spans="1:41" x14ac:dyDescent="0.2">
      <c r="A751" s="5">
        <v>140307</v>
      </c>
      <c r="B751" s="6" t="s">
        <v>138</v>
      </c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</row>
    <row r="752" spans="1:41" x14ac:dyDescent="0.2">
      <c r="A752" s="5">
        <v>14030706</v>
      </c>
      <c r="B752" s="6" t="s">
        <v>150</v>
      </c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</row>
    <row r="753" spans="1:41" x14ac:dyDescent="0.2">
      <c r="A753" s="5">
        <v>14030707</v>
      </c>
      <c r="B753" s="6" t="s">
        <v>151</v>
      </c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</row>
    <row r="754" spans="1:41" x14ac:dyDescent="0.2">
      <c r="A754" s="5">
        <v>14030711</v>
      </c>
      <c r="B754" s="6" t="s">
        <v>152</v>
      </c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</row>
    <row r="755" spans="1:41" x14ac:dyDescent="0.2">
      <c r="A755" s="5">
        <v>14030712</v>
      </c>
      <c r="B755" s="6" t="s">
        <v>153</v>
      </c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</row>
    <row r="756" spans="1:41" x14ac:dyDescent="0.2">
      <c r="A756" s="5">
        <v>14030727</v>
      </c>
      <c r="B756" s="6" t="s">
        <v>177</v>
      </c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</row>
    <row r="757" spans="1:41" x14ac:dyDescent="0.2">
      <c r="A757" s="5">
        <v>14030799</v>
      </c>
      <c r="B757" s="6" t="s">
        <v>156</v>
      </c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</row>
    <row r="758" spans="1:41" ht="14.25" x14ac:dyDescent="0.2">
      <c r="A758" s="2">
        <v>140310</v>
      </c>
      <c r="B758" s="3" t="s">
        <v>162</v>
      </c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</row>
    <row r="759" spans="1:41" ht="14.25" x14ac:dyDescent="0.2">
      <c r="A759" s="2">
        <v>14031006</v>
      </c>
      <c r="B759" s="3" t="s">
        <v>111</v>
      </c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</row>
    <row r="760" spans="1:41" ht="14.25" x14ac:dyDescent="0.2">
      <c r="A760" s="2">
        <v>14031007</v>
      </c>
      <c r="B760" s="3" t="s">
        <v>112</v>
      </c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</row>
    <row r="761" spans="1:41" ht="14.25" x14ac:dyDescent="0.2">
      <c r="A761" s="2">
        <v>14031011</v>
      </c>
      <c r="B761" s="3" t="s">
        <v>113</v>
      </c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</row>
    <row r="762" spans="1:41" ht="14.25" x14ac:dyDescent="0.2">
      <c r="A762" s="2">
        <v>14031012</v>
      </c>
      <c r="B762" s="3" t="s">
        <v>114</v>
      </c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</row>
    <row r="763" spans="1:41" ht="14.25" x14ac:dyDescent="0.2">
      <c r="A763" s="2">
        <v>14031027</v>
      </c>
      <c r="B763" s="3" t="s">
        <v>166</v>
      </c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</row>
    <row r="764" spans="1:41" x14ac:dyDescent="0.2">
      <c r="A764" s="5">
        <v>14031030</v>
      </c>
      <c r="B764" s="6" t="s">
        <v>167</v>
      </c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</row>
    <row r="765" spans="1:41" x14ac:dyDescent="0.2">
      <c r="A765" s="5">
        <v>14031031</v>
      </c>
      <c r="B765" s="6" t="s">
        <v>168</v>
      </c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</row>
    <row r="766" spans="1:41" x14ac:dyDescent="0.2">
      <c r="A766" s="5">
        <v>14031032</v>
      </c>
      <c r="B766" s="6" t="s">
        <v>169</v>
      </c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</row>
    <row r="767" spans="1:41" x14ac:dyDescent="0.2">
      <c r="A767" s="5">
        <v>14031033</v>
      </c>
      <c r="B767" s="6" t="s">
        <v>170</v>
      </c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</row>
    <row r="768" spans="1:41" x14ac:dyDescent="0.2">
      <c r="A768" s="5">
        <v>14031034</v>
      </c>
      <c r="B768" s="6" t="s">
        <v>171</v>
      </c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</row>
    <row r="769" spans="1:41" ht="14.25" x14ac:dyDescent="0.2">
      <c r="A769" s="2">
        <v>14031099</v>
      </c>
      <c r="B769" s="3" t="s">
        <v>117</v>
      </c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</row>
    <row r="770" spans="1:41" ht="14.25" x14ac:dyDescent="0.2">
      <c r="A770" s="2">
        <v>1403109901</v>
      </c>
      <c r="B770" s="3" t="s">
        <v>118</v>
      </c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</row>
    <row r="771" spans="1:41" ht="14.25" x14ac:dyDescent="0.2">
      <c r="A771" s="2">
        <v>1403109902</v>
      </c>
      <c r="B771" s="3" t="s">
        <v>119</v>
      </c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</row>
    <row r="772" spans="1:41" ht="14.25" x14ac:dyDescent="0.2">
      <c r="A772" s="2">
        <v>140311</v>
      </c>
      <c r="B772" s="3" t="s">
        <v>172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</row>
    <row r="773" spans="1:41" ht="14.25" x14ac:dyDescent="0.2">
      <c r="A773" s="2">
        <v>14031106</v>
      </c>
      <c r="B773" s="3" t="s">
        <v>111</v>
      </c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</row>
    <row r="774" spans="1:41" ht="14.25" x14ac:dyDescent="0.2">
      <c r="A774" s="2">
        <v>14031107</v>
      </c>
      <c r="B774" s="3" t="s">
        <v>112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</row>
    <row r="775" spans="1:41" ht="14.25" x14ac:dyDescent="0.2">
      <c r="A775" s="2">
        <v>14031111</v>
      </c>
      <c r="B775" s="3" t="s">
        <v>113</v>
      </c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</row>
    <row r="776" spans="1:41" ht="14.25" x14ac:dyDescent="0.2">
      <c r="A776" s="2">
        <v>14031112</v>
      </c>
      <c r="B776" s="3" t="s">
        <v>114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</row>
    <row r="777" spans="1:41" ht="14.25" x14ac:dyDescent="0.2">
      <c r="A777" s="2">
        <v>14031127</v>
      </c>
      <c r="B777" s="3" t="s">
        <v>166</v>
      </c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</row>
    <row r="778" spans="1:41" x14ac:dyDescent="0.2">
      <c r="A778" s="5">
        <v>14031130</v>
      </c>
      <c r="B778" s="6" t="s">
        <v>167</v>
      </c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</row>
    <row r="779" spans="1:41" x14ac:dyDescent="0.2">
      <c r="A779" s="5">
        <v>14031131</v>
      </c>
      <c r="B779" s="6" t="s">
        <v>168</v>
      </c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</row>
    <row r="780" spans="1:41" x14ac:dyDescent="0.2">
      <c r="A780" s="5">
        <v>14031132</v>
      </c>
      <c r="B780" s="6" t="s">
        <v>169</v>
      </c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</row>
    <row r="781" spans="1:41" x14ac:dyDescent="0.2">
      <c r="A781" s="5">
        <v>14031133</v>
      </c>
      <c r="B781" s="6" t="s">
        <v>170</v>
      </c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</row>
    <row r="782" spans="1:41" x14ac:dyDescent="0.2">
      <c r="A782" s="5">
        <v>14031134</v>
      </c>
      <c r="B782" s="6" t="s">
        <v>171</v>
      </c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</row>
    <row r="783" spans="1:41" ht="14.25" x14ac:dyDescent="0.2">
      <c r="A783" s="2">
        <v>14031199</v>
      </c>
      <c r="B783" s="3" t="s">
        <v>117</v>
      </c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</row>
    <row r="784" spans="1:41" ht="14.25" x14ac:dyDescent="0.2">
      <c r="A784" s="2">
        <v>1403119901</v>
      </c>
      <c r="B784" s="3" t="s">
        <v>118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</row>
    <row r="785" spans="1:41" ht="14.25" x14ac:dyDescent="0.2">
      <c r="A785" s="2">
        <v>1403119902</v>
      </c>
      <c r="B785" s="3" t="s">
        <v>119</v>
      </c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</row>
    <row r="786" spans="1:41" ht="14.25" x14ac:dyDescent="0.2">
      <c r="A786" s="2">
        <v>140312</v>
      </c>
      <c r="B786" s="3" t="s">
        <v>174</v>
      </c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</row>
    <row r="787" spans="1:41" ht="14.25" x14ac:dyDescent="0.2">
      <c r="A787" s="2">
        <v>14031206</v>
      </c>
      <c r="B787" s="3" t="s">
        <v>111</v>
      </c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</row>
    <row r="788" spans="1:41" ht="14.25" x14ac:dyDescent="0.2">
      <c r="A788" s="2">
        <v>14031207</v>
      </c>
      <c r="B788" s="3" t="s">
        <v>112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</row>
    <row r="789" spans="1:41" ht="14.25" x14ac:dyDescent="0.2">
      <c r="A789" s="2">
        <v>14031211</v>
      </c>
      <c r="B789" s="3" t="s">
        <v>113</v>
      </c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</row>
    <row r="790" spans="1:41" ht="14.25" x14ac:dyDescent="0.2">
      <c r="A790" s="2">
        <v>14031212</v>
      </c>
      <c r="B790" s="3" t="s">
        <v>114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</row>
    <row r="791" spans="1:41" ht="14.25" x14ac:dyDescent="0.2">
      <c r="A791" s="2">
        <v>14031227</v>
      </c>
      <c r="B791" s="3" t="s">
        <v>166</v>
      </c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</row>
    <row r="792" spans="1:41" x14ac:dyDescent="0.2">
      <c r="A792" s="5">
        <v>14031230</v>
      </c>
      <c r="B792" s="6" t="s">
        <v>167</v>
      </c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</row>
    <row r="793" spans="1:41" x14ac:dyDescent="0.2">
      <c r="A793" s="5">
        <v>14031231</v>
      </c>
      <c r="B793" s="6" t="s">
        <v>168</v>
      </c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</row>
    <row r="794" spans="1:41" x14ac:dyDescent="0.2">
      <c r="A794" s="5">
        <v>14031232</v>
      </c>
      <c r="B794" s="6" t="s">
        <v>169</v>
      </c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</row>
    <row r="795" spans="1:41" x14ac:dyDescent="0.2">
      <c r="A795" s="5">
        <v>14031233</v>
      </c>
      <c r="B795" s="6" t="s">
        <v>170</v>
      </c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</row>
    <row r="796" spans="1:41" x14ac:dyDescent="0.2">
      <c r="A796" s="5">
        <v>14031234</v>
      </c>
      <c r="B796" s="6" t="s">
        <v>171</v>
      </c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</row>
    <row r="797" spans="1:41" ht="14.25" x14ac:dyDescent="0.2">
      <c r="A797" s="2">
        <v>14031299</v>
      </c>
      <c r="B797" s="3" t="s">
        <v>117</v>
      </c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</row>
    <row r="798" spans="1:41" ht="14.25" x14ac:dyDescent="0.2">
      <c r="A798" s="2">
        <v>1403129901</v>
      </c>
      <c r="B798" s="3" t="s">
        <v>118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</row>
    <row r="799" spans="1:41" ht="14.25" x14ac:dyDescent="0.2">
      <c r="A799" s="2">
        <v>1403129902</v>
      </c>
      <c r="B799" s="3" t="s">
        <v>119</v>
      </c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</row>
    <row r="800" spans="1:41" ht="14.25" x14ac:dyDescent="0.2">
      <c r="A800" s="2">
        <v>140313</v>
      </c>
      <c r="B800" s="3" t="s">
        <v>175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</row>
    <row r="801" spans="1:41" ht="14.25" x14ac:dyDescent="0.2">
      <c r="A801" s="2">
        <v>14031306</v>
      </c>
      <c r="B801" s="3" t="s">
        <v>111</v>
      </c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</row>
    <row r="802" spans="1:41" ht="14.25" x14ac:dyDescent="0.2">
      <c r="A802" s="2">
        <v>14031307</v>
      </c>
      <c r="B802" s="3" t="s">
        <v>112</v>
      </c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</row>
    <row r="803" spans="1:41" ht="14.25" x14ac:dyDescent="0.2">
      <c r="A803" s="2">
        <v>14031311</v>
      </c>
      <c r="B803" s="3" t="s">
        <v>113</v>
      </c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</row>
    <row r="804" spans="1:41" ht="14.25" x14ac:dyDescent="0.2">
      <c r="A804" s="2">
        <v>14031312</v>
      </c>
      <c r="B804" s="3" t="s">
        <v>114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</row>
    <row r="805" spans="1:41" ht="14.25" x14ac:dyDescent="0.2">
      <c r="A805" s="2">
        <v>14031327</v>
      </c>
      <c r="B805" s="3" t="s">
        <v>166</v>
      </c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</row>
    <row r="806" spans="1:41" ht="14.25" x14ac:dyDescent="0.2">
      <c r="A806" s="2">
        <v>14031399</v>
      </c>
      <c r="B806" s="3" t="s">
        <v>117</v>
      </c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</row>
    <row r="807" spans="1:41" ht="14.25" x14ac:dyDescent="0.2">
      <c r="A807" s="2">
        <v>1403139901</v>
      </c>
      <c r="B807" s="3" t="s">
        <v>118</v>
      </c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</row>
    <row r="808" spans="1:41" ht="14.25" x14ac:dyDescent="0.2">
      <c r="A808" s="2">
        <v>1403139902</v>
      </c>
      <c r="B808" s="3" t="s">
        <v>119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</row>
    <row r="809" spans="1:41" ht="14.25" x14ac:dyDescent="0.2">
      <c r="A809" s="2">
        <v>1404</v>
      </c>
      <c r="B809" s="3" t="s">
        <v>178</v>
      </c>
      <c r="C809" s="20">
        <f>+C839</f>
        <v>836148.61</v>
      </c>
      <c r="D809" s="20">
        <f t="shared" ref="D809:AO809" si="18">+D839</f>
        <v>933100.68</v>
      </c>
      <c r="E809" s="20">
        <f t="shared" si="18"/>
        <v>1086020.45</v>
      </c>
      <c r="F809" s="20">
        <f t="shared" si="18"/>
        <v>1126208.24</v>
      </c>
      <c r="G809" s="20">
        <f t="shared" si="18"/>
        <v>1264916.3799999999</v>
      </c>
      <c r="H809" s="20">
        <f t="shared" si="18"/>
        <v>1260036.81</v>
      </c>
      <c r="I809" s="20">
        <f t="shared" si="18"/>
        <v>1475970.27</v>
      </c>
      <c r="J809" s="20">
        <f t="shared" si="18"/>
        <v>1356798.89</v>
      </c>
      <c r="K809" s="20">
        <f t="shared" si="18"/>
        <v>1546017.63</v>
      </c>
      <c r="L809" s="20">
        <f t="shared" si="18"/>
        <v>1605290.78</v>
      </c>
      <c r="M809" s="20">
        <f t="shared" si="18"/>
        <v>1616535.74</v>
      </c>
      <c r="N809" s="20">
        <f t="shared" si="18"/>
        <v>1621944.44</v>
      </c>
      <c r="O809" s="20">
        <f t="shared" si="18"/>
        <v>1676740.85</v>
      </c>
      <c r="P809" s="20">
        <f t="shared" si="18"/>
        <v>1560386.6</v>
      </c>
      <c r="Q809" s="20">
        <f t="shared" si="18"/>
        <v>1680764.41</v>
      </c>
      <c r="R809" s="20">
        <f t="shared" si="18"/>
        <v>1727007.47</v>
      </c>
      <c r="S809" s="20">
        <f t="shared" si="18"/>
        <v>1643735.28</v>
      </c>
      <c r="T809" s="20">
        <f t="shared" si="18"/>
        <v>1651957.89</v>
      </c>
      <c r="U809" s="20">
        <f t="shared" si="18"/>
        <v>1513320.21</v>
      </c>
      <c r="V809" s="20">
        <f t="shared" si="18"/>
        <v>1564971.15</v>
      </c>
      <c r="W809" s="20">
        <f t="shared" si="18"/>
        <v>1577992.64</v>
      </c>
      <c r="X809" s="20">
        <f t="shared" si="18"/>
        <v>1594198.83</v>
      </c>
      <c r="Y809" s="20">
        <f t="shared" si="18"/>
        <v>1617445.49</v>
      </c>
      <c r="Z809" s="20">
        <f t="shared" si="18"/>
        <v>1544400.52</v>
      </c>
      <c r="AA809" s="20">
        <f t="shared" si="18"/>
        <v>1566805.76</v>
      </c>
      <c r="AB809" s="20">
        <f t="shared" si="18"/>
        <v>1614263.28</v>
      </c>
      <c r="AC809" s="20">
        <f t="shared" si="18"/>
        <v>1578773.74</v>
      </c>
      <c r="AD809" s="20">
        <f t="shared" si="18"/>
        <v>1524759.4</v>
      </c>
      <c r="AE809" s="20">
        <f t="shared" si="18"/>
        <v>1272196.1200000001</v>
      </c>
      <c r="AF809" s="20">
        <f t="shared" si="18"/>
        <v>1295711.98</v>
      </c>
      <c r="AG809" s="20">
        <f t="shared" si="18"/>
        <v>1223264.44</v>
      </c>
      <c r="AH809" s="20">
        <f t="shared" si="18"/>
        <v>1139517.3999999999</v>
      </c>
      <c r="AI809" s="20">
        <f t="shared" si="18"/>
        <v>1062400.03</v>
      </c>
      <c r="AJ809" s="20">
        <f t="shared" si="18"/>
        <v>1011430.23</v>
      </c>
      <c r="AK809" s="20">
        <f t="shared" si="18"/>
        <v>928852.38</v>
      </c>
      <c r="AL809" s="20">
        <f t="shared" si="18"/>
        <v>869332.67</v>
      </c>
      <c r="AM809" s="20">
        <f t="shared" si="18"/>
        <v>831849.27</v>
      </c>
      <c r="AN809" s="20">
        <f t="shared" si="18"/>
        <v>829929.66</v>
      </c>
      <c r="AO809" s="20">
        <f t="shared" si="18"/>
        <v>912886.93</v>
      </c>
    </row>
    <row r="810" spans="1:41" ht="14.25" x14ac:dyDescent="0.2">
      <c r="A810" s="2">
        <v>140402</v>
      </c>
      <c r="B810" s="3" t="s">
        <v>94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</row>
    <row r="811" spans="1:41" x14ac:dyDescent="0.2">
      <c r="A811" s="5">
        <v>14040201</v>
      </c>
      <c r="B811" s="6" t="s">
        <v>95</v>
      </c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</row>
    <row r="812" spans="1:41" x14ac:dyDescent="0.2">
      <c r="A812" s="5">
        <v>14040202</v>
      </c>
      <c r="B812" s="6" t="s">
        <v>96</v>
      </c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</row>
    <row r="813" spans="1:41" ht="14.25" x14ac:dyDescent="0.2">
      <c r="A813" s="2">
        <v>14040203</v>
      </c>
      <c r="B813" s="3" t="s">
        <v>97</v>
      </c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</row>
    <row r="814" spans="1:41" ht="14.25" x14ac:dyDescent="0.2">
      <c r="A814" s="2">
        <v>14040204</v>
      </c>
      <c r="B814" s="3" t="s">
        <v>101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</row>
    <row r="815" spans="1:41" ht="14.25" x14ac:dyDescent="0.2">
      <c r="A815" s="2">
        <v>14040205</v>
      </c>
      <c r="B815" s="3" t="s">
        <v>106</v>
      </c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</row>
    <row r="816" spans="1:41" ht="14.25" x14ac:dyDescent="0.2">
      <c r="A816" s="2">
        <v>14040206</v>
      </c>
      <c r="B816" s="3" t="s">
        <v>111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</row>
    <row r="817" spans="1:41" ht="14.25" x14ac:dyDescent="0.2">
      <c r="A817" s="2">
        <v>14040207</v>
      </c>
      <c r="B817" s="3" t="s">
        <v>112</v>
      </c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</row>
    <row r="818" spans="1:41" ht="14.25" x14ac:dyDescent="0.2">
      <c r="A818" s="2">
        <v>14040211</v>
      </c>
      <c r="B818" s="3" t="s">
        <v>113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</row>
    <row r="819" spans="1:41" ht="14.25" x14ac:dyDescent="0.2">
      <c r="A819" s="2">
        <v>14040212</v>
      </c>
      <c r="B819" s="3" t="s">
        <v>114</v>
      </c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</row>
    <row r="820" spans="1:41" ht="14.25" x14ac:dyDescent="0.2">
      <c r="A820" s="2">
        <v>14040227</v>
      </c>
      <c r="B820" s="3" t="s">
        <v>166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</row>
    <row r="821" spans="1:41" ht="14.25" x14ac:dyDescent="0.2">
      <c r="A821" s="2">
        <v>14040299</v>
      </c>
      <c r="B821" s="3" t="s">
        <v>117</v>
      </c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</row>
    <row r="822" spans="1:41" ht="14.25" x14ac:dyDescent="0.2">
      <c r="A822" s="2">
        <v>1404029901</v>
      </c>
      <c r="B822" s="3" t="s">
        <v>118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</row>
    <row r="823" spans="1:41" ht="14.25" x14ac:dyDescent="0.2">
      <c r="A823" s="2">
        <v>1404029902</v>
      </c>
      <c r="B823" s="3" t="s">
        <v>119</v>
      </c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</row>
    <row r="824" spans="1:41" ht="14.25" x14ac:dyDescent="0.2">
      <c r="A824" s="2">
        <v>140403</v>
      </c>
      <c r="B824" s="3" t="s">
        <v>120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</row>
    <row r="825" spans="1:41" x14ac:dyDescent="0.2">
      <c r="A825" s="5">
        <v>14040301</v>
      </c>
      <c r="B825" s="6" t="s">
        <v>95</v>
      </c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</row>
    <row r="826" spans="1:41" x14ac:dyDescent="0.2">
      <c r="A826" s="5">
        <v>14040302</v>
      </c>
      <c r="B826" s="6" t="s">
        <v>96</v>
      </c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</row>
    <row r="827" spans="1:41" ht="14.25" x14ac:dyDescent="0.2">
      <c r="A827" s="2">
        <v>14040303</v>
      </c>
      <c r="B827" s="3" t="s">
        <v>97</v>
      </c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</row>
    <row r="828" spans="1:41" ht="14.25" x14ac:dyDescent="0.2">
      <c r="A828" s="2">
        <v>14040306</v>
      </c>
      <c r="B828" s="3" t="s">
        <v>111</v>
      </c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</row>
    <row r="829" spans="1:41" ht="14.25" x14ac:dyDescent="0.2">
      <c r="A829" s="2">
        <v>1404030602</v>
      </c>
      <c r="B829" s="3" t="s">
        <v>121</v>
      </c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</row>
    <row r="830" spans="1:41" ht="14.25" x14ac:dyDescent="0.2">
      <c r="A830" s="2">
        <v>1404030603</v>
      </c>
      <c r="B830" s="3" t="s">
        <v>122</v>
      </c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</row>
    <row r="831" spans="1:41" ht="14.25" x14ac:dyDescent="0.2">
      <c r="A831" s="2">
        <v>1404030604</v>
      </c>
      <c r="B831" s="3" t="s">
        <v>123</v>
      </c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</row>
    <row r="832" spans="1:41" ht="14.25" x14ac:dyDescent="0.2">
      <c r="A832" s="2">
        <v>1404030605</v>
      </c>
      <c r="B832" s="3" t="s">
        <v>124</v>
      </c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</row>
    <row r="833" spans="1:41" ht="14.25" x14ac:dyDescent="0.2">
      <c r="A833" s="2">
        <v>14040307</v>
      </c>
      <c r="B833" s="3" t="s">
        <v>112</v>
      </c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</row>
    <row r="834" spans="1:41" ht="14.25" x14ac:dyDescent="0.2">
      <c r="A834" s="2">
        <v>14040311</v>
      </c>
      <c r="B834" s="3" t="s">
        <v>113</v>
      </c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</row>
    <row r="835" spans="1:41" ht="14.25" x14ac:dyDescent="0.2">
      <c r="A835" s="2">
        <v>14040312</v>
      </c>
      <c r="B835" s="3" t="s">
        <v>114</v>
      </c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</row>
    <row r="836" spans="1:41" ht="14.25" x14ac:dyDescent="0.2">
      <c r="A836" s="2">
        <v>14040313</v>
      </c>
      <c r="B836" s="3" t="s">
        <v>129</v>
      </c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</row>
    <row r="837" spans="1:41" ht="14.25" x14ac:dyDescent="0.2">
      <c r="A837" s="2">
        <v>14040399</v>
      </c>
      <c r="B837" s="3" t="s">
        <v>117</v>
      </c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</row>
    <row r="838" spans="1:41" ht="14.25" x14ac:dyDescent="0.2">
      <c r="A838" s="2">
        <v>1404039901</v>
      </c>
      <c r="B838" s="3" t="s">
        <v>118</v>
      </c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</row>
    <row r="839" spans="1:41" s="15" customFormat="1" ht="14.25" x14ac:dyDescent="0.2">
      <c r="A839" s="18" t="s">
        <v>1259</v>
      </c>
      <c r="B839" s="19" t="s">
        <v>1260</v>
      </c>
      <c r="C839" s="20">
        <v>836148.61</v>
      </c>
      <c r="D839" s="20">
        <v>933100.68</v>
      </c>
      <c r="E839" s="20">
        <v>1086020.45</v>
      </c>
      <c r="F839" s="20">
        <v>1126208.24</v>
      </c>
      <c r="G839" s="20">
        <v>1264916.3799999999</v>
      </c>
      <c r="H839" s="20">
        <v>1260036.81</v>
      </c>
      <c r="I839" s="20">
        <v>1475970.27</v>
      </c>
      <c r="J839" s="20">
        <v>1356798.89</v>
      </c>
      <c r="K839" s="20">
        <v>1546017.63</v>
      </c>
      <c r="L839" s="20">
        <v>1605290.78</v>
      </c>
      <c r="M839" s="20">
        <v>1616535.74</v>
      </c>
      <c r="N839" s="20">
        <v>1621944.44</v>
      </c>
      <c r="O839" s="20">
        <v>1676740.85</v>
      </c>
      <c r="P839" s="20">
        <v>1560386.6</v>
      </c>
      <c r="Q839" s="20">
        <v>1680764.41</v>
      </c>
      <c r="R839" s="20">
        <v>1727007.47</v>
      </c>
      <c r="S839" s="20">
        <v>1643735.28</v>
      </c>
      <c r="T839" s="20">
        <v>1651957.89</v>
      </c>
      <c r="U839" s="20">
        <v>1513320.21</v>
      </c>
      <c r="V839" s="20">
        <v>1564971.15</v>
      </c>
      <c r="W839" s="20">
        <v>1577992.64</v>
      </c>
      <c r="X839" s="20">
        <v>1594198.83</v>
      </c>
      <c r="Y839" s="20">
        <v>1617445.49</v>
      </c>
      <c r="Z839" s="20">
        <v>1544400.52</v>
      </c>
      <c r="AA839" s="20">
        <v>1566805.76</v>
      </c>
      <c r="AB839" s="20">
        <v>1614263.28</v>
      </c>
      <c r="AC839" s="20">
        <v>1578773.74</v>
      </c>
      <c r="AD839" s="20">
        <v>1524759.4</v>
      </c>
      <c r="AE839" s="20">
        <v>1272196.1200000001</v>
      </c>
      <c r="AF839" s="20">
        <v>1295711.98</v>
      </c>
      <c r="AG839" s="20">
        <v>1223264.44</v>
      </c>
      <c r="AH839" s="20">
        <v>1139517.3999999999</v>
      </c>
      <c r="AI839" s="20">
        <v>1062400.03</v>
      </c>
      <c r="AJ839" s="20">
        <v>1011430.23</v>
      </c>
      <c r="AK839" s="20">
        <v>928852.38</v>
      </c>
      <c r="AL839" s="20">
        <v>869332.67</v>
      </c>
      <c r="AM839" s="20">
        <v>831849.27</v>
      </c>
      <c r="AN839" s="20">
        <v>829929.66</v>
      </c>
      <c r="AO839" s="20">
        <v>912886.93</v>
      </c>
    </row>
    <row r="840" spans="1:41" ht="14.25" x14ac:dyDescent="0.2">
      <c r="A840" s="2">
        <v>140404</v>
      </c>
      <c r="B840" s="3" t="s">
        <v>130</v>
      </c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</row>
    <row r="841" spans="1:41" ht="14.25" x14ac:dyDescent="0.2">
      <c r="A841" s="2">
        <v>14040406</v>
      </c>
      <c r="B841" s="3" t="s">
        <v>131</v>
      </c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</row>
    <row r="842" spans="1:41" ht="14.25" x14ac:dyDescent="0.2">
      <c r="A842" s="2">
        <v>1404040601</v>
      </c>
      <c r="B842" s="3" t="s">
        <v>132</v>
      </c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</row>
    <row r="843" spans="1:41" ht="14.25" x14ac:dyDescent="0.2">
      <c r="A843" s="2">
        <v>1404040602</v>
      </c>
      <c r="B843" s="3" t="s">
        <v>133</v>
      </c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</row>
    <row r="844" spans="1:41" ht="14.25" x14ac:dyDescent="0.2">
      <c r="A844" s="2">
        <v>14040423</v>
      </c>
      <c r="B844" s="3" t="s">
        <v>179</v>
      </c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</row>
    <row r="845" spans="1:41" ht="28.5" x14ac:dyDescent="0.2">
      <c r="A845" s="2">
        <v>14040424</v>
      </c>
      <c r="B845" s="4" t="s">
        <v>135</v>
      </c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</row>
    <row r="846" spans="1:41" ht="28.5" x14ac:dyDescent="0.2">
      <c r="A846" s="2">
        <v>14040425</v>
      </c>
      <c r="B846" s="4" t="s">
        <v>136</v>
      </c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</row>
    <row r="847" spans="1:41" ht="14.25" x14ac:dyDescent="0.2">
      <c r="A847" s="2">
        <v>14040428</v>
      </c>
      <c r="B847" s="3" t="s">
        <v>137</v>
      </c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</row>
    <row r="848" spans="1:41" ht="14.25" x14ac:dyDescent="0.2">
      <c r="A848" s="2">
        <v>14040499</v>
      </c>
      <c r="B848" s="3" t="s">
        <v>117</v>
      </c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</row>
    <row r="849" spans="1:41" x14ac:dyDescent="0.2">
      <c r="A849" s="5">
        <v>140407</v>
      </c>
      <c r="B849" s="6" t="s">
        <v>138</v>
      </c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</row>
    <row r="850" spans="1:41" x14ac:dyDescent="0.2">
      <c r="A850" s="5">
        <v>14040701</v>
      </c>
      <c r="B850" s="6" t="s">
        <v>95</v>
      </c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</row>
    <row r="851" spans="1:41" x14ac:dyDescent="0.2">
      <c r="A851" s="5">
        <v>14040702</v>
      </c>
      <c r="B851" s="6" t="s">
        <v>96</v>
      </c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</row>
    <row r="852" spans="1:41" x14ac:dyDescent="0.2">
      <c r="A852" s="5">
        <v>14040703</v>
      </c>
      <c r="B852" s="6" t="s">
        <v>139</v>
      </c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</row>
    <row r="853" spans="1:41" x14ac:dyDescent="0.2">
      <c r="A853" s="5">
        <v>14040704</v>
      </c>
      <c r="B853" s="6" t="s">
        <v>140</v>
      </c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</row>
    <row r="854" spans="1:41" x14ac:dyDescent="0.2">
      <c r="A854" s="5">
        <v>14040705</v>
      </c>
      <c r="B854" s="6" t="s">
        <v>145</v>
      </c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</row>
    <row r="855" spans="1:41" x14ac:dyDescent="0.2">
      <c r="A855" s="5">
        <v>14040706</v>
      </c>
      <c r="B855" s="6" t="s">
        <v>150</v>
      </c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</row>
    <row r="856" spans="1:41" x14ac:dyDescent="0.2">
      <c r="A856" s="5">
        <v>14040707</v>
      </c>
      <c r="B856" s="6" t="s">
        <v>151</v>
      </c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</row>
    <row r="857" spans="1:41" x14ac:dyDescent="0.2">
      <c r="A857" s="5">
        <v>14040711</v>
      </c>
      <c r="B857" s="6" t="s">
        <v>152</v>
      </c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</row>
    <row r="858" spans="1:41" x14ac:dyDescent="0.2">
      <c r="A858" s="5">
        <v>14040712</v>
      </c>
      <c r="B858" s="6" t="s">
        <v>153</v>
      </c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</row>
    <row r="859" spans="1:41" x14ac:dyDescent="0.2">
      <c r="A859" s="5">
        <v>14040727</v>
      </c>
      <c r="B859" s="6" t="s">
        <v>177</v>
      </c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</row>
    <row r="860" spans="1:41" x14ac:dyDescent="0.2">
      <c r="A860" s="5">
        <v>14040799</v>
      </c>
      <c r="B860" s="6" t="s">
        <v>156</v>
      </c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</row>
    <row r="861" spans="1:41" ht="14.25" x14ac:dyDescent="0.2">
      <c r="A861" s="2">
        <v>140409</v>
      </c>
      <c r="B861" s="3" t="s">
        <v>159</v>
      </c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</row>
    <row r="862" spans="1:41" ht="14.25" x14ac:dyDescent="0.2">
      <c r="A862" s="2">
        <v>14040906</v>
      </c>
      <c r="B862" s="3" t="s">
        <v>131</v>
      </c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</row>
    <row r="863" spans="1:41" ht="14.25" x14ac:dyDescent="0.2">
      <c r="A863" s="2">
        <v>1404090611</v>
      </c>
      <c r="B863" s="3" t="s">
        <v>160</v>
      </c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</row>
    <row r="864" spans="1:41" ht="14.25" x14ac:dyDescent="0.2">
      <c r="A864" s="2">
        <v>1404090612</v>
      </c>
      <c r="B864" s="3" t="s">
        <v>161</v>
      </c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</row>
    <row r="865" spans="1:41" ht="14.25" x14ac:dyDescent="0.2">
      <c r="A865" s="2">
        <v>140410</v>
      </c>
      <c r="B865" s="3" t="s">
        <v>162</v>
      </c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</row>
    <row r="866" spans="1:41" x14ac:dyDescent="0.2">
      <c r="A866" s="5">
        <v>14041001</v>
      </c>
      <c r="B866" s="6" t="s">
        <v>95</v>
      </c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</row>
    <row r="867" spans="1:41" x14ac:dyDescent="0.2">
      <c r="A867" s="5">
        <v>14041002</v>
      </c>
      <c r="B867" s="6" t="s">
        <v>96</v>
      </c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</row>
    <row r="868" spans="1:41" ht="14.25" x14ac:dyDescent="0.2">
      <c r="A868" s="2">
        <v>14041003</v>
      </c>
      <c r="B868" s="3" t="s">
        <v>97</v>
      </c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</row>
    <row r="869" spans="1:41" ht="14.25" x14ac:dyDescent="0.2">
      <c r="A869" s="2">
        <v>14041004</v>
      </c>
      <c r="B869" s="3" t="s">
        <v>101</v>
      </c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</row>
    <row r="870" spans="1:41" ht="14.25" x14ac:dyDescent="0.2">
      <c r="A870" s="2">
        <v>14041005</v>
      </c>
      <c r="B870" s="3" t="s">
        <v>106</v>
      </c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</row>
    <row r="871" spans="1:41" ht="14.25" x14ac:dyDescent="0.2">
      <c r="A871" s="2">
        <v>14041006</v>
      </c>
      <c r="B871" s="3" t="s">
        <v>111</v>
      </c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</row>
    <row r="872" spans="1:41" ht="14.25" x14ac:dyDescent="0.2">
      <c r="A872" s="2">
        <v>14041007</v>
      </c>
      <c r="B872" s="3" t="s">
        <v>112</v>
      </c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</row>
    <row r="873" spans="1:41" ht="14.25" x14ac:dyDescent="0.2">
      <c r="A873" s="2">
        <v>14041011</v>
      </c>
      <c r="B873" s="3" t="s">
        <v>113</v>
      </c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</row>
    <row r="874" spans="1:41" ht="14.25" x14ac:dyDescent="0.2">
      <c r="A874" s="2">
        <v>14041012</v>
      </c>
      <c r="B874" s="3" t="s">
        <v>114</v>
      </c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</row>
    <row r="875" spans="1:41" ht="14.25" x14ac:dyDescent="0.2">
      <c r="A875" s="2">
        <v>14041027</v>
      </c>
      <c r="B875" s="3" t="s">
        <v>166</v>
      </c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</row>
    <row r="876" spans="1:41" x14ac:dyDescent="0.2">
      <c r="A876" s="5">
        <v>14041030</v>
      </c>
      <c r="B876" s="6" t="s">
        <v>167</v>
      </c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</row>
    <row r="877" spans="1:41" x14ac:dyDescent="0.2">
      <c r="A877" s="5">
        <v>14041031</v>
      </c>
      <c r="B877" s="6" t="s">
        <v>168</v>
      </c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</row>
    <row r="878" spans="1:41" x14ac:dyDescent="0.2">
      <c r="A878" s="5">
        <v>14041032</v>
      </c>
      <c r="B878" s="6" t="s">
        <v>169</v>
      </c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</row>
    <row r="879" spans="1:41" x14ac:dyDescent="0.2">
      <c r="A879" s="5">
        <v>14041033</v>
      </c>
      <c r="B879" s="6" t="s">
        <v>170</v>
      </c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</row>
    <row r="880" spans="1:41" x14ac:dyDescent="0.2">
      <c r="A880" s="5">
        <v>14041034</v>
      </c>
      <c r="B880" s="6" t="s">
        <v>171</v>
      </c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</row>
    <row r="881" spans="1:41" ht="14.25" x14ac:dyDescent="0.2">
      <c r="A881" s="2">
        <v>14041099</v>
      </c>
      <c r="B881" s="3" t="s">
        <v>117</v>
      </c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</row>
    <row r="882" spans="1:41" ht="14.25" x14ac:dyDescent="0.2">
      <c r="A882" s="2">
        <v>1404109901</v>
      </c>
      <c r="B882" s="3" t="s">
        <v>118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</row>
    <row r="883" spans="1:41" ht="14.25" x14ac:dyDescent="0.2">
      <c r="A883" s="2">
        <v>1404109902</v>
      </c>
      <c r="B883" s="3" t="s">
        <v>119</v>
      </c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</row>
    <row r="884" spans="1:41" ht="14.25" x14ac:dyDescent="0.2">
      <c r="A884" s="2">
        <v>140411</v>
      </c>
      <c r="B884" s="3" t="s">
        <v>172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</row>
    <row r="885" spans="1:41" x14ac:dyDescent="0.2">
      <c r="A885" s="5">
        <v>14041101</v>
      </c>
      <c r="B885" s="6" t="s">
        <v>95</v>
      </c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</row>
    <row r="886" spans="1:41" x14ac:dyDescent="0.2">
      <c r="A886" s="5">
        <v>14041102</v>
      </c>
      <c r="B886" s="6" t="s">
        <v>96</v>
      </c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</row>
    <row r="887" spans="1:41" ht="14.25" x14ac:dyDescent="0.2">
      <c r="A887" s="2">
        <v>14041103</v>
      </c>
      <c r="B887" s="3" t="s">
        <v>97</v>
      </c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</row>
    <row r="888" spans="1:41" ht="14.25" x14ac:dyDescent="0.2">
      <c r="A888" s="2">
        <v>14041104</v>
      </c>
      <c r="B888" s="3" t="s">
        <v>101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</row>
    <row r="889" spans="1:41" ht="14.25" x14ac:dyDescent="0.2">
      <c r="A889" s="2">
        <v>14041105</v>
      </c>
      <c r="B889" s="3" t="s">
        <v>106</v>
      </c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</row>
    <row r="890" spans="1:41" ht="14.25" x14ac:dyDescent="0.2">
      <c r="A890" s="2">
        <v>14041106</v>
      </c>
      <c r="B890" s="3" t="s">
        <v>111</v>
      </c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</row>
    <row r="891" spans="1:41" ht="14.25" x14ac:dyDescent="0.2">
      <c r="A891" s="2">
        <v>14041107</v>
      </c>
      <c r="B891" s="3" t="s">
        <v>112</v>
      </c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</row>
    <row r="892" spans="1:41" ht="14.25" x14ac:dyDescent="0.2">
      <c r="A892" s="2">
        <v>14041111</v>
      </c>
      <c r="B892" s="3" t="s">
        <v>113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</row>
    <row r="893" spans="1:41" ht="14.25" x14ac:dyDescent="0.2">
      <c r="A893" s="2">
        <v>14041112</v>
      </c>
      <c r="B893" s="3" t="s">
        <v>114</v>
      </c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</row>
    <row r="894" spans="1:41" ht="14.25" x14ac:dyDescent="0.2">
      <c r="A894" s="2">
        <v>14041127</v>
      </c>
      <c r="B894" s="3" t="s">
        <v>166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</row>
    <row r="895" spans="1:41" x14ac:dyDescent="0.2">
      <c r="A895" s="5">
        <v>14041130</v>
      </c>
      <c r="B895" s="6" t="s">
        <v>167</v>
      </c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</row>
    <row r="896" spans="1:41" x14ac:dyDescent="0.2">
      <c r="A896" s="5">
        <v>14041131</v>
      </c>
      <c r="B896" s="6" t="s">
        <v>168</v>
      </c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</row>
    <row r="897" spans="1:41" x14ac:dyDescent="0.2">
      <c r="A897" s="5">
        <v>14041132</v>
      </c>
      <c r="B897" s="6" t="s">
        <v>169</v>
      </c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</row>
    <row r="898" spans="1:41" x14ac:dyDescent="0.2">
      <c r="A898" s="5">
        <v>14041133</v>
      </c>
      <c r="B898" s="6" t="s">
        <v>170</v>
      </c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</row>
    <row r="899" spans="1:41" x14ac:dyDescent="0.2">
      <c r="A899" s="5">
        <v>14041134</v>
      </c>
      <c r="B899" s="6" t="s">
        <v>171</v>
      </c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</row>
    <row r="900" spans="1:41" ht="14.25" x14ac:dyDescent="0.2">
      <c r="A900" s="2">
        <v>14041199</v>
      </c>
      <c r="B900" s="3" t="s">
        <v>117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</row>
    <row r="901" spans="1:41" ht="14.25" x14ac:dyDescent="0.2">
      <c r="A901" s="2">
        <v>1404119901</v>
      </c>
      <c r="B901" s="3" t="s">
        <v>118</v>
      </c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</row>
    <row r="902" spans="1:41" ht="14.25" x14ac:dyDescent="0.2">
      <c r="A902" s="2">
        <v>1404119902</v>
      </c>
      <c r="B902" s="3" t="s">
        <v>119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</row>
    <row r="903" spans="1:41" ht="14.25" x14ac:dyDescent="0.2">
      <c r="A903" s="2">
        <v>140412</v>
      </c>
      <c r="B903" s="3" t="s">
        <v>174</v>
      </c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</row>
    <row r="904" spans="1:41" x14ac:dyDescent="0.2">
      <c r="A904" s="5">
        <v>14041201</v>
      </c>
      <c r="B904" s="6" t="s">
        <v>95</v>
      </c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</row>
    <row r="905" spans="1:41" x14ac:dyDescent="0.2">
      <c r="A905" s="5">
        <v>14041202</v>
      </c>
      <c r="B905" s="6" t="s">
        <v>96</v>
      </c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</row>
    <row r="906" spans="1:41" ht="14.25" x14ac:dyDescent="0.2">
      <c r="A906" s="2">
        <v>14041203</v>
      </c>
      <c r="B906" s="3" t="s">
        <v>97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</row>
    <row r="907" spans="1:41" ht="14.25" x14ac:dyDescent="0.2">
      <c r="A907" s="2">
        <v>14041204</v>
      </c>
      <c r="B907" s="3" t="s">
        <v>101</v>
      </c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</row>
    <row r="908" spans="1:41" ht="14.25" x14ac:dyDescent="0.2">
      <c r="A908" s="2">
        <v>14041205</v>
      </c>
      <c r="B908" s="3" t="s">
        <v>106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</row>
    <row r="909" spans="1:41" ht="14.25" x14ac:dyDescent="0.2">
      <c r="A909" s="2">
        <v>14041206</v>
      </c>
      <c r="B909" s="3" t="s">
        <v>111</v>
      </c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</row>
    <row r="910" spans="1:41" ht="14.25" x14ac:dyDescent="0.2">
      <c r="A910" s="2">
        <v>14041207</v>
      </c>
      <c r="B910" s="3" t="s">
        <v>112</v>
      </c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</row>
    <row r="911" spans="1:41" ht="14.25" x14ac:dyDescent="0.2">
      <c r="A911" s="2">
        <v>14041211</v>
      </c>
      <c r="B911" s="3" t="s">
        <v>113</v>
      </c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</row>
    <row r="912" spans="1:41" ht="14.25" x14ac:dyDescent="0.2">
      <c r="A912" s="2">
        <v>14041212</v>
      </c>
      <c r="B912" s="3" t="s">
        <v>114</v>
      </c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</row>
    <row r="913" spans="1:41" ht="14.25" x14ac:dyDescent="0.2">
      <c r="A913" s="2">
        <v>14041227</v>
      </c>
      <c r="B913" s="3" t="s">
        <v>166</v>
      </c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</row>
    <row r="914" spans="1:41" x14ac:dyDescent="0.2">
      <c r="A914" s="5">
        <v>14041230</v>
      </c>
      <c r="B914" s="6" t="s">
        <v>167</v>
      </c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</row>
    <row r="915" spans="1:41" x14ac:dyDescent="0.2">
      <c r="A915" s="5">
        <v>14041231</v>
      </c>
      <c r="B915" s="6" t="s">
        <v>168</v>
      </c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</row>
    <row r="916" spans="1:41" x14ac:dyDescent="0.2">
      <c r="A916" s="5">
        <v>14041232</v>
      </c>
      <c r="B916" s="6" t="s">
        <v>169</v>
      </c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</row>
    <row r="917" spans="1:41" x14ac:dyDescent="0.2">
      <c r="A917" s="5">
        <v>14041233</v>
      </c>
      <c r="B917" s="6" t="s">
        <v>170</v>
      </c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</row>
    <row r="918" spans="1:41" x14ac:dyDescent="0.2">
      <c r="A918" s="5">
        <v>14041234</v>
      </c>
      <c r="B918" s="6" t="s">
        <v>171</v>
      </c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</row>
    <row r="919" spans="1:41" x14ac:dyDescent="0.2">
      <c r="A919" s="5">
        <v>14041299</v>
      </c>
      <c r="B919" s="6" t="s">
        <v>156</v>
      </c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</row>
    <row r="920" spans="1:41" x14ac:dyDescent="0.2">
      <c r="A920" s="5">
        <v>1404129901</v>
      </c>
      <c r="B920" s="6" t="s">
        <v>157</v>
      </c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</row>
    <row r="921" spans="1:41" x14ac:dyDescent="0.2">
      <c r="A921" s="5">
        <v>1404129902</v>
      </c>
      <c r="B921" s="6" t="s">
        <v>158</v>
      </c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</row>
    <row r="922" spans="1:41" ht="14.25" x14ac:dyDescent="0.2">
      <c r="A922" s="2">
        <v>140413</v>
      </c>
      <c r="B922" s="3" t="s">
        <v>175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</row>
    <row r="923" spans="1:41" x14ac:dyDescent="0.2">
      <c r="A923" s="5">
        <v>14041301</v>
      </c>
      <c r="B923" s="6" t="s">
        <v>95</v>
      </c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</row>
    <row r="924" spans="1:41" x14ac:dyDescent="0.2">
      <c r="A924" s="5">
        <v>14041302</v>
      </c>
      <c r="B924" s="6" t="s">
        <v>96</v>
      </c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</row>
    <row r="925" spans="1:41" ht="14.25" x14ac:dyDescent="0.2">
      <c r="A925" s="2">
        <v>14041303</v>
      </c>
      <c r="B925" s="3" t="s">
        <v>97</v>
      </c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</row>
    <row r="926" spans="1:41" ht="14.25" x14ac:dyDescent="0.2">
      <c r="A926" s="2">
        <v>14041304</v>
      </c>
      <c r="B926" s="3" t="s">
        <v>101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</row>
    <row r="927" spans="1:41" ht="14.25" x14ac:dyDescent="0.2">
      <c r="A927" s="2">
        <v>14041305</v>
      </c>
      <c r="B927" s="3" t="s">
        <v>106</v>
      </c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</row>
    <row r="928" spans="1:41" ht="14.25" x14ac:dyDescent="0.2">
      <c r="A928" s="2">
        <v>14041306</v>
      </c>
      <c r="B928" s="3" t="s">
        <v>111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</row>
    <row r="929" spans="1:41" ht="14.25" x14ac:dyDescent="0.2">
      <c r="A929" s="2">
        <v>14041307</v>
      </c>
      <c r="B929" s="3" t="s">
        <v>112</v>
      </c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</row>
    <row r="930" spans="1:41" ht="14.25" x14ac:dyDescent="0.2">
      <c r="A930" s="2">
        <v>14041311</v>
      </c>
      <c r="B930" s="3" t="s">
        <v>113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</row>
    <row r="931" spans="1:41" ht="14.25" x14ac:dyDescent="0.2">
      <c r="A931" s="2">
        <v>14041312</v>
      </c>
      <c r="B931" s="3" t="s">
        <v>114</v>
      </c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</row>
    <row r="932" spans="1:41" ht="14.25" x14ac:dyDescent="0.2">
      <c r="A932" s="2">
        <v>14041327</v>
      </c>
      <c r="B932" s="3" t="s">
        <v>166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</row>
    <row r="933" spans="1:41" ht="14.25" x14ac:dyDescent="0.2">
      <c r="A933" s="2">
        <v>14041399</v>
      </c>
      <c r="B933" s="3" t="s">
        <v>117</v>
      </c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</row>
    <row r="934" spans="1:41" ht="14.25" x14ac:dyDescent="0.2">
      <c r="A934" s="2">
        <v>1404139901</v>
      </c>
      <c r="B934" s="3" t="s">
        <v>118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</row>
    <row r="935" spans="1:41" ht="14.25" x14ac:dyDescent="0.2">
      <c r="A935" s="2">
        <v>1404139902</v>
      </c>
      <c r="B935" s="3" t="s">
        <v>119</v>
      </c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</row>
    <row r="936" spans="1:41" ht="14.25" x14ac:dyDescent="0.2">
      <c r="A936" s="2">
        <v>1405</v>
      </c>
      <c r="B936" s="3" t="s">
        <v>180</v>
      </c>
      <c r="C936" s="20">
        <f t="shared" ref="C936:AN936" si="19">+C984+C997</f>
        <v>10815187.58</v>
      </c>
      <c r="D936" s="20">
        <f t="shared" si="19"/>
        <v>10049766.48</v>
      </c>
      <c r="E936" s="20">
        <f t="shared" si="19"/>
        <v>10240799.109999999</v>
      </c>
      <c r="F936" s="20">
        <f t="shared" si="19"/>
        <v>10548272.43</v>
      </c>
      <c r="G936" s="20">
        <f t="shared" si="19"/>
        <v>12264042.24</v>
      </c>
      <c r="H936" s="20">
        <f t="shared" si="19"/>
        <v>12430249.559999999</v>
      </c>
      <c r="I936" s="20">
        <f t="shared" si="19"/>
        <v>12614613.32</v>
      </c>
      <c r="J936" s="20">
        <f t="shared" si="19"/>
        <v>13145018.42</v>
      </c>
      <c r="K936" s="20">
        <f t="shared" si="19"/>
        <v>12910535.640000001</v>
      </c>
      <c r="L936" s="20">
        <f t="shared" si="19"/>
        <v>12804634.030000001</v>
      </c>
      <c r="M936" s="20">
        <f t="shared" si="19"/>
        <v>12760431.869999999</v>
      </c>
      <c r="N936" s="20">
        <f t="shared" si="19"/>
        <v>12633624.949999999</v>
      </c>
      <c r="O936" s="20">
        <f t="shared" si="19"/>
        <v>12798196.379999999</v>
      </c>
      <c r="P936" s="20">
        <f t="shared" si="19"/>
        <v>12910096.359999999</v>
      </c>
      <c r="Q936" s="20">
        <f t="shared" si="19"/>
        <v>12759615.289999999</v>
      </c>
      <c r="R936" s="20">
        <f t="shared" si="19"/>
        <v>12142723.229999999</v>
      </c>
      <c r="S936" s="20">
        <f t="shared" si="19"/>
        <v>13455456.300000001</v>
      </c>
      <c r="T936" s="20">
        <f t="shared" si="19"/>
        <v>12883137.18</v>
      </c>
      <c r="U936" s="20">
        <f t="shared" si="19"/>
        <v>12765307.1</v>
      </c>
      <c r="V936" s="20">
        <f t="shared" si="19"/>
        <v>12827294.309999999</v>
      </c>
      <c r="W936" s="20">
        <f t="shared" si="19"/>
        <v>12834661.619999999</v>
      </c>
      <c r="X936" s="20">
        <f t="shared" si="19"/>
        <v>12825776.210000001</v>
      </c>
      <c r="Y936" s="20">
        <f t="shared" si="19"/>
        <v>12754372.75</v>
      </c>
      <c r="Z936" s="20">
        <f t="shared" si="19"/>
        <v>12821597.34</v>
      </c>
      <c r="AA936" s="20">
        <f t="shared" si="19"/>
        <v>12625699.280000001</v>
      </c>
      <c r="AB936" s="20">
        <f t="shared" si="19"/>
        <v>12222712.119999999</v>
      </c>
      <c r="AC936" s="20">
        <f t="shared" si="19"/>
        <v>12239211.68</v>
      </c>
      <c r="AD936" s="20">
        <f t="shared" si="19"/>
        <v>12095921.960000001</v>
      </c>
      <c r="AE936" s="20">
        <f t="shared" si="19"/>
        <v>13205686.149999999</v>
      </c>
      <c r="AF936" s="20">
        <f t="shared" si="19"/>
        <v>13080190.93</v>
      </c>
      <c r="AG936" s="20">
        <f t="shared" si="19"/>
        <v>12536874.300000001</v>
      </c>
      <c r="AH936" s="20">
        <f t="shared" si="19"/>
        <v>12472653.540000001</v>
      </c>
      <c r="AI936" s="20">
        <f t="shared" si="19"/>
        <v>12313291.539999999</v>
      </c>
      <c r="AJ936" s="20">
        <f t="shared" si="19"/>
        <v>12113660.379999999</v>
      </c>
      <c r="AK936" s="20">
        <f t="shared" si="19"/>
        <v>12037344.120000001</v>
      </c>
      <c r="AL936" s="20">
        <f t="shared" si="19"/>
        <v>11780904.389999999</v>
      </c>
      <c r="AM936" s="20">
        <f t="shared" si="19"/>
        <v>11673192.890000001</v>
      </c>
      <c r="AN936" s="20">
        <f t="shared" si="19"/>
        <v>11229717.34</v>
      </c>
      <c r="AO936" s="20">
        <f>+AO984+AO997</f>
        <v>10933478.130000001</v>
      </c>
    </row>
    <row r="937" spans="1:41" ht="14.25" x14ac:dyDescent="0.2">
      <c r="A937" s="2">
        <v>140502</v>
      </c>
      <c r="B937" s="3" t="s">
        <v>94</v>
      </c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</row>
    <row r="938" spans="1:41" x14ac:dyDescent="0.2">
      <c r="A938" s="5">
        <v>14050202</v>
      </c>
      <c r="B938" s="6" t="s">
        <v>96</v>
      </c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</row>
    <row r="939" spans="1:41" ht="14.25" x14ac:dyDescent="0.2">
      <c r="A939" s="2">
        <v>14050203</v>
      </c>
      <c r="B939" s="3" t="s">
        <v>97</v>
      </c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</row>
    <row r="940" spans="1:41" ht="14.25" x14ac:dyDescent="0.2">
      <c r="A940" s="2">
        <v>1405020301</v>
      </c>
      <c r="B940" s="3" t="s">
        <v>98</v>
      </c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</row>
    <row r="941" spans="1:41" ht="14.25" x14ac:dyDescent="0.2">
      <c r="A941" s="2">
        <v>1405020302</v>
      </c>
      <c r="B941" s="3" t="s">
        <v>99</v>
      </c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</row>
    <row r="942" spans="1:41" ht="14.25" x14ac:dyDescent="0.2">
      <c r="A942" s="2">
        <v>1405020303</v>
      </c>
      <c r="B942" s="3" t="s">
        <v>100</v>
      </c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</row>
    <row r="943" spans="1:41" ht="14.25" x14ac:dyDescent="0.2">
      <c r="A943" s="2">
        <v>14050204</v>
      </c>
      <c r="B943" s="3" t="s">
        <v>101</v>
      </c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</row>
    <row r="944" spans="1:41" ht="14.25" x14ac:dyDescent="0.2">
      <c r="A944" s="2">
        <v>14050205</v>
      </c>
      <c r="B944" s="3" t="s">
        <v>106</v>
      </c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</row>
    <row r="945" spans="1:41" ht="14.25" x14ac:dyDescent="0.2">
      <c r="A945" s="2">
        <v>1405020501</v>
      </c>
      <c r="B945" s="3" t="s">
        <v>107</v>
      </c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</row>
    <row r="946" spans="1:41" ht="14.25" x14ac:dyDescent="0.2">
      <c r="A946" s="2">
        <v>1405020502</v>
      </c>
      <c r="B946" s="3" t="s">
        <v>108</v>
      </c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</row>
    <row r="947" spans="1:41" ht="14.25" x14ac:dyDescent="0.2">
      <c r="A947" s="2">
        <v>1405020503</v>
      </c>
      <c r="B947" s="3" t="s">
        <v>109</v>
      </c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</row>
    <row r="948" spans="1:41" ht="14.25" x14ac:dyDescent="0.2">
      <c r="A948" s="2">
        <v>1405020509</v>
      </c>
      <c r="B948" s="3" t="s">
        <v>181</v>
      </c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</row>
    <row r="949" spans="1:41" ht="14.25" x14ac:dyDescent="0.2">
      <c r="A949" s="2">
        <v>14050206</v>
      </c>
      <c r="B949" s="3" t="s">
        <v>111</v>
      </c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</row>
    <row r="950" spans="1:41" ht="14.25" x14ac:dyDescent="0.2">
      <c r="A950" s="2">
        <v>14050207</v>
      </c>
      <c r="B950" s="3" t="s">
        <v>112</v>
      </c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</row>
    <row r="951" spans="1:41" ht="14.25" x14ac:dyDescent="0.2">
      <c r="A951" s="2">
        <v>14050211</v>
      </c>
      <c r="B951" s="3" t="s">
        <v>113</v>
      </c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</row>
    <row r="952" spans="1:41" ht="14.25" x14ac:dyDescent="0.2">
      <c r="A952" s="2">
        <v>14050212</v>
      </c>
      <c r="B952" s="3" t="s">
        <v>114</v>
      </c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</row>
    <row r="953" spans="1:41" ht="14.25" x14ac:dyDescent="0.2">
      <c r="A953" s="2">
        <v>14050219</v>
      </c>
      <c r="B953" s="3" t="s">
        <v>182</v>
      </c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</row>
    <row r="954" spans="1:41" x14ac:dyDescent="0.2">
      <c r="A954" s="5">
        <v>1405021902</v>
      </c>
      <c r="B954" s="6" t="s">
        <v>96</v>
      </c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</row>
    <row r="955" spans="1:41" ht="14.25" x14ac:dyDescent="0.2">
      <c r="A955" s="2">
        <v>1405021903</v>
      </c>
      <c r="B955" s="3" t="s">
        <v>97</v>
      </c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</row>
    <row r="956" spans="1:41" ht="14.25" x14ac:dyDescent="0.2">
      <c r="A956" s="2">
        <v>1405021904</v>
      </c>
      <c r="B956" s="3" t="s">
        <v>101</v>
      </c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</row>
    <row r="957" spans="1:41" ht="14.25" x14ac:dyDescent="0.2">
      <c r="A957" s="2">
        <v>1405021905</v>
      </c>
      <c r="B957" s="3" t="s">
        <v>106</v>
      </c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</row>
    <row r="958" spans="1:41" ht="14.25" x14ac:dyDescent="0.2">
      <c r="A958" s="2">
        <v>1405021906</v>
      </c>
      <c r="B958" s="3" t="s">
        <v>111</v>
      </c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</row>
    <row r="959" spans="1:41" ht="14.25" x14ac:dyDescent="0.2">
      <c r="A959" s="2">
        <v>1405021907</v>
      </c>
      <c r="B959" s="3" t="s">
        <v>112</v>
      </c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</row>
    <row r="960" spans="1:41" ht="14.25" x14ac:dyDescent="0.2">
      <c r="A960" s="2">
        <v>1405021911</v>
      </c>
      <c r="B960" s="3" t="s">
        <v>113</v>
      </c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</row>
    <row r="961" spans="1:41" ht="14.25" x14ac:dyDescent="0.2">
      <c r="A961" s="2">
        <v>1405021912</v>
      </c>
      <c r="B961" s="3" t="s">
        <v>114</v>
      </c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</row>
    <row r="962" spans="1:41" ht="14.25" x14ac:dyDescent="0.2">
      <c r="A962" s="2">
        <v>1405021927</v>
      </c>
      <c r="B962" s="3" t="s">
        <v>166</v>
      </c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</row>
    <row r="963" spans="1:41" ht="14.25" x14ac:dyDescent="0.2">
      <c r="A963" s="2">
        <v>1405021999</v>
      </c>
      <c r="B963" s="3" t="s">
        <v>117</v>
      </c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</row>
    <row r="964" spans="1:41" x14ac:dyDescent="0.2">
      <c r="A964" s="5">
        <v>14050221</v>
      </c>
      <c r="B964" s="6" t="s">
        <v>154</v>
      </c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</row>
    <row r="965" spans="1:41" ht="14.25" x14ac:dyDescent="0.2">
      <c r="A965" s="2">
        <v>14050222</v>
      </c>
      <c r="B965" s="3" t="s">
        <v>183</v>
      </c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</row>
    <row r="966" spans="1:41" ht="14.25" x14ac:dyDescent="0.2">
      <c r="A966" s="2">
        <v>1405022206</v>
      </c>
      <c r="B966" s="3" t="s">
        <v>111</v>
      </c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</row>
    <row r="967" spans="1:41" ht="14.25" x14ac:dyDescent="0.2">
      <c r="A967" s="2">
        <v>1405022207</v>
      </c>
      <c r="B967" s="3" t="s">
        <v>112</v>
      </c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</row>
    <row r="968" spans="1:41" ht="14.25" x14ac:dyDescent="0.2">
      <c r="A968" s="2">
        <v>1405022211</v>
      </c>
      <c r="B968" s="3" t="s">
        <v>113</v>
      </c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</row>
    <row r="969" spans="1:41" ht="14.25" x14ac:dyDescent="0.2">
      <c r="A969" s="2">
        <v>1405022212</v>
      </c>
      <c r="B969" s="3" t="s">
        <v>114</v>
      </c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</row>
    <row r="970" spans="1:41" ht="14.25" x14ac:dyDescent="0.2">
      <c r="A970" s="2">
        <v>1405022227</v>
      </c>
      <c r="B970" s="3" t="s">
        <v>166</v>
      </c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</row>
    <row r="971" spans="1:41" ht="14.25" x14ac:dyDescent="0.2">
      <c r="A971" s="2">
        <v>1405022299</v>
      </c>
      <c r="B971" s="3" t="s">
        <v>117</v>
      </c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</row>
    <row r="972" spans="1:41" ht="14.25" x14ac:dyDescent="0.2">
      <c r="A972" s="2">
        <v>14050227</v>
      </c>
      <c r="B972" s="3" t="s">
        <v>166</v>
      </c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</row>
    <row r="973" spans="1:41" ht="14.25" x14ac:dyDescent="0.2">
      <c r="A973" s="2">
        <v>14050299</v>
      </c>
      <c r="B973" s="3" t="s">
        <v>117</v>
      </c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</row>
    <row r="974" spans="1:41" ht="14.25" x14ac:dyDescent="0.2">
      <c r="A974" s="2">
        <v>1405029901</v>
      </c>
      <c r="B974" s="3" t="s">
        <v>118</v>
      </c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</row>
    <row r="975" spans="1:41" ht="14.25" x14ac:dyDescent="0.2">
      <c r="A975" s="2">
        <v>1405029902</v>
      </c>
      <c r="B975" s="3" t="s">
        <v>119</v>
      </c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</row>
    <row r="976" spans="1:41" ht="14.25" x14ac:dyDescent="0.2">
      <c r="A976" s="2">
        <v>140503</v>
      </c>
      <c r="B976" s="3" t="s">
        <v>120</v>
      </c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</row>
    <row r="977" spans="1:41" x14ac:dyDescent="0.2">
      <c r="A977" s="5">
        <v>14050302</v>
      </c>
      <c r="B977" s="6" t="s">
        <v>96</v>
      </c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</row>
    <row r="978" spans="1:41" ht="14.25" x14ac:dyDescent="0.2">
      <c r="A978" s="2">
        <v>14050303</v>
      </c>
      <c r="B978" s="3" t="s">
        <v>97</v>
      </c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</row>
    <row r="979" spans="1:41" ht="14.25" x14ac:dyDescent="0.2">
      <c r="A979" s="2">
        <v>1405030301</v>
      </c>
      <c r="B979" s="3" t="s">
        <v>98</v>
      </c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</row>
    <row r="980" spans="1:41" ht="14.25" x14ac:dyDescent="0.2">
      <c r="A980" s="2">
        <v>1405030302</v>
      </c>
      <c r="B980" s="3" t="s">
        <v>99</v>
      </c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</row>
    <row r="981" spans="1:41" ht="14.25" x14ac:dyDescent="0.2">
      <c r="A981" s="2">
        <v>1405030303</v>
      </c>
      <c r="B981" s="3" t="s">
        <v>100</v>
      </c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</row>
    <row r="982" spans="1:41" ht="14.25" x14ac:dyDescent="0.2">
      <c r="A982" s="2">
        <v>14050306</v>
      </c>
      <c r="B982" s="3" t="s">
        <v>111</v>
      </c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</row>
    <row r="983" spans="1:41" ht="14.25" x14ac:dyDescent="0.2">
      <c r="A983" s="2">
        <v>1405030602</v>
      </c>
      <c r="B983" s="3" t="s">
        <v>121</v>
      </c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</row>
    <row r="984" spans="1:41" s="15" customFormat="1" ht="14.25" x14ac:dyDescent="0.2">
      <c r="A984" s="18" t="s">
        <v>1261</v>
      </c>
      <c r="B984" s="19" t="s">
        <v>1262</v>
      </c>
      <c r="C984" s="20">
        <v>10542961.59</v>
      </c>
      <c r="D984" s="20">
        <v>9781242.0500000007</v>
      </c>
      <c r="E984" s="20">
        <v>9967297.2799999993</v>
      </c>
      <c r="F984" s="20">
        <v>10253110.640000001</v>
      </c>
      <c r="G984" s="20">
        <v>11882093.220000001</v>
      </c>
      <c r="H984" s="20">
        <v>12064108.689999999</v>
      </c>
      <c r="I984" s="20">
        <v>12250556.41</v>
      </c>
      <c r="J984" s="20">
        <v>12730516.18</v>
      </c>
      <c r="K984" s="20">
        <v>12479597</v>
      </c>
      <c r="L984" s="20">
        <v>12307995.73</v>
      </c>
      <c r="M984" s="20">
        <v>12304674.35</v>
      </c>
      <c r="N984" s="20">
        <v>12158609.449999999</v>
      </c>
      <c r="O984" s="20">
        <v>12325924.119999999</v>
      </c>
      <c r="P984" s="20">
        <v>12367133.34</v>
      </c>
      <c r="Q984" s="20">
        <v>12064803.02</v>
      </c>
      <c r="R984" s="20">
        <v>11576808.029999999</v>
      </c>
      <c r="S984" s="20">
        <v>12839650.310000001</v>
      </c>
      <c r="T984" s="20">
        <v>12269043.859999999</v>
      </c>
      <c r="U984" s="20">
        <v>12079276.1</v>
      </c>
      <c r="V984" s="20">
        <v>12115470.189999999</v>
      </c>
      <c r="W984" s="20">
        <v>12089933.34</v>
      </c>
      <c r="X984" s="20">
        <v>12076608.98</v>
      </c>
      <c r="Y984" s="20">
        <v>11982940.390000001</v>
      </c>
      <c r="Z984" s="20">
        <v>12018351.380000001</v>
      </c>
      <c r="AA984" s="20">
        <v>11776564.220000001</v>
      </c>
      <c r="AB984" s="20">
        <v>11462507.369999999</v>
      </c>
      <c r="AC984" s="20">
        <v>11465912.699999999</v>
      </c>
      <c r="AD984" s="20">
        <v>11296261.4</v>
      </c>
      <c r="AE984" s="20">
        <v>12263543.529999999</v>
      </c>
      <c r="AF984" s="20">
        <v>12147131.35</v>
      </c>
      <c r="AG984" s="20">
        <v>11571552.84</v>
      </c>
      <c r="AH984" s="20">
        <v>11482632.300000001</v>
      </c>
      <c r="AI984" s="20">
        <v>11382478.17</v>
      </c>
      <c r="AJ984" s="20">
        <v>11185229.779999999</v>
      </c>
      <c r="AK984" s="20">
        <v>11119991.310000001</v>
      </c>
      <c r="AL984" s="20">
        <v>10873840.039999999</v>
      </c>
      <c r="AM984" s="20">
        <v>10778966.550000001</v>
      </c>
      <c r="AN984" s="20">
        <v>10374238.27</v>
      </c>
      <c r="AO984" s="20">
        <v>10090706.810000001</v>
      </c>
    </row>
    <row r="985" spans="1:41" ht="14.25" x14ac:dyDescent="0.2">
      <c r="A985" s="2">
        <v>1405030604</v>
      </c>
      <c r="B985" s="3" t="s">
        <v>123</v>
      </c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</row>
    <row r="986" spans="1:41" ht="14.25" x14ac:dyDescent="0.2">
      <c r="A986" s="2">
        <v>1405030605</v>
      </c>
      <c r="B986" s="3" t="s">
        <v>124</v>
      </c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</row>
    <row r="987" spans="1:41" ht="28.5" x14ac:dyDescent="0.2">
      <c r="A987" s="2">
        <v>1405030612</v>
      </c>
      <c r="B987" s="4" t="s">
        <v>184</v>
      </c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</row>
    <row r="988" spans="1:41" ht="14.25" x14ac:dyDescent="0.2">
      <c r="A988" s="2">
        <v>14050307</v>
      </c>
      <c r="B988" s="3" t="s">
        <v>112</v>
      </c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</row>
    <row r="989" spans="1:41" ht="14.25" x14ac:dyDescent="0.2">
      <c r="A989" s="2">
        <v>1405030701</v>
      </c>
      <c r="B989" s="3" t="s">
        <v>127</v>
      </c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</row>
    <row r="990" spans="1:41" ht="14.25" x14ac:dyDescent="0.2">
      <c r="A990" s="2">
        <v>1405030702</v>
      </c>
      <c r="B990" s="3" t="s">
        <v>128</v>
      </c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</row>
    <row r="991" spans="1:41" ht="14.25" x14ac:dyDescent="0.2">
      <c r="A991" s="2">
        <v>14050311</v>
      </c>
      <c r="B991" s="3" t="s">
        <v>113</v>
      </c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</row>
    <row r="992" spans="1:41" ht="14.25" x14ac:dyDescent="0.2">
      <c r="A992" s="2">
        <v>14050312</v>
      </c>
      <c r="B992" s="3" t="s">
        <v>114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</row>
    <row r="993" spans="1:41" ht="14.25" x14ac:dyDescent="0.2">
      <c r="A993" s="2">
        <v>14050313</v>
      </c>
      <c r="B993" s="3" t="s">
        <v>129</v>
      </c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</row>
    <row r="994" spans="1:41" ht="14.25" x14ac:dyDescent="0.2">
      <c r="A994" s="2">
        <v>14050319</v>
      </c>
      <c r="B994" s="3" t="s">
        <v>182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</row>
    <row r="995" spans="1:41" x14ac:dyDescent="0.2">
      <c r="A995" s="5">
        <v>1405031902</v>
      </c>
      <c r="B995" s="6" t="s">
        <v>96</v>
      </c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</row>
    <row r="996" spans="1:41" ht="14.25" x14ac:dyDescent="0.2">
      <c r="A996" s="2">
        <v>1405031903</v>
      </c>
      <c r="B996" s="3" t="s">
        <v>97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</row>
    <row r="997" spans="1:41" s="15" customFormat="1" ht="14.25" x14ac:dyDescent="0.2">
      <c r="A997" s="18" t="s">
        <v>1263</v>
      </c>
      <c r="B997" s="19" t="s">
        <v>1264</v>
      </c>
      <c r="C997" s="20">
        <v>272225.99</v>
      </c>
      <c r="D997" s="20">
        <v>268524.43</v>
      </c>
      <c r="E997" s="20">
        <v>273501.83</v>
      </c>
      <c r="F997" s="20">
        <v>295161.78999999998</v>
      </c>
      <c r="G997" s="20">
        <v>381949.02</v>
      </c>
      <c r="H997" s="20">
        <v>366140.87</v>
      </c>
      <c r="I997" s="20">
        <v>364056.91</v>
      </c>
      <c r="J997" s="20">
        <v>414502.24</v>
      </c>
      <c r="K997" s="20">
        <v>430938.64</v>
      </c>
      <c r="L997" s="20">
        <v>496638.3</v>
      </c>
      <c r="M997" s="20">
        <v>455757.52</v>
      </c>
      <c r="N997" s="20">
        <v>475015.5</v>
      </c>
      <c r="O997" s="20">
        <v>472272.26</v>
      </c>
      <c r="P997" s="20">
        <v>542963.02</v>
      </c>
      <c r="Q997" s="20">
        <v>694812.27</v>
      </c>
      <c r="R997" s="20">
        <v>565915.19999999995</v>
      </c>
      <c r="S997" s="20">
        <v>615805.99</v>
      </c>
      <c r="T997" s="20">
        <v>614093.31999999995</v>
      </c>
      <c r="U997" s="20">
        <v>686031</v>
      </c>
      <c r="V997" s="20">
        <v>711824.12</v>
      </c>
      <c r="W997" s="20">
        <v>744728.28</v>
      </c>
      <c r="X997" s="20">
        <v>749167.23</v>
      </c>
      <c r="Y997" s="20">
        <v>771432.36</v>
      </c>
      <c r="Z997" s="20">
        <v>803245.96</v>
      </c>
      <c r="AA997" s="20">
        <v>849135.06</v>
      </c>
      <c r="AB997" s="20">
        <v>760204.75</v>
      </c>
      <c r="AC997" s="20">
        <v>773298.98</v>
      </c>
      <c r="AD997" s="20">
        <v>799660.56</v>
      </c>
      <c r="AE997" s="20">
        <v>942142.62</v>
      </c>
      <c r="AF997" s="20">
        <v>933059.58</v>
      </c>
      <c r="AG997" s="20">
        <v>965321.46</v>
      </c>
      <c r="AH997" s="20">
        <v>990021.24</v>
      </c>
      <c r="AI997" s="20">
        <v>930813.37</v>
      </c>
      <c r="AJ997" s="20">
        <v>928430.6</v>
      </c>
      <c r="AK997" s="20">
        <v>917352.81</v>
      </c>
      <c r="AL997" s="20">
        <v>907064.35</v>
      </c>
      <c r="AM997" s="20">
        <v>894226.34</v>
      </c>
      <c r="AN997" s="20">
        <v>855479.07</v>
      </c>
      <c r="AO997" s="20">
        <v>842771.32</v>
      </c>
    </row>
    <row r="998" spans="1:41" ht="14.25" x14ac:dyDescent="0.2">
      <c r="A998" s="2">
        <v>1405031907</v>
      </c>
      <c r="B998" s="3" t="s">
        <v>112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</row>
    <row r="999" spans="1:41" ht="14.25" x14ac:dyDescent="0.2">
      <c r="A999" s="2">
        <v>1405031911</v>
      </c>
      <c r="B999" s="3" t="s">
        <v>113</v>
      </c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</row>
    <row r="1000" spans="1:41" ht="14.25" x14ac:dyDescent="0.2">
      <c r="A1000" s="2">
        <v>1405031912</v>
      </c>
      <c r="B1000" s="3" t="s">
        <v>114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</row>
    <row r="1001" spans="1:41" ht="14.25" x14ac:dyDescent="0.2">
      <c r="A1001" s="2">
        <v>1405031999</v>
      </c>
      <c r="B1001" s="3" t="s">
        <v>117</v>
      </c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</row>
    <row r="1002" spans="1:41" ht="14.25" x14ac:dyDescent="0.2">
      <c r="A1002" s="2">
        <v>14050399</v>
      </c>
      <c r="B1002" s="3" t="s">
        <v>117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</row>
    <row r="1003" spans="1:41" ht="14.25" x14ac:dyDescent="0.2">
      <c r="A1003" s="2">
        <v>1405039901</v>
      </c>
      <c r="B1003" s="3" t="s">
        <v>118</v>
      </c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</row>
    <row r="1004" spans="1:41" ht="14.25" x14ac:dyDescent="0.2">
      <c r="A1004" s="2">
        <v>1405039902</v>
      </c>
      <c r="B1004" s="3" t="s">
        <v>119</v>
      </c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</row>
    <row r="1005" spans="1:41" ht="14.25" x14ac:dyDescent="0.2">
      <c r="A1005" s="2">
        <v>140504</v>
      </c>
      <c r="B1005" s="3" t="s">
        <v>130</v>
      </c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</row>
    <row r="1006" spans="1:41" ht="14.25" x14ac:dyDescent="0.2">
      <c r="A1006" s="2">
        <v>14050406</v>
      </c>
      <c r="B1006" s="3" t="s">
        <v>131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</row>
    <row r="1007" spans="1:41" ht="14.25" x14ac:dyDescent="0.2">
      <c r="A1007" s="2">
        <v>1405040601</v>
      </c>
      <c r="B1007" s="3" t="s">
        <v>132</v>
      </c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</row>
    <row r="1008" spans="1:41" ht="14.25" x14ac:dyDescent="0.2">
      <c r="A1008" s="2">
        <v>1405040602</v>
      </c>
      <c r="B1008" s="3" t="s">
        <v>133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</row>
    <row r="1009" spans="1:41" ht="14.25" x14ac:dyDescent="0.2">
      <c r="A1009" s="2">
        <v>14050419</v>
      </c>
      <c r="B1009" s="3" t="s">
        <v>182</v>
      </c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</row>
    <row r="1010" spans="1:41" ht="14.25" x14ac:dyDescent="0.2">
      <c r="A1010" s="2">
        <v>1405041906</v>
      </c>
      <c r="B1010" s="3" t="s">
        <v>131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</row>
    <row r="1011" spans="1:41" ht="14.25" x14ac:dyDescent="0.2">
      <c r="A1011" s="2">
        <v>1405041923</v>
      </c>
      <c r="B1011" s="3" t="s">
        <v>179</v>
      </c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</row>
    <row r="1012" spans="1:41" ht="28.5" x14ac:dyDescent="0.2">
      <c r="A1012" s="2">
        <v>1405041924</v>
      </c>
      <c r="B1012" s="4" t="s">
        <v>135</v>
      </c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</row>
    <row r="1013" spans="1:41" ht="28.5" x14ac:dyDescent="0.2">
      <c r="A1013" s="2">
        <v>1405041925</v>
      </c>
      <c r="B1013" s="4" t="s">
        <v>136</v>
      </c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</row>
    <row r="1014" spans="1:41" ht="14.25" x14ac:dyDescent="0.2">
      <c r="A1014" s="2">
        <v>1405041928</v>
      </c>
      <c r="B1014" s="3" t="s">
        <v>137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</row>
    <row r="1015" spans="1:41" ht="14.25" x14ac:dyDescent="0.2">
      <c r="A1015" s="2">
        <v>1405041999</v>
      </c>
      <c r="B1015" s="3" t="s">
        <v>117</v>
      </c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</row>
    <row r="1016" spans="1:41" ht="14.25" x14ac:dyDescent="0.2">
      <c r="A1016" s="2">
        <v>14050423</v>
      </c>
      <c r="B1016" s="3" t="s">
        <v>179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</row>
    <row r="1017" spans="1:41" ht="28.5" x14ac:dyDescent="0.2">
      <c r="A1017" s="2">
        <v>14050424</v>
      </c>
      <c r="B1017" s="4" t="s">
        <v>135</v>
      </c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</row>
    <row r="1018" spans="1:41" ht="28.5" x14ac:dyDescent="0.2">
      <c r="A1018" s="2">
        <v>14050425</v>
      </c>
      <c r="B1018" s="4" t="s">
        <v>136</v>
      </c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</row>
    <row r="1019" spans="1:41" ht="14.25" x14ac:dyDescent="0.2">
      <c r="A1019" s="2">
        <v>14050428</v>
      </c>
      <c r="B1019" s="3" t="s">
        <v>137</v>
      </c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</row>
    <row r="1020" spans="1:41" ht="14.25" x14ac:dyDescent="0.2">
      <c r="A1020" s="2">
        <v>14050499</v>
      </c>
      <c r="B1020" s="3" t="s">
        <v>117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</row>
    <row r="1021" spans="1:41" x14ac:dyDescent="0.2">
      <c r="A1021" s="5">
        <v>140507</v>
      </c>
      <c r="B1021" s="6" t="s">
        <v>138</v>
      </c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</row>
    <row r="1022" spans="1:41" x14ac:dyDescent="0.2">
      <c r="A1022" s="5">
        <v>14050702</v>
      </c>
      <c r="B1022" s="6" t="s">
        <v>96</v>
      </c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</row>
    <row r="1023" spans="1:41" x14ac:dyDescent="0.2">
      <c r="A1023" s="5">
        <v>14050703</v>
      </c>
      <c r="B1023" s="6" t="s">
        <v>139</v>
      </c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</row>
    <row r="1024" spans="1:41" x14ac:dyDescent="0.2">
      <c r="A1024" s="5">
        <v>14050704</v>
      </c>
      <c r="B1024" s="6" t="s">
        <v>140</v>
      </c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</row>
    <row r="1025" spans="1:41" x14ac:dyDescent="0.2">
      <c r="A1025" s="5">
        <v>14050705</v>
      </c>
      <c r="B1025" s="6" t="s">
        <v>145</v>
      </c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</row>
    <row r="1026" spans="1:41" x14ac:dyDescent="0.2">
      <c r="A1026" s="5">
        <v>14050706</v>
      </c>
      <c r="B1026" s="6" t="s">
        <v>150</v>
      </c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</row>
    <row r="1027" spans="1:41" x14ac:dyDescent="0.2">
      <c r="A1027" s="5">
        <v>14050707</v>
      </c>
      <c r="B1027" s="6" t="s">
        <v>151</v>
      </c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</row>
    <row r="1028" spans="1:41" x14ac:dyDescent="0.2">
      <c r="A1028" s="5">
        <v>14050711</v>
      </c>
      <c r="B1028" s="6" t="s">
        <v>152</v>
      </c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</row>
    <row r="1029" spans="1:41" x14ac:dyDescent="0.2">
      <c r="A1029" s="5">
        <v>14050712</v>
      </c>
      <c r="B1029" s="6" t="s">
        <v>153</v>
      </c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</row>
    <row r="1030" spans="1:41" x14ac:dyDescent="0.2">
      <c r="A1030" s="5">
        <v>14050719</v>
      </c>
      <c r="B1030" s="6" t="s">
        <v>185</v>
      </c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</row>
    <row r="1031" spans="1:41" x14ac:dyDescent="0.2">
      <c r="A1031" s="5">
        <v>1405071902</v>
      </c>
      <c r="B1031" s="6" t="s">
        <v>96</v>
      </c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</row>
    <row r="1032" spans="1:41" x14ac:dyDescent="0.2">
      <c r="A1032" s="5">
        <v>1405071903</v>
      </c>
      <c r="B1032" s="6" t="s">
        <v>139</v>
      </c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</row>
    <row r="1033" spans="1:41" x14ac:dyDescent="0.2">
      <c r="A1033" s="5">
        <v>1405071904</v>
      </c>
      <c r="B1033" s="6" t="s">
        <v>140</v>
      </c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</row>
    <row r="1034" spans="1:41" x14ac:dyDescent="0.2">
      <c r="A1034" s="5">
        <v>1405071905</v>
      </c>
      <c r="B1034" s="6" t="s">
        <v>145</v>
      </c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</row>
    <row r="1035" spans="1:41" x14ac:dyDescent="0.2">
      <c r="A1035" s="5">
        <v>1405071906</v>
      </c>
      <c r="B1035" s="6" t="s">
        <v>150</v>
      </c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</row>
    <row r="1036" spans="1:41" x14ac:dyDescent="0.2">
      <c r="A1036" s="5">
        <v>1405071907</v>
      </c>
      <c r="B1036" s="6" t="s">
        <v>151</v>
      </c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</row>
    <row r="1037" spans="1:41" x14ac:dyDescent="0.2">
      <c r="A1037" s="5">
        <v>1405071911</v>
      </c>
      <c r="B1037" s="6" t="s">
        <v>152</v>
      </c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</row>
    <row r="1038" spans="1:41" x14ac:dyDescent="0.2">
      <c r="A1038" s="5">
        <v>1405071912</v>
      </c>
      <c r="B1038" s="6" t="s">
        <v>153</v>
      </c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</row>
    <row r="1039" spans="1:41" x14ac:dyDescent="0.2">
      <c r="A1039" s="5">
        <v>1405071927</v>
      </c>
      <c r="B1039" s="6" t="s">
        <v>177</v>
      </c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</row>
    <row r="1040" spans="1:41" x14ac:dyDescent="0.2">
      <c r="A1040" s="5">
        <v>1405071999</v>
      </c>
      <c r="B1040" s="6" t="s">
        <v>156</v>
      </c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</row>
    <row r="1041" spans="1:41" x14ac:dyDescent="0.2">
      <c r="A1041" s="5">
        <v>14050721</v>
      </c>
      <c r="B1041" s="6" t="s">
        <v>154</v>
      </c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</row>
    <row r="1042" spans="1:41" x14ac:dyDescent="0.2">
      <c r="A1042" s="5">
        <v>14050722</v>
      </c>
      <c r="B1042" s="6" t="s">
        <v>186</v>
      </c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</row>
    <row r="1043" spans="1:41" x14ac:dyDescent="0.2">
      <c r="A1043" s="5">
        <v>1405072206</v>
      </c>
      <c r="B1043" s="6" t="s">
        <v>150</v>
      </c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</row>
    <row r="1044" spans="1:41" x14ac:dyDescent="0.2">
      <c r="A1044" s="5">
        <v>1405072207</v>
      </c>
      <c r="B1044" s="6" t="s">
        <v>151</v>
      </c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</row>
    <row r="1045" spans="1:41" x14ac:dyDescent="0.2">
      <c r="A1045" s="5">
        <v>1405072211</v>
      </c>
      <c r="B1045" s="6" t="s">
        <v>152</v>
      </c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</row>
    <row r="1046" spans="1:41" x14ac:dyDescent="0.2">
      <c r="A1046" s="5">
        <v>1405072212</v>
      </c>
      <c r="B1046" s="6" t="s">
        <v>153</v>
      </c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</row>
    <row r="1047" spans="1:41" x14ac:dyDescent="0.2">
      <c r="A1047" s="5">
        <v>1405072227</v>
      </c>
      <c r="B1047" s="6" t="s">
        <v>177</v>
      </c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</row>
    <row r="1048" spans="1:41" x14ac:dyDescent="0.2">
      <c r="A1048" s="5">
        <v>1405072299</v>
      </c>
      <c r="B1048" s="6" t="s">
        <v>156</v>
      </c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</row>
    <row r="1049" spans="1:41" x14ac:dyDescent="0.2">
      <c r="A1049" s="5">
        <v>14050727</v>
      </c>
      <c r="B1049" s="6" t="s">
        <v>177</v>
      </c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</row>
    <row r="1050" spans="1:41" x14ac:dyDescent="0.2">
      <c r="A1050" s="5">
        <v>14050799</v>
      </c>
      <c r="B1050" s="6" t="s">
        <v>156</v>
      </c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</row>
    <row r="1051" spans="1:41" x14ac:dyDescent="0.2">
      <c r="A1051" s="5">
        <v>1405079901</v>
      </c>
      <c r="B1051" s="6" t="s">
        <v>157</v>
      </c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</row>
    <row r="1052" spans="1:41" x14ac:dyDescent="0.2">
      <c r="A1052" s="5">
        <v>1405079902</v>
      </c>
      <c r="B1052" s="6" t="s">
        <v>158</v>
      </c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</row>
    <row r="1053" spans="1:41" ht="14.25" x14ac:dyDescent="0.2">
      <c r="A1053" s="2">
        <v>140509</v>
      </c>
      <c r="B1053" s="3" t="s">
        <v>159</v>
      </c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</row>
    <row r="1054" spans="1:41" ht="14.25" x14ac:dyDescent="0.2">
      <c r="A1054" s="2">
        <v>14050906</v>
      </c>
      <c r="B1054" s="3" t="s">
        <v>131</v>
      </c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</row>
    <row r="1055" spans="1:41" ht="14.25" x14ac:dyDescent="0.2">
      <c r="A1055" s="2">
        <v>1405090611</v>
      </c>
      <c r="B1055" s="3" t="s">
        <v>160</v>
      </c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</row>
    <row r="1056" spans="1:41" ht="14.25" x14ac:dyDescent="0.2">
      <c r="A1056" s="2">
        <v>1405090612</v>
      </c>
      <c r="B1056" s="3" t="s">
        <v>161</v>
      </c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</row>
    <row r="1057" spans="1:41" ht="14.25" x14ac:dyDescent="0.2">
      <c r="A1057" s="2">
        <v>14050919</v>
      </c>
      <c r="B1057" s="3" t="s">
        <v>182</v>
      </c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</row>
    <row r="1058" spans="1:41" ht="14.25" x14ac:dyDescent="0.2">
      <c r="A1058" s="2">
        <v>1405091906</v>
      </c>
      <c r="B1058" s="3" t="s">
        <v>131</v>
      </c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</row>
    <row r="1059" spans="1:41" ht="14.25" x14ac:dyDescent="0.2">
      <c r="A1059" s="2">
        <v>1405091999</v>
      </c>
      <c r="B1059" s="3" t="s">
        <v>117</v>
      </c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</row>
    <row r="1060" spans="1:41" ht="14.25" x14ac:dyDescent="0.2">
      <c r="A1060" s="2">
        <v>14050999</v>
      </c>
      <c r="B1060" s="3" t="s">
        <v>117</v>
      </c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</row>
    <row r="1061" spans="1:41" ht="14.25" x14ac:dyDescent="0.2">
      <c r="A1061" s="2">
        <v>1405099901</v>
      </c>
      <c r="B1061" s="3" t="s">
        <v>118</v>
      </c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</row>
    <row r="1062" spans="1:41" ht="14.25" x14ac:dyDescent="0.2">
      <c r="A1062" s="2">
        <v>1405099902</v>
      </c>
      <c r="B1062" s="3" t="s">
        <v>119</v>
      </c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</row>
    <row r="1063" spans="1:41" ht="14.25" x14ac:dyDescent="0.2">
      <c r="A1063" s="2">
        <v>140510</v>
      </c>
      <c r="B1063" s="3" t="s">
        <v>162</v>
      </c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</row>
    <row r="1064" spans="1:41" x14ac:dyDescent="0.2">
      <c r="A1064" s="5">
        <v>14051002</v>
      </c>
      <c r="B1064" s="6" t="s">
        <v>96</v>
      </c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</row>
    <row r="1065" spans="1:41" ht="14.25" x14ac:dyDescent="0.2">
      <c r="A1065" s="2">
        <v>14051003</v>
      </c>
      <c r="B1065" s="3" t="s">
        <v>97</v>
      </c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</row>
    <row r="1066" spans="1:41" ht="14.25" x14ac:dyDescent="0.2">
      <c r="A1066" s="2">
        <v>14051004</v>
      </c>
      <c r="B1066" s="3" t="s">
        <v>101</v>
      </c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</row>
    <row r="1067" spans="1:41" ht="14.25" x14ac:dyDescent="0.2">
      <c r="A1067" s="2">
        <v>14051005</v>
      </c>
      <c r="B1067" s="3" t="s">
        <v>106</v>
      </c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</row>
    <row r="1068" spans="1:41" ht="14.25" x14ac:dyDescent="0.2">
      <c r="A1068" s="2">
        <v>14051006</v>
      </c>
      <c r="B1068" s="3" t="s">
        <v>111</v>
      </c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</row>
    <row r="1069" spans="1:41" ht="14.25" x14ac:dyDescent="0.2">
      <c r="A1069" s="2">
        <v>14051007</v>
      </c>
      <c r="B1069" s="3" t="s">
        <v>112</v>
      </c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</row>
    <row r="1070" spans="1:41" ht="14.25" x14ac:dyDescent="0.2">
      <c r="A1070" s="2">
        <v>14051011</v>
      </c>
      <c r="B1070" s="3" t="s">
        <v>113</v>
      </c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</row>
    <row r="1071" spans="1:41" ht="14.25" x14ac:dyDescent="0.2">
      <c r="A1071" s="2">
        <v>14051012</v>
      </c>
      <c r="B1071" s="3" t="s">
        <v>114</v>
      </c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</row>
    <row r="1072" spans="1:41" ht="14.25" x14ac:dyDescent="0.2">
      <c r="A1072" s="2">
        <v>14051019</v>
      </c>
      <c r="B1072" s="3" t="s">
        <v>182</v>
      </c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</row>
    <row r="1073" spans="1:41" x14ac:dyDescent="0.2">
      <c r="A1073" s="5">
        <v>1405101902</v>
      </c>
      <c r="B1073" s="6" t="s">
        <v>96</v>
      </c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</row>
    <row r="1074" spans="1:41" ht="14.25" x14ac:dyDescent="0.2">
      <c r="A1074" s="2">
        <v>1405101903</v>
      </c>
      <c r="B1074" s="3" t="s">
        <v>97</v>
      </c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</row>
    <row r="1075" spans="1:41" ht="14.25" x14ac:dyDescent="0.2">
      <c r="A1075" s="2">
        <v>1405101904</v>
      </c>
      <c r="B1075" s="3" t="s">
        <v>101</v>
      </c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</row>
    <row r="1076" spans="1:41" ht="14.25" x14ac:dyDescent="0.2">
      <c r="A1076" s="2">
        <v>1405101905</v>
      </c>
      <c r="B1076" s="3" t="s">
        <v>106</v>
      </c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</row>
    <row r="1077" spans="1:41" ht="14.25" x14ac:dyDescent="0.2">
      <c r="A1077" s="2">
        <v>1405101906</v>
      </c>
      <c r="B1077" s="3" t="s">
        <v>111</v>
      </c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</row>
    <row r="1078" spans="1:41" ht="14.25" x14ac:dyDescent="0.2">
      <c r="A1078" s="2">
        <v>1405101907</v>
      </c>
      <c r="B1078" s="3" t="s">
        <v>112</v>
      </c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</row>
    <row r="1079" spans="1:41" ht="14.25" x14ac:dyDescent="0.2">
      <c r="A1079" s="2">
        <v>1405101911</v>
      </c>
      <c r="B1079" s="3" t="s">
        <v>113</v>
      </c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</row>
    <row r="1080" spans="1:41" ht="14.25" x14ac:dyDescent="0.2">
      <c r="A1080" s="2">
        <v>1405101912</v>
      </c>
      <c r="B1080" s="3" t="s">
        <v>114</v>
      </c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</row>
    <row r="1081" spans="1:41" ht="14.25" x14ac:dyDescent="0.2">
      <c r="A1081" s="2">
        <v>1405101927</v>
      </c>
      <c r="B1081" s="3" t="s">
        <v>166</v>
      </c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</row>
    <row r="1082" spans="1:41" x14ac:dyDescent="0.2">
      <c r="A1082" s="5">
        <v>1405101930</v>
      </c>
      <c r="B1082" s="6" t="s">
        <v>167</v>
      </c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</row>
    <row r="1083" spans="1:41" x14ac:dyDescent="0.2">
      <c r="A1083" s="5">
        <v>1405101931</v>
      </c>
      <c r="B1083" s="6" t="s">
        <v>168</v>
      </c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</row>
    <row r="1084" spans="1:41" x14ac:dyDescent="0.2">
      <c r="A1084" s="5">
        <v>1405101932</v>
      </c>
      <c r="B1084" s="6" t="s">
        <v>169</v>
      </c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</row>
    <row r="1085" spans="1:41" x14ac:dyDescent="0.2">
      <c r="A1085" s="5">
        <v>1405101933</v>
      </c>
      <c r="B1085" s="6" t="s">
        <v>170</v>
      </c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</row>
    <row r="1086" spans="1:41" x14ac:dyDescent="0.2">
      <c r="A1086" s="5">
        <v>1405101934</v>
      </c>
      <c r="B1086" s="6" t="s">
        <v>171</v>
      </c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</row>
    <row r="1087" spans="1:41" ht="14.25" x14ac:dyDescent="0.2">
      <c r="A1087" s="2">
        <v>1405101999</v>
      </c>
      <c r="B1087" s="3" t="s">
        <v>117</v>
      </c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</row>
    <row r="1088" spans="1:41" ht="14.25" x14ac:dyDescent="0.2">
      <c r="A1088" s="2">
        <v>14051021</v>
      </c>
      <c r="B1088" s="3" t="s">
        <v>115</v>
      </c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</row>
    <row r="1089" spans="1:41" ht="14.25" x14ac:dyDescent="0.2">
      <c r="A1089" s="2">
        <v>14051022</v>
      </c>
      <c r="B1089" s="3" t="s">
        <v>183</v>
      </c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</row>
    <row r="1090" spans="1:41" ht="14.25" x14ac:dyDescent="0.2">
      <c r="A1090" s="2">
        <v>1405102206</v>
      </c>
      <c r="B1090" s="3" t="s">
        <v>111</v>
      </c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</row>
    <row r="1091" spans="1:41" ht="14.25" x14ac:dyDescent="0.2">
      <c r="A1091" s="2">
        <v>1405102207</v>
      </c>
      <c r="B1091" s="3" t="s">
        <v>112</v>
      </c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</row>
    <row r="1092" spans="1:41" ht="14.25" x14ac:dyDescent="0.2">
      <c r="A1092" s="2">
        <v>1405102211</v>
      </c>
      <c r="B1092" s="3" t="s">
        <v>113</v>
      </c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</row>
    <row r="1093" spans="1:41" ht="14.25" x14ac:dyDescent="0.2">
      <c r="A1093" s="2">
        <v>1405102212</v>
      </c>
      <c r="B1093" s="3" t="s">
        <v>114</v>
      </c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</row>
    <row r="1094" spans="1:41" ht="14.25" x14ac:dyDescent="0.2">
      <c r="A1094" s="2">
        <v>1405102227</v>
      </c>
      <c r="B1094" s="3" t="s">
        <v>166</v>
      </c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</row>
    <row r="1095" spans="1:41" ht="14.25" x14ac:dyDescent="0.2">
      <c r="A1095" s="2">
        <v>1405102299</v>
      </c>
      <c r="B1095" s="3" t="s">
        <v>117</v>
      </c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</row>
    <row r="1096" spans="1:41" ht="14.25" x14ac:dyDescent="0.2">
      <c r="A1096" s="2">
        <v>14051027</v>
      </c>
      <c r="B1096" s="3" t="s">
        <v>166</v>
      </c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</row>
    <row r="1097" spans="1:41" x14ac:dyDescent="0.2">
      <c r="A1097" s="5">
        <v>14051030</v>
      </c>
      <c r="B1097" s="6" t="s">
        <v>167</v>
      </c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</row>
    <row r="1098" spans="1:41" x14ac:dyDescent="0.2">
      <c r="A1098" s="5">
        <v>14051031</v>
      </c>
      <c r="B1098" s="6" t="s">
        <v>168</v>
      </c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</row>
    <row r="1099" spans="1:41" x14ac:dyDescent="0.2">
      <c r="A1099" s="5">
        <v>14051032</v>
      </c>
      <c r="B1099" s="6" t="s">
        <v>169</v>
      </c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</row>
    <row r="1100" spans="1:41" x14ac:dyDescent="0.2">
      <c r="A1100" s="5">
        <v>14051033</v>
      </c>
      <c r="B1100" s="6" t="s">
        <v>170</v>
      </c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</row>
    <row r="1101" spans="1:41" x14ac:dyDescent="0.2">
      <c r="A1101" s="5">
        <v>14051034</v>
      </c>
      <c r="B1101" s="6" t="s">
        <v>171</v>
      </c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</row>
    <row r="1102" spans="1:41" ht="14.25" x14ac:dyDescent="0.2">
      <c r="A1102" s="2">
        <v>14051099</v>
      </c>
      <c r="B1102" s="3" t="s">
        <v>117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</row>
    <row r="1103" spans="1:41" ht="14.25" x14ac:dyDescent="0.2">
      <c r="A1103" s="2">
        <v>1405109901</v>
      </c>
      <c r="B1103" s="3" t="s">
        <v>118</v>
      </c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</row>
    <row r="1104" spans="1:41" ht="14.25" x14ac:dyDescent="0.2">
      <c r="A1104" s="2">
        <v>1405109902</v>
      </c>
      <c r="B1104" s="3" t="s">
        <v>119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</row>
    <row r="1105" spans="1:41" ht="14.25" x14ac:dyDescent="0.2">
      <c r="A1105" s="2">
        <v>140511</v>
      </c>
      <c r="B1105" s="3" t="s">
        <v>172</v>
      </c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</row>
    <row r="1106" spans="1:41" x14ac:dyDescent="0.2">
      <c r="A1106" s="5">
        <v>14051102</v>
      </c>
      <c r="B1106" s="6" t="s">
        <v>96</v>
      </c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</row>
    <row r="1107" spans="1:41" ht="14.25" x14ac:dyDescent="0.2">
      <c r="A1107" s="2">
        <v>14051103</v>
      </c>
      <c r="B1107" s="3" t="s">
        <v>97</v>
      </c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</row>
    <row r="1108" spans="1:41" ht="14.25" x14ac:dyDescent="0.2">
      <c r="A1108" s="2">
        <v>14051104</v>
      </c>
      <c r="B1108" s="3" t="s">
        <v>101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</row>
    <row r="1109" spans="1:41" ht="14.25" x14ac:dyDescent="0.2">
      <c r="A1109" s="2">
        <v>14051105</v>
      </c>
      <c r="B1109" s="3" t="s">
        <v>106</v>
      </c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</row>
    <row r="1110" spans="1:41" ht="14.25" x14ac:dyDescent="0.2">
      <c r="A1110" s="2">
        <v>14051106</v>
      </c>
      <c r="B1110" s="3" t="s">
        <v>111</v>
      </c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</row>
    <row r="1111" spans="1:41" ht="14.25" x14ac:dyDescent="0.2">
      <c r="A1111" s="2">
        <v>14051107</v>
      </c>
      <c r="B1111" s="3" t="s">
        <v>112</v>
      </c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</row>
    <row r="1112" spans="1:41" ht="14.25" x14ac:dyDescent="0.2">
      <c r="A1112" s="2">
        <v>14051111</v>
      </c>
      <c r="B1112" s="3" t="s">
        <v>113</v>
      </c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</row>
    <row r="1113" spans="1:41" ht="14.25" x14ac:dyDescent="0.2">
      <c r="A1113" s="2">
        <v>14051112</v>
      </c>
      <c r="B1113" s="3" t="s">
        <v>114</v>
      </c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</row>
    <row r="1114" spans="1:41" ht="14.25" x14ac:dyDescent="0.2">
      <c r="A1114" s="2">
        <v>14051119</v>
      </c>
      <c r="B1114" s="3" t="s">
        <v>182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</row>
    <row r="1115" spans="1:41" x14ac:dyDescent="0.2">
      <c r="A1115" s="5">
        <v>1405111902</v>
      </c>
      <c r="B1115" s="6" t="s">
        <v>96</v>
      </c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</row>
    <row r="1116" spans="1:41" ht="14.25" x14ac:dyDescent="0.2">
      <c r="A1116" s="2">
        <v>1405111903</v>
      </c>
      <c r="B1116" s="3" t="s">
        <v>97</v>
      </c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</row>
    <row r="1117" spans="1:41" ht="14.25" x14ac:dyDescent="0.2">
      <c r="A1117" s="2">
        <v>1405111904</v>
      </c>
      <c r="B1117" s="3" t="s">
        <v>101</v>
      </c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</row>
    <row r="1118" spans="1:41" ht="14.25" x14ac:dyDescent="0.2">
      <c r="A1118" s="2">
        <v>1405111905</v>
      </c>
      <c r="B1118" s="3" t="s">
        <v>106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</row>
    <row r="1119" spans="1:41" ht="14.25" x14ac:dyDescent="0.2">
      <c r="A1119" s="2">
        <v>1405111906</v>
      </c>
      <c r="B1119" s="3" t="s">
        <v>111</v>
      </c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</row>
    <row r="1120" spans="1:41" ht="14.25" x14ac:dyDescent="0.2">
      <c r="A1120" s="2">
        <v>1405111907</v>
      </c>
      <c r="B1120" s="3" t="s">
        <v>112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</row>
    <row r="1121" spans="1:41" ht="14.25" x14ac:dyDescent="0.2">
      <c r="A1121" s="2">
        <v>1405111911</v>
      </c>
      <c r="B1121" s="3" t="s">
        <v>113</v>
      </c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</row>
    <row r="1122" spans="1:41" ht="14.25" x14ac:dyDescent="0.2">
      <c r="A1122" s="2">
        <v>1405111912</v>
      </c>
      <c r="B1122" s="3" t="s">
        <v>114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</row>
    <row r="1123" spans="1:41" ht="14.25" x14ac:dyDescent="0.2">
      <c r="A1123" s="2">
        <v>1405111927</v>
      </c>
      <c r="B1123" s="3" t="s">
        <v>166</v>
      </c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</row>
    <row r="1124" spans="1:41" x14ac:dyDescent="0.2">
      <c r="A1124" s="5">
        <v>1405111930</v>
      </c>
      <c r="B1124" s="6" t="s">
        <v>167</v>
      </c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</row>
    <row r="1125" spans="1:41" x14ac:dyDescent="0.2">
      <c r="A1125" s="5">
        <v>1405111931</v>
      </c>
      <c r="B1125" s="6" t="s">
        <v>168</v>
      </c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</row>
    <row r="1126" spans="1:41" x14ac:dyDescent="0.2">
      <c r="A1126" s="5">
        <v>1405111932</v>
      </c>
      <c r="B1126" s="6" t="s">
        <v>169</v>
      </c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</row>
    <row r="1127" spans="1:41" x14ac:dyDescent="0.2">
      <c r="A1127" s="5">
        <v>1405111933</v>
      </c>
      <c r="B1127" s="6" t="s">
        <v>170</v>
      </c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</row>
    <row r="1128" spans="1:41" x14ac:dyDescent="0.2">
      <c r="A1128" s="5">
        <v>1405111934</v>
      </c>
      <c r="B1128" s="6" t="s">
        <v>171</v>
      </c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</row>
    <row r="1129" spans="1:41" ht="14.25" x14ac:dyDescent="0.2">
      <c r="A1129" s="2">
        <v>1405111999</v>
      </c>
      <c r="B1129" s="3" t="s">
        <v>117</v>
      </c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</row>
    <row r="1130" spans="1:41" ht="14.25" x14ac:dyDescent="0.2">
      <c r="A1130" s="2">
        <v>14051121</v>
      </c>
      <c r="B1130" s="3" t="s">
        <v>115</v>
      </c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</row>
    <row r="1131" spans="1:41" ht="14.25" x14ac:dyDescent="0.2">
      <c r="A1131" s="2">
        <v>14051122</v>
      </c>
      <c r="B1131" s="3" t="s">
        <v>183</v>
      </c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</row>
    <row r="1132" spans="1:41" ht="14.25" x14ac:dyDescent="0.2">
      <c r="A1132" s="2">
        <v>1405112206</v>
      </c>
      <c r="B1132" s="3" t="s">
        <v>131</v>
      </c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</row>
    <row r="1133" spans="1:41" ht="14.25" x14ac:dyDescent="0.2">
      <c r="A1133" s="2">
        <v>1405112227</v>
      </c>
      <c r="B1133" s="3" t="s">
        <v>166</v>
      </c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</row>
    <row r="1134" spans="1:41" ht="14.25" x14ac:dyDescent="0.2">
      <c r="A1134" s="2">
        <v>1405112299</v>
      </c>
      <c r="B1134" s="3" t="s">
        <v>117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</row>
    <row r="1135" spans="1:41" ht="14.25" x14ac:dyDescent="0.2">
      <c r="A1135" s="2">
        <v>14051127</v>
      </c>
      <c r="B1135" s="3" t="s">
        <v>166</v>
      </c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</row>
    <row r="1136" spans="1:41" x14ac:dyDescent="0.2">
      <c r="A1136" s="5">
        <v>14051130</v>
      </c>
      <c r="B1136" s="6" t="s">
        <v>167</v>
      </c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</row>
    <row r="1137" spans="1:41" x14ac:dyDescent="0.2">
      <c r="A1137" s="5">
        <v>14051131</v>
      </c>
      <c r="B1137" s="6" t="s">
        <v>168</v>
      </c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</row>
    <row r="1138" spans="1:41" x14ac:dyDescent="0.2">
      <c r="A1138" s="5">
        <v>14051132</v>
      </c>
      <c r="B1138" s="6" t="s">
        <v>169</v>
      </c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</row>
    <row r="1139" spans="1:41" x14ac:dyDescent="0.2">
      <c r="A1139" s="5">
        <v>14051133</v>
      </c>
      <c r="B1139" s="6" t="s">
        <v>187</v>
      </c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</row>
    <row r="1140" spans="1:41" x14ac:dyDescent="0.2">
      <c r="A1140" s="5">
        <v>14051134</v>
      </c>
      <c r="B1140" s="6" t="s">
        <v>171</v>
      </c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</row>
    <row r="1141" spans="1:41" ht="14.25" x14ac:dyDescent="0.2">
      <c r="A1141" s="2">
        <v>14051199</v>
      </c>
      <c r="B1141" s="3" t="s">
        <v>117</v>
      </c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</row>
    <row r="1142" spans="1:41" ht="14.25" x14ac:dyDescent="0.2">
      <c r="A1142" s="2">
        <v>1405119901</v>
      </c>
      <c r="B1142" s="3" t="s">
        <v>118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</row>
    <row r="1143" spans="1:41" ht="14.25" x14ac:dyDescent="0.2">
      <c r="A1143" s="2">
        <v>1405119902</v>
      </c>
      <c r="B1143" s="3" t="s">
        <v>119</v>
      </c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</row>
    <row r="1144" spans="1:41" ht="14.25" x14ac:dyDescent="0.2">
      <c r="A1144" s="2">
        <v>140512</v>
      </c>
      <c r="B1144" s="3" t="s">
        <v>174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</row>
    <row r="1145" spans="1:41" x14ac:dyDescent="0.2">
      <c r="A1145" s="5">
        <v>14051202</v>
      </c>
      <c r="B1145" s="6" t="s">
        <v>96</v>
      </c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</row>
    <row r="1146" spans="1:41" ht="14.25" x14ac:dyDescent="0.2">
      <c r="A1146" s="2">
        <v>14051203</v>
      </c>
      <c r="B1146" s="3" t="s">
        <v>97</v>
      </c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</row>
    <row r="1147" spans="1:41" ht="14.25" x14ac:dyDescent="0.2">
      <c r="A1147" s="2">
        <v>14051204</v>
      </c>
      <c r="B1147" s="3" t="s">
        <v>101</v>
      </c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</row>
    <row r="1148" spans="1:41" ht="14.25" x14ac:dyDescent="0.2">
      <c r="A1148" s="2">
        <v>14051205</v>
      </c>
      <c r="B1148" s="3" t="s">
        <v>106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</row>
    <row r="1149" spans="1:41" ht="14.25" x14ac:dyDescent="0.2">
      <c r="A1149" s="2">
        <v>14051206</v>
      </c>
      <c r="B1149" s="3" t="s">
        <v>111</v>
      </c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</row>
    <row r="1150" spans="1:41" ht="14.25" x14ac:dyDescent="0.2">
      <c r="A1150" s="2">
        <v>14051207</v>
      </c>
      <c r="B1150" s="3" t="s">
        <v>112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</row>
    <row r="1151" spans="1:41" ht="14.25" x14ac:dyDescent="0.2">
      <c r="A1151" s="2">
        <v>14051211</v>
      </c>
      <c r="B1151" s="3" t="s">
        <v>113</v>
      </c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</row>
    <row r="1152" spans="1:41" ht="14.25" x14ac:dyDescent="0.2">
      <c r="A1152" s="2">
        <v>14051212</v>
      </c>
      <c r="B1152" s="3" t="s">
        <v>114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</row>
    <row r="1153" spans="1:41" ht="14.25" x14ac:dyDescent="0.2">
      <c r="A1153" s="2">
        <v>14051219</v>
      </c>
      <c r="B1153" s="3" t="s">
        <v>182</v>
      </c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</row>
    <row r="1154" spans="1:41" x14ac:dyDescent="0.2">
      <c r="A1154" s="5">
        <v>1405121902</v>
      </c>
      <c r="B1154" s="6" t="s">
        <v>96</v>
      </c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</row>
    <row r="1155" spans="1:41" ht="14.25" x14ac:dyDescent="0.2">
      <c r="A1155" s="2">
        <v>1405121903</v>
      </c>
      <c r="B1155" s="3" t="s">
        <v>97</v>
      </c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</row>
    <row r="1156" spans="1:41" ht="14.25" x14ac:dyDescent="0.2">
      <c r="A1156" s="2">
        <v>1405121904</v>
      </c>
      <c r="B1156" s="3" t="s">
        <v>101</v>
      </c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</row>
    <row r="1157" spans="1:41" ht="14.25" x14ac:dyDescent="0.2">
      <c r="A1157" s="2">
        <v>1405121905</v>
      </c>
      <c r="B1157" s="3" t="s">
        <v>106</v>
      </c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</row>
    <row r="1158" spans="1:41" ht="14.25" x14ac:dyDescent="0.2">
      <c r="A1158" s="2">
        <v>1405121906</v>
      </c>
      <c r="B1158" s="3" t="s">
        <v>111</v>
      </c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</row>
    <row r="1159" spans="1:41" ht="14.25" x14ac:dyDescent="0.2">
      <c r="A1159" s="2">
        <v>1405121907</v>
      </c>
      <c r="B1159" s="3" t="s">
        <v>112</v>
      </c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</row>
    <row r="1160" spans="1:41" ht="14.25" x14ac:dyDescent="0.2">
      <c r="A1160" s="2">
        <v>1405121911</v>
      </c>
      <c r="B1160" s="3" t="s">
        <v>113</v>
      </c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</row>
    <row r="1161" spans="1:41" ht="14.25" x14ac:dyDescent="0.2">
      <c r="A1161" s="2">
        <v>1405121912</v>
      </c>
      <c r="B1161" s="3" t="s">
        <v>114</v>
      </c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</row>
    <row r="1162" spans="1:41" ht="14.25" x14ac:dyDescent="0.2">
      <c r="A1162" s="2">
        <v>1405121927</v>
      </c>
      <c r="B1162" s="3" t="s">
        <v>166</v>
      </c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</row>
    <row r="1163" spans="1:41" x14ac:dyDescent="0.2">
      <c r="A1163" s="5">
        <v>1405121930</v>
      </c>
      <c r="B1163" s="6" t="s">
        <v>167</v>
      </c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</row>
    <row r="1164" spans="1:41" x14ac:dyDescent="0.2">
      <c r="A1164" s="5">
        <v>1405121931</v>
      </c>
      <c r="B1164" s="6" t="s">
        <v>168</v>
      </c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</row>
    <row r="1165" spans="1:41" x14ac:dyDescent="0.2">
      <c r="A1165" s="5">
        <v>1405121932</v>
      </c>
      <c r="B1165" s="6" t="s">
        <v>169</v>
      </c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</row>
    <row r="1166" spans="1:41" x14ac:dyDescent="0.2">
      <c r="A1166" s="5">
        <v>1405121933</v>
      </c>
      <c r="B1166" s="6" t="s">
        <v>170</v>
      </c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</row>
    <row r="1167" spans="1:41" x14ac:dyDescent="0.2">
      <c r="A1167" s="5">
        <v>1405121934</v>
      </c>
      <c r="B1167" s="6" t="s">
        <v>171</v>
      </c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</row>
    <row r="1168" spans="1:41" ht="14.25" x14ac:dyDescent="0.2">
      <c r="A1168" s="2">
        <v>1405121999</v>
      </c>
      <c r="B1168" s="3" t="s">
        <v>117</v>
      </c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</row>
    <row r="1169" spans="1:41" ht="14.25" x14ac:dyDescent="0.2">
      <c r="A1169" s="2">
        <v>14051221</v>
      </c>
      <c r="B1169" s="3" t="s">
        <v>115</v>
      </c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</row>
    <row r="1170" spans="1:41" ht="14.25" x14ac:dyDescent="0.2">
      <c r="A1170" s="2">
        <v>14051222</v>
      </c>
      <c r="B1170" s="3" t="s">
        <v>183</v>
      </c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</row>
    <row r="1171" spans="1:41" ht="14.25" x14ac:dyDescent="0.2">
      <c r="A1171" s="2">
        <v>1405122206</v>
      </c>
      <c r="B1171" s="3" t="s">
        <v>111</v>
      </c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</row>
    <row r="1172" spans="1:41" ht="14.25" x14ac:dyDescent="0.2">
      <c r="A1172" s="2">
        <v>1405122207</v>
      </c>
      <c r="B1172" s="3" t="s">
        <v>112</v>
      </c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</row>
    <row r="1173" spans="1:41" ht="14.25" x14ac:dyDescent="0.2">
      <c r="A1173" s="2">
        <v>1405122211</v>
      </c>
      <c r="B1173" s="3" t="s">
        <v>113</v>
      </c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</row>
    <row r="1174" spans="1:41" ht="14.25" x14ac:dyDescent="0.2">
      <c r="A1174" s="2">
        <v>1405122212</v>
      </c>
      <c r="B1174" s="3" t="s">
        <v>114</v>
      </c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</row>
    <row r="1175" spans="1:41" ht="14.25" x14ac:dyDescent="0.2">
      <c r="A1175" s="2">
        <v>1405122227</v>
      </c>
      <c r="B1175" s="3" t="s">
        <v>166</v>
      </c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</row>
    <row r="1176" spans="1:41" ht="14.25" x14ac:dyDescent="0.2">
      <c r="A1176" s="2">
        <v>1405122299</v>
      </c>
      <c r="B1176" s="3" t="s">
        <v>117</v>
      </c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</row>
    <row r="1177" spans="1:41" ht="14.25" x14ac:dyDescent="0.2">
      <c r="A1177" s="2">
        <v>14051227</v>
      </c>
      <c r="B1177" s="3" t="s">
        <v>166</v>
      </c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</row>
    <row r="1178" spans="1:41" x14ac:dyDescent="0.2">
      <c r="A1178" s="5">
        <v>14051230</v>
      </c>
      <c r="B1178" s="6" t="s">
        <v>167</v>
      </c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</row>
    <row r="1179" spans="1:41" x14ac:dyDescent="0.2">
      <c r="A1179" s="5">
        <v>14051231</v>
      </c>
      <c r="B1179" s="6" t="s">
        <v>168</v>
      </c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</row>
    <row r="1180" spans="1:41" x14ac:dyDescent="0.2">
      <c r="A1180" s="5">
        <v>14051232</v>
      </c>
      <c r="B1180" s="6" t="s">
        <v>169</v>
      </c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</row>
    <row r="1181" spans="1:41" x14ac:dyDescent="0.2">
      <c r="A1181" s="5">
        <v>14051233</v>
      </c>
      <c r="B1181" s="6" t="s">
        <v>170</v>
      </c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</row>
    <row r="1182" spans="1:41" x14ac:dyDescent="0.2">
      <c r="A1182" s="5">
        <v>14051234</v>
      </c>
      <c r="B1182" s="6" t="s">
        <v>171</v>
      </c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</row>
    <row r="1183" spans="1:41" ht="14.25" x14ac:dyDescent="0.2">
      <c r="A1183" s="2">
        <v>14051299</v>
      </c>
      <c r="B1183" s="3" t="s">
        <v>117</v>
      </c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</row>
    <row r="1184" spans="1:41" ht="14.25" x14ac:dyDescent="0.2">
      <c r="A1184" s="2">
        <v>1405129901</v>
      </c>
      <c r="B1184" s="3" t="s">
        <v>118</v>
      </c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</row>
    <row r="1185" spans="1:41" ht="14.25" x14ac:dyDescent="0.2">
      <c r="A1185" s="2">
        <v>1405129902</v>
      </c>
      <c r="B1185" s="3" t="s">
        <v>119</v>
      </c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</row>
    <row r="1186" spans="1:41" ht="14.25" x14ac:dyDescent="0.2">
      <c r="A1186" s="2">
        <v>140513</v>
      </c>
      <c r="B1186" s="3" t="s">
        <v>175</v>
      </c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</row>
    <row r="1187" spans="1:41" x14ac:dyDescent="0.2">
      <c r="A1187" s="5">
        <v>14051302</v>
      </c>
      <c r="B1187" s="6" t="s">
        <v>96</v>
      </c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</row>
    <row r="1188" spans="1:41" ht="14.25" x14ac:dyDescent="0.2">
      <c r="A1188" s="2">
        <v>14051303</v>
      </c>
      <c r="B1188" s="3" t="s">
        <v>97</v>
      </c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</row>
    <row r="1189" spans="1:41" ht="14.25" x14ac:dyDescent="0.2">
      <c r="A1189" s="2">
        <v>14051304</v>
      </c>
      <c r="B1189" s="3" t="s">
        <v>101</v>
      </c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</row>
    <row r="1190" spans="1:41" ht="14.25" x14ac:dyDescent="0.2">
      <c r="A1190" s="2">
        <v>14051305</v>
      </c>
      <c r="B1190" s="3" t="s">
        <v>106</v>
      </c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</row>
    <row r="1191" spans="1:41" ht="14.25" x14ac:dyDescent="0.2">
      <c r="A1191" s="2">
        <v>14051306</v>
      </c>
      <c r="B1191" s="3" t="s">
        <v>111</v>
      </c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</row>
    <row r="1192" spans="1:41" ht="14.25" x14ac:dyDescent="0.2">
      <c r="A1192" s="2">
        <v>14051307</v>
      </c>
      <c r="B1192" s="3" t="s">
        <v>112</v>
      </c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</row>
    <row r="1193" spans="1:41" ht="14.25" x14ac:dyDescent="0.2">
      <c r="A1193" s="2">
        <v>14051311</v>
      </c>
      <c r="B1193" s="3" t="s">
        <v>113</v>
      </c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</row>
    <row r="1194" spans="1:41" ht="14.25" x14ac:dyDescent="0.2">
      <c r="A1194" s="2">
        <v>14051312</v>
      </c>
      <c r="B1194" s="3" t="s">
        <v>114</v>
      </c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</row>
    <row r="1195" spans="1:41" ht="14.25" x14ac:dyDescent="0.2">
      <c r="A1195" s="2">
        <v>14051319</v>
      </c>
      <c r="B1195" s="3" t="s">
        <v>182</v>
      </c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</row>
    <row r="1196" spans="1:41" x14ac:dyDescent="0.2">
      <c r="A1196" s="5">
        <v>1405131902</v>
      </c>
      <c r="B1196" s="6" t="s">
        <v>96</v>
      </c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</row>
    <row r="1197" spans="1:41" ht="14.25" x14ac:dyDescent="0.2">
      <c r="A1197" s="2">
        <v>1405131903</v>
      </c>
      <c r="B1197" s="3" t="s">
        <v>97</v>
      </c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</row>
    <row r="1198" spans="1:41" ht="14.25" x14ac:dyDescent="0.2">
      <c r="A1198" s="2">
        <v>1405131904</v>
      </c>
      <c r="B1198" s="3" t="s">
        <v>101</v>
      </c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</row>
    <row r="1199" spans="1:41" ht="14.25" x14ac:dyDescent="0.2">
      <c r="A1199" s="2">
        <v>1405131905</v>
      </c>
      <c r="B1199" s="3" t="s">
        <v>106</v>
      </c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</row>
    <row r="1200" spans="1:41" ht="14.25" x14ac:dyDescent="0.2">
      <c r="A1200" s="2">
        <v>1405131906</v>
      </c>
      <c r="B1200" s="3" t="s">
        <v>111</v>
      </c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</row>
    <row r="1201" spans="1:41" ht="14.25" x14ac:dyDescent="0.2">
      <c r="A1201" s="2">
        <v>1405131907</v>
      </c>
      <c r="B1201" s="3" t="s">
        <v>112</v>
      </c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</row>
    <row r="1202" spans="1:41" ht="14.25" x14ac:dyDescent="0.2">
      <c r="A1202" s="2">
        <v>1405131911</v>
      </c>
      <c r="B1202" s="3" t="s">
        <v>113</v>
      </c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</row>
    <row r="1203" spans="1:41" ht="14.25" x14ac:dyDescent="0.2">
      <c r="A1203" s="2">
        <v>1405131912</v>
      </c>
      <c r="B1203" s="3" t="s">
        <v>114</v>
      </c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</row>
    <row r="1204" spans="1:41" ht="14.25" x14ac:dyDescent="0.2">
      <c r="A1204" s="2">
        <v>1405131927</v>
      </c>
      <c r="B1204" s="3" t="s">
        <v>166</v>
      </c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</row>
    <row r="1205" spans="1:41" ht="14.25" x14ac:dyDescent="0.2">
      <c r="A1205" s="2">
        <v>1405131999</v>
      </c>
      <c r="B1205" s="3" t="s">
        <v>188</v>
      </c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</row>
    <row r="1206" spans="1:41" ht="14.25" x14ac:dyDescent="0.2">
      <c r="A1206" s="2">
        <v>14051321</v>
      </c>
      <c r="B1206" s="3" t="s">
        <v>115</v>
      </c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</row>
    <row r="1207" spans="1:41" ht="14.25" x14ac:dyDescent="0.2">
      <c r="A1207" s="2">
        <v>14051322</v>
      </c>
      <c r="B1207" s="3" t="s">
        <v>183</v>
      </c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</row>
    <row r="1208" spans="1:41" ht="14.25" x14ac:dyDescent="0.2">
      <c r="A1208" s="2">
        <v>1405132206</v>
      </c>
      <c r="B1208" s="3" t="s">
        <v>111</v>
      </c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</row>
    <row r="1209" spans="1:41" ht="14.25" x14ac:dyDescent="0.2">
      <c r="A1209" s="2">
        <v>1405132207</v>
      </c>
      <c r="B1209" s="3" t="s">
        <v>112</v>
      </c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</row>
    <row r="1210" spans="1:41" ht="14.25" x14ac:dyDescent="0.2">
      <c r="A1210" s="2">
        <v>1405132211</v>
      </c>
      <c r="B1210" s="3" t="s">
        <v>113</v>
      </c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</row>
    <row r="1211" spans="1:41" ht="14.25" x14ac:dyDescent="0.2">
      <c r="A1211" s="2">
        <v>1405132212</v>
      </c>
      <c r="B1211" s="3" t="s">
        <v>114</v>
      </c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</row>
    <row r="1212" spans="1:41" ht="14.25" x14ac:dyDescent="0.2">
      <c r="A1212" s="2">
        <v>1405132227</v>
      </c>
      <c r="B1212" s="3" t="s">
        <v>166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</row>
    <row r="1213" spans="1:41" ht="14.25" x14ac:dyDescent="0.2">
      <c r="A1213" s="2">
        <v>1405132299</v>
      </c>
      <c r="B1213" s="3" t="s">
        <v>117</v>
      </c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</row>
    <row r="1214" spans="1:41" ht="14.25" x14ac:dyDescent="0.2">
      <c r="A1214" s="2">
        <v>14051327</v>
      </c>
      <c r="B1214" s="3" t="s">
        <v>166</v>
      </c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</row>
    <row r="1215" spans="1:41" ht="14.25" x14ac:dyDescent="0.2">
      <c r="A1215" s="2">
        <v>14051399</v>
      </c>
      <c r="B1215" s="3" t="s">
        <v>117</v>
      </c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</row>
    <row r="1216" spans="1:41" ht="14.25" x14ac:dyDescent="0.2">
      <c r="A1216" s="2">
        <v>1405139901</v>
      </c>
      <c r="B1216" s="3" t="s">
        <v>118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</row>
    <row r="1217" spans="1:41" ht="14.25" x14ac:dyDescent="0.2">
      <c r="A1217" s="2">
        <v>1405139902</v>
      </c>
      <c r="B1217" s="3" t="s">
        <v>119</v>
      </c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</row>
    <row r="1218" spans="1:41" ht="14.25" x14ac:dyDescent="0.2">
      <c r="A1218" s="2">
        <v>1406</v>
      </c>
      <c r="B1218" s="3" t="s">
        <v>189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</row>
    <row r="1219" spans="1:41" ht="14.25" x14ac:dyDescent="0.2">
      <c r="A1219" s="2">
        <v>140602</v>
      </c>
      <c r="B1219" s="3" t="s">
        <v>94</v>
      </c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</row>
    <row r="1220" spans="1:41" x14ac:dyDescent="0.2">
      <c r="A1220" s="5">
        <v>14060202</v>
      </c>
      <c r="B1220" s="6" t="s">
        <v>96</v>
      </c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</row>
    <row r="1221" spans="1:41" ht="14.25" x14ac:dyDescent="0.2">
      <c r="A1221" s="2">
        <v>14060203</v>
      </c>
      <c r="B1221" s="3" t="s">
        <v>97</v>
      </c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</row>
    <row r="1222" spans="1:41" ht="14.25" x14ac:dyDescent="0.2">
      <c r="A1222" s="2">
        <v>1406020301</v>
      </c>
      <c r="B1222" s="3" t="s">
        <v>98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</row>
    <row r="1223" spans="1:41" ht="14.25" x14ac:dyDescent="0.2">
      <c r="A1223" s="2">
        <v>1406020302</v>
      </c>
      <c r="B1223" s="3" t="s">
        <v>99</v>
      </c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</row>
    <row r="1224" spans="1:41" ht="14.25" x14ac:dyDescent="0.2">
      <c r="A1224" s="2">
        <v>1406020303</v>
      </c>
      <c r="B1224" s="3" t="s">
        <v>100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</row>
    <row r="1225" spans="1:41" ht="14.25" x14ac:dyDescent="0.2">
      <c r="A1225" s="2">
        <v>14060204</v>
      </c>
      <c r="B1225" s="3" t="s">
        <v>101</v>
      </c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</row>
    <row r="1226" spans="1:41" ht="14.25" x14ac:dyDescent="0.2">
      <c r="A1226" s="2">
        <v>1406020401</v>
      </c>
      <c r="B1226" s="3" t="s">
        <v>102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</row>
    <row r="1227" spans="1:41" ht="14.25" x14ac:dyDescent="0.2">
      <c r="A1227" s="2">
        <v>1406020402</v>
      </c>
      <c r="B1227" s="3" t="s">
        <v>103</v>
      </c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</row>
    <row r="1228" spans="1:41" ht="14.25" x14ac:dyDescent="0.2">
      <c r="A1228" s="2">
        <v>1406020403</v>
      </c>
      <c r="B1228" s="3" t="s">
        <v>104</v>
      </c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</row>
    <row r="1229" spans="1:41" ht="14.25" x14ac:dyDescent="0.2">
      <c r="A1229" s="2">
        <v>1406020409</v>
      </c>
      <c r="B1229" s="3" t="s">
        <v>105</v>
      </c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</row>
    <row r="1230" spans="1:41" ht="14.25" x14ac:dyDescent="0.2">
      <c r="A1230" s="2">
        <v>14060205</v>
      </c>
      <c r="B1230" s="3" t="s">
        <v>106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</row>
    <row r="1231" spans="1:41" ht="14.25" x14ac:dyDescent="0.2">
      <c r="A1231" s="2">
        <v>1406020501</v>
      </c>
      <c r="B1231" s="3" t="s">
        <v>107</v>
      </c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</row>
    <row r="1232" spans="1:41" ht="14.25" x14ac:dyDescent="0.2">
      <c r="A1232" s="2">
        <v>1406020502</v>
      </c>
      <c r="B1232" s="3" t="s">
        <v>108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</row>
    <row r="1233" spans="1:41" ht="14.25" x14ac:dyDescent="0.2">
      <c r="A1233" s="2">
        <v>1406020503</v>
      </c>
      <c r="B1233" s="3" t="s">
        <v>109</v>
      </c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</row>
    <row r="1234" spans="1:41" ht="14.25" x14ac:dyDescent="0.2">
      <c r="A1234" s="2">
        <v>1406020509</v>
      </c>
      <c r="B1234" s="3" t="s">
        <v>181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</row>
    <row r="1235" spans="1:41" ht="14.25" x14ac:dyDescent="0.2">
      <c r="A1235" s="2">
        <v>14060206</v>
      </c>
      <c r="B1235" s="3" t="s">
        <v>111</v>
      </c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</row>
    <row r="1236" spans="1:41" ht="14.25" x14ac:dyDescent="0.2">
      <c r="A1236" s="2">
        <v>14060207</v>
      </c>
      <c r="B1236" s="3" t="s">
        <v>112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</row>
    <row r="1237" spans="1:41" ht="14.25" x14ac:dyDescent="0.2">
      <c r="A1237" s="2">
        <v>14060211</v>
      </c>
      <c r="B1237" s="3" t="s">
        <v>113</v>
      </c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</row>
    <row r="1238" spans="1:41" ht="14.25" x14ac:dyDescent="0.2">
      <c r="A1238" s="2">
        <v>14060212</v>
      </c>
      <c r="B1238" s="3" t="s">
        <v>114</v>
      </c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</row>
    <row r="1239" spans="1:41" ht="14.25" x14ac:dyDescent="0.2">
      <c r="A1239" s="2">
        <v>14060219</v>
      </c>
      <c r="B1239" s="3" t="s">
        <v>182</v>
      </c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</row>
    <row r="1240" spans="1:41" x14ac:dyDescent="0.2">
      <c r="A1240" s="5">
        <v>1406021902</v>
      </c>
      <c r="B1240" s="6" t="s">
        <v>96</v>
      </c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</row>
    <row r="1241" spans="1:41" ht="14.25" x14ac:dyDescent="0.2">
      <c r="A1241" s="2">
        <v>1406021903</v>
      </c>
      <c r="B1241" s="3" t="s">
        <v>97</v>
      </c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</row>
    <row r="1242" spans="1:41" ht="14.25" x14ac:dyDescent="0.2">
      <c r="A1242" s="2">
        <v>1406021904</v>
      </c>
      <c r="B1242" s="3" t="s">
        <v>101</v>
      </c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</row>
    <row r="1243" spans="1:41" ht="14.25" x14ac:dyDescent="0.2">
      <c r="A1243" s="2">
        <v>1406021905</v>
      </c>
      <c r="B1243" s="3" t="s">
        <v>106</v>
      </c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</row>
    <row r="1244" spans="1:41" ht="14.25" x14ac:dyDescent="0.2">
      <c r="A1244" s="2">
        <v>1406021906</v>
      </c>
      <c r="B1244" s="3" t="s">
        <v>111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</row>
    <row r="1245" spans="1:41" ht="14.25" x14ac:dyDescent="0.2">
      <c r="A1245" s="2">
        <v>1406021907</v>
      </c>
      <c r="B1245" s="3" t="s">
        <v>112</v>
      </c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</row>
    <row r="1246" spans="1:41" ht="14.25" x14ac:dyDescent="0.2">
      <c r="A1246" s="2">
        <v>1406021911</v>
      </c>
      <c r="B1246" s="3" t="s">
        <v>113</v>
      </c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</row>
    <row r="1247" spans="1:41" ht="14.25" x14ac:dyDescent="0.2">
      <c r="A1247" s="2">
        <v>1406021912</v>
      </c>
      <c r="B1247" s="3" t="s">
        <v>114</v>
      </c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</row>
    <row r="1248" spans="1:41" ht="14.25" x14ac:dyDescent="0.2">
      <c r="A1248" s="2">
        <v>1406021927</v>
      </c>
      <c r="B1248" s="3" t="s">
        <v>166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</row>
    <row r="1249" spans="1:41" ht="14.25" x14ac:dyDescent="0.2">
      <c r="A1249" s="2">
        <v>1406021999</v>
      </c>
      <c r="B1249" s="3" t="s">
        <v>117</v>
      </c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</row>
    <row r="1250" spans="1:41" ht="14.25" x14ac:dyDescent="0.2">
      <c r="A1250" s="2">
        <v>14060221</v>
      </c>
      <c r="B1250" s="3" t="s">
        <v>115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</row>
    <row r="1251" spans="1:41" ht="14.25" x14ac:dyDescent="0.2">
      <c r="A1251" s="2">
        <v>14060222</v>
      </c>
      <c r="B1251" s="3" t="s">
        <v>183</v>
      </c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</row>
    <row r="1252" spans="1:41" ht="14.25" x14ac:dyDescent="0.2">
      <c r="A1252" s="2">
        <v>1406022206</v>
      </c>
      <c r="B1252" s="3" t="s">
        <v>111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</row>
    <row r="1253" spans="1:41" ht="14.25" x14ac:dyDescent="0.2">
      <c r="A1253" s="2">
        <v>1406022207</v>
      </c>
      <c r="B1253" s="3" t="s">
        <v>112</v>
      </c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</row>
    <row r="1254" spans="1:41" ht="14.25" x14ac:dyDescent="0.2">
      <c r="A1254" s="2">
        <v>1406022211</v>
      </c>
      <c r="B1254" s="3" t="s">
        <v>113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</row>
    <row r="1255" spans="1:41" ht="14.25" x14ac:dyDescent="0.2">
      <c r="A1255" s="2">
        <v>1406022212</v>
      </c>
      <c r="B1255" s="3" t="s">
        <v>114</v>
      </c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</row>
    <row r="1256" spans="1:41" ht="14.25" x14ac:dyDescent="0.2">
      <c r="A1256" s="2">
        <v>1406022227</v>
      </c>
      <c r="B1256" s="3" t="s">
        <v>166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</row>
    <row r="1257" spans="1:41" ht="14.25" x14ac:dyDescent="0.2">
      <c r="A1257" s="2">
        <v>1406022299</v>
      </c>
      <c r="B1257" s="3" t="s">
        <v>117</v>
      </c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</row>
    <row r="1258" spans="1:41" ht="14.25" x14ac:dyDescent="0.2">
      <c r="A1258" s="2">
        <v>14060227</v>
      </c>
      <c r="B1258" s="3" t="s">
        <v>166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</row>
    <row r="1259" spans="1:41" ht="14.25" x14ac:dyDescent="0.2">
      <c r="A1259" s="2">
        <v>14060299</v>
      </c>
      <c r="B1259" s="3" t="s">
        <v>117</v>
      </c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</row>
    <row r="1260" spans="1:41" ht="14.25" x14ac:dyDescent="0.2">
      <c r="A1260" s="2">
        <v>1406029901</v>
      </c>
      <c r="B1260" s="3" t="s">
        <v>118</v>
      </c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</row>
    <row r="1261" spans="1:41" ht="14.25" x14ac:dyDescent="0.2">
      <c r="A1261" s="2">
        <v>1406029902</v>
      </c>
      <c r="B1261" s="3" t="s">
        <v>119</v>
      </c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</row>
    <row r="1262" spans="1:41" ht="14.25" x14ac:dyDescent="0.2">
      <c r="A1262" s="2">
        <v>140603</v>
      </c>
      <c r="B1262" s="3" t="s">
        <v>120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</row>
    <row r="1263" spans="1:41" x14ac:dyDescent="0.2">
      <c r="A1263" s="5">
        <v>14060302</v>
      </c>
      <c r="B1263" s="6" t="s">
        <v>96</v>
      </c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</row>
    <row r="1264" spans="1:41" ht="14.25" x14ac:dyDescent="0.2">
      <c r="A1264" s="2">
        <v>14060303</v>
      </c>
      <c r="B1264" s="3" t="s">
        <v>97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</row>
    <row r="1265" spans="1:41" ht="14.25" x14ac:dyDescent="0.2">
      <c r="A1265" s="2">
        <v>1406030301</v>
      </c>
      <c r="B1265" s="3" t="s">
        <v>98</v>
      </c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</row>
    <row r="1266" spans="1:41" ht="14.25" x14ac:dyDescent="0.2">
      <c r="A1266" s="2">
        <v>1406030302</v>
      </c>
      <c r="B1266" s="3" t="s">
        <v>99</v>
      </c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</row>
    <row r="1267" spans="1:41" ht="14.25" x14ac:dyDescent="0.2">
      <c r="A1267" s="2">
        <v>1406030303</v>
      </c>
      <c r="B1267" s="3" t="s">
        <v>100</v>
      </c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</row>
    <row r="1268" spans="1:41" ht="14.25" x14ac:dyDescent="0.2">
      <c r="A1268" s="2">
        <v>14060306</v>
      </c>
      <c r="B1268" s="3" t="s">
        <v>111</v>
      </c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</row>
    <row r="1269" spans="1:41" ht="14.25" x14ac:dyDescent="0.2">
      <c r="A1269" s="2">
        <v>1406030602</v>
      </c>
      <c r="B1269" s="3" t="s">
        <v>190</v>
      </c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</row>
    <row r="1270" spans="1:41" ht="14.25" x14ac:dyDescent="0.2">
      <c r="A1270" s="2">
        <v>1406030603</v>
      </c>
      <c r="B1270" s="3" t="s">
        <v>191</v>
      </c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</row>
    <row r="1271" spans="1:41" ht="14.25" x14ac:dyDescent="0.2">
      <c r="A1271" s="2">
        <v>1406030604</v>
      </c>
      <c r="B1271" s="3" t="s">
        <v>192</v>
      </c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</row>
    <row r="1272" spans="1:41" ht="14.25" x14ac:dyDescent="0.2">
      <c r="A1272" s="2">
        <v>1406030605</v>
      </c>
      <c r="B1272" s="3" t="s">
        <v>193</v>
      </c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</row>
    <row r="1273" spans="1:41" ht="28.5" x14ac:dyDescent="0.2">
      <c r="A1273" s="2">
        <v>1406030612</v>
      </c>
      <c r="B1273" s="4" t="s">
        <v>194</v>
      </c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</row>
    <row r="1274" spans="1:41" ht="14.25" x14ac:dyDescent="0.2">
      <c r="A1274" s="2">
        <v>14060307</v>
      </c>
      <c r="B1274" s="3" t="s">
        <v>112</v>
      </c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</row>
    <row r="1275" spans="1:41" ht="14.25" x14ac:dyDescent="0.2">
      <c r="A1275" s="2">
        <v>1406030701</v>
      </c>
      <c r="B1275" s="3" t="s">
        <v>127</v>
      </c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</row>
    <row r="1276" spans="1:41" ht="14.25" x14ac:dyDescent="0.2">
      <c r="A1276" s="2">
        <v>1406030702</v>
      </c>
      <c r="B1276" s="3" t="s">
        <v>128</v>
      </c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</row>
    <row r="1277" spans="1:41" ht="14.25" x14ac:dyDescent="0.2">
      <c r="A1277" s="2">
        <v>14060311</v>
      </c>
      <c r="B1277" s="3" t="s">
        <v>113</v>
      </c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</row>
    <row r="1278" spans="1:41" ht="14.25" x14ac:dyDescent="0.2">
      <c r="A1278" s="2">
        <v>14060312</v>
      </c>
      <c r="B1278" s="3" t="s">
        <v>114</v>
      </c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</row>
    <row r="1279" spans="1:41" ht="14.25" x14ac:dyDescent="0.2">
      <c r="A1279" s="2">
        <v>14060313</v>
      </c>
      <c r="B1279" s="3" t="s">
        <v>129</v>
      </c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</row>
    <row r="1280" spans="1:41" ht="14.25" x14ac:dyDescent="0.2">
      <c r="A1280" s="2">
        <v>14060319</v>
      </c>
      <c r="B1280" s="3" t="s">
        <v>182</v>
      </c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</row>
    <row r="1281" spans="1:41" x14ac:dyDescent="0.2">
      <c r="A1281" s="5">
        <v>1406031902</v>
      </c>
      <c r="B1281" s="6" t="s">
        <v>96</v>
      </c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</row>
    <row r="1282" spans="1:41" ht="14.25" x14ac:dyDescent="0.2">
      <c r="A1282" s="2">
        <v>1406031903</v>
      </c>
      <c r="B1282" s="3" t="s">
        <v>97</v>
      </c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</row>
    <row r="1283" spans="1:41" ht="14.25" x14ac:dyDescent="0.2">
      <c r="A1283" s="2">
        <v>1406031906</v>
      </c>
      <c r="B1283" s="3" t="s">
        <v>111</v>
      </c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</row>
    <row r="1284" spans="1:41" ht="14.25" x14ac:dyDescent="0.2">
      <c r="A1284" s="2">
        <v>1406031907</v>
      </c>
      <c r="B1284" s="3" t="s">
        <v>112</v>
      </c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</row>
    <row r="1285" spans="1:41" ht="14.25" x14ac:dyDescent="0.2">
      <c r="A1285" s="2">
        <v>1406031911</v>
      </c>
      <c r="B1285" s="3" t="s">
        <v>113</v>
      </c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</row>
    <row r="1286" spans="1:41" ht="14.25" x14ac:dyDescent="0.2">
      <c r="A1286" s="2">
        <v>1406031912</v>
      </c>
      <c r="B1286" s="3" t="s">
        <v>114</v>
      </c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</row>
    <row r="1287" spans="1:41" ht="14.25" x14ac:dyDescent="0.2">
      <c r="A1287" s="2">
        <v>1406031999</v>
      </c>
      <c r="B1287" s="3" t="s">
        <v>117</v>
      </c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</row>
    <row r="1288" spans="1:41" ht="14.25" x14ac:dyDescent="0.2">
      <c r="A1288" s="2">
        <v>14060399</v>
      </c>
      <c r="B1288" s="3" t="s">
        <v>117</v>
      </c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</row>
    <row r="1289" spans="1:41" ht="14.25" x14ac:dyDescent="0.2">
      <c r="A1289" s="2">
        <v>1406039901</v>
      </c>
      <c r="B1289" s="3" t="s">
        <v>118</v>
      </c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</row>
    <row r="1290" spans="1:41" ht="14.25" x14ac:dyDescent="0.2">
      <c r="A1290" s="2">
        <v>1406039902</v>
      </c>
      <c r="B1290" s="3" t="s">
        <v>119</v>
      </c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</row>
    <row r="1291" spans="1:41" ht="14.25" x14ac:dyDescent="0.2">
      <c r="A1291" s="2">
        <v>140604</v>
      </c>
      <c r="B1291" s="3" t="s">
        <v>130</v>
      </c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</row>
    <row r="1292" spans="1:41" ht="14.25" x14ac:dyDescent="0.2">
      <c r="A1292" s="2">
        <v>14060406</v>
      </c>
      <c r="B1292" s="3" t="s">
        <v>131</v>
      </c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</row>
    <row r="1293" spans="1:41" ht="14.25" x14ac:dyDescent="0.2">
      <c r="A1293" s="2">
        <v>1406040601</v>
      </c>
      <c r="B1293" s="3" t="s">
        <v>132</v>
      </c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</row>
    <row r="1294" spans="1:41" ht="14.25" x14ac:dyDescent="0.2">
      <c r="A1294" s="2">
        <v>1406040602</v>
      </c>
      <c r="B1294" s="3" t="s">
        <v>133</v>
      </c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</row>
    <row r="1295" spans="1:41" ht="14.25" x14ac:dyDescent="0.2">
      <c r="A1295" s="2">
        <v>14060419</v>
      </c>
      <c r="B1295" s="3" t="s">
        <v>182</v>
      </c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</row>
    <row r="1296" spans="1:41" ht="14.25" x14ac:dyDescent="0.2">
      <c r="A1296" s="2">
        <v>1406041906</v>
      </c>
      <c r="B1296" s="3" t="s">
        <v>131</v>
      </c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</row>
    <row r="1297" spans="1:41" ht="14.25" x14ac:dyDescent="0.2">
      <c r="A1297" s="2">
        <v>1406041923</v>
      </c>
      <c r="B1297" s="3" t="s">
        <v>179</v>
      </c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</row>
    <row r="1298" spans="1:41" ht="28.5" x14ac:dyDescent="0.2">
      <c r="A1298" s="2">
        <v>1406041924</v>
      </c>
      <c r="B1298" s="4" t="s">
        <v>135</v>
      </c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1"/>
    </row>
    <row r="1299" spans="1:41" ht="28.5" x14ac:dyDescent="0.2">
      <c r="A1299" s="2">
        <v>1406041925</v>
      </c>
      <c r="B1299" s="4" t="s">
        <v>136</v>
      </c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</row>
    <row r="1300" spans="1:41" ht="14.25" x14ac:dyDescent="0.2">
      <c r="A1300" s="2">
        <v>1406041928</v>
      </c>
      <c r="B1300" s="3" t="s">
        <v>137</v>
      </c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</row>
    <row r="1301" spans="1:41" ht="14.25" x14ac:dyDescent="0.2">
      <c r="A1301" s="2">
        <v>1406041999</v>
      </c>
      <c r="B1301" s="3" t="s">
        <v>117</v>
      </c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</row>
    <row r="1302" spans="1:41" ht="14.25" x14ac:dyDescent="0.2">
      <c r="A1302" s="2">
        <v>14060423</v>
      </c>
      <c r="B1302" s="3" t="s">
        <v>179</v>
      </c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</row>
    <row r="1303" spans="1:41" ht="28.5" x14ac:dyDescent="0.2">
      <c r="A1303" s="2">
        <v>14060424</v>
      </c>
      <c r="B1303" s="4" t="s">
        <v>135</v>
      </c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</row>
    <row r="1304" spans="1:41" ht="28.5" x14ac:dyDescent="0.2">
      <c r="A1304" s="2">
        <v>14060425</v>
      </c>
      <c r="B1304" s="4" t="s">
        <v>136</v>
      </c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</row>
    <row r="1305" spans="1:41" ht="14.25" x14ac:dyDescent="0.2">
      <c r="A1305" s="2">
        <v>14060428</v>
      </c>
      <c r="B1305" s="3" t="s">
        <v>137</v>
      </c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</row>
    <row r="1306" spans="1:41" ht="14.25" x14ac:dyDescent="0.2">
      <c r="A1306" s="2">
        <v>14060499</v>
      </c>
      <c r="B1306" s="3" t="s">
        <v>117</v>
      </c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</row>
    <row r="1307" spans="1:41" x14ac:dyDescent="0.2">
      <c r="A1307" s="5">
        <v>140607</v>
      </c>
      <c r="B1307" s="6" t="s">
        <v>138</v>
      </c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</row>
    <row r="1308" spans="1:41" x14ac:dyDescent="0.2">
      <c r="A1308" s="5">
        <v>14060702</v>
      </c>
      <c r="B1308" s="6" t="s">
        <v>96</v>
      </c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</row>
    <row r="1309" spans="1:41" x14ac:dyDescent="0.2">
      <c r="A1309" s="5">
        <v>14060703</v>
      </c>
      <c r="B1309" s="6" t="s">
        <v>139</v>
      </c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</row>
    <row r="1310" spans="1:41" x14ac:dyDescent="0.2">
      <c r="A1310" s="5">
        <v>14060704</v>
      </c>
      <c r="B1310" s="6" t="s">
        <v>140</v>
      </c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</row>
    <row r="1311" spans="1:41" x14ac:dyDescent="0.2">
      <c r="A1311" s="5">
        <v>14060705</v>
      </c>
      <c r="B1311" s="6" t="s">
        <v>145</v>
      </c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</row>
    <row r="1312" spans="1:41" x14ac:dyDescent="0.2">
      <c r="A1312" s="5">
        <v>14060706</v>
      </c>
      <c r="B1312" s="6" t="s">
        <v>150</v>
      </c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</row>
    <row r="1313" spans="1:41" x14ac:dyDescent="0.2">
      <c r="A1313" s="5">
        <v>14060707</v>
      </c>
      <c r="B1313" s="6" t="s">
        <v>151</v>
      </c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</row>
    <row r="1314" spans="1:41" x14ac:dyDescent="0.2">
      <c r="A1314" s="5">
        <v>14060711</v>
      </c>
      <c r="B1314" s="6" t="s">
        <v>152</v>
      </c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</row>
    <row r="1315" spans="1:41" x14ac:dyDescent="0.2">
      <c r="A1315" s="5">
        <v>14060712</v>
      </c>
      <c r="B1315" s="6" t="s">
        <v>153</v>
      </c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</row>
    <row r="1316" spans="1:41" x14ac:dyDescent="0.2">
      <c r="A1316" s="5">
        <v>14060719</v>
      </c>
      <c r="B1316" s="6" t="s">
        <v>185</v>
      </c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</row>
    <row r="1317" spans="1:41" x14ac:dyDescent="0.2">
      <c r="A1317" s="5">
        <v>1406071902</v>
      </c>
      <c r="B1317" s="6" t="s">
        <v>96</v>
      </c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</row>
    <row r="1318" spans="1:41" x14ac:dyDescent="0.2">
      <c r="A1318" s="5">
        <v>1406071903</v>
      </c>
      <c r="B1318" s="6" t="s">
        <v>139</v>
      </c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</row>
    <row r="1319" spans="1:41" x14ac:dyDescent="0.2">
      <c r="A1319" s="5">
        <v>1406071904</v>
      </c>
      <c r="B1319" s="6" t="s">
        <v>140</v>
      </c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</row>
    <row r="1320" spans="1:41" x14ac:dyDescent="0.2">
      <c r="A1320" s="5">
        <v>1406071905</v>
      </c>
      <c r="B1320" s="6" t="s">
        <v>145</v>
      </c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</row>
    <row r="1321" spans="1:41" x14ac:dyDescent="0.2">
      <c r="A1321" s="5">
        <v>1406071906</v>
      </c>
      <c r="B1321" s="6" t="s">
        <v>150</v>
      </c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</row>
    <row r="1322" spans="1:41" x14ac:dyDescent="0.2">
      <c r="A1322" s="5">
        <v>1406071907</v>
      </c>
      <c r="B1322" s="6" t="s">
        <v>151</v>
      </c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</row>
    <row r="1323" spans="1:41" x14ac:dyDescent="0.2">
      <c r="A1323" s="5">
        <v>1406071911</v>
      </c>
      <c r="B1323" s="6" t="s">
        <v>152</v>
      </c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</row>
    <row r="1324" spans="1:41" x14ac:dyDescent="0.2">
      <c r="A1324" s="5">
        <v>1406071912</v>
      </c>
      <c r="B1324" s="6" t="s">
        <v>153</v>
      </c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</row>
    <row r="1325" spans="1:41" x14ac:dyDescent="0.2">
      <c r="A1325" s="5">
        <v>1406071927</v>
      </c>
      <c r="B1325" s="6" t="s">
        <v>177</v>
      </c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</row>
    <row r="1326" spans="1:41" x14ac:dyDescent="0.2">
      <c r="A1326" s="5">
        <v>1406071999</v>
      </c>
      <c r="B1326" s="6" t="s">
        <v>156</v>
      </c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</row>
    <row r="1327" spans="1:41" x14ac:dyDescent="0.2">
      <c r="A1327" s="5">
        <v>14060721</v>
      </c>
      <c r="B1327" s="6" t="s">
        <v>154</v>
      </c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</row>
    <row r="1328" spans="1:41" x14ac:dyDescent="0.2">
      <c r="A1328" s="5">
        <v>14060722</v>
      </c>
      <c r="B1328" s="6" t="s">
        <v>186</v>
      </c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</row>
    <row r="1329" spans="1:41" x14ac:dyDescent="0.2">
      <c r="A1329" s="5">
        <v>1406072206</v>
      </c>
      <c r="B1329" s="6" t="s">
        <v>150</v>
      </c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</row>
    <row r="1330" spans="1:41" x14ac:dyDescent="0.2">
      <c r="A1330" s="5">
        <v>1406072207</v>
      </c>
      <c r="B1330" s="6" t="s">
        <v>151</v>
      </c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</row>
    <row r="1331" spans="1:41" x14ac:dyDescent="0.2">
      <c r="A1331" s="5">
        <v>1406072211</v>
      </c>
      <c r="B1331" s="6" t="s">
        <v>152</v>
      </c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</row>
    <row r="1332" spans="1:41" x14ac:dyDescent="0.2">
      <c r="A1332" s="5">
        <v>1406072212</v>
      </c>
      <c r="B1332" s="6" t="s">
        <v>153</v>
      </c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</row>
    <row r="1333" spans="1:41" x14ac:dyDescent="0.2">
      <c r="A1333" s="5">
        <v>1406072227</v>
      </c>
      <c r="B1333" s="6" t="s">
        <v>177</v>
      </c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</row>
    <row r="1334" spans="1:41" x14ac:dyDescent="0.2">
      <c r="A1334" s="5">
        <v>1406072299</v>
      </c>
      <c r="B1334" s="6" t="s">
        <v>156</v>
      </c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</row>
    <row r="1335" spans="1:41" x14ac:dyDescent="0.2">
      <c r="A1335" s="5">
        <v>14060727</v>
      </c>
      <c r="B1335" s="6" t="s">
        <v>177</v>
      </c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</row>
    <row r="1336" spans="1:41" x14ac:dyDescent="0.2">
      <c r="A1336" s="5">
        <v>14060799</v>
      </c>
      <c r="B1336" s="6" t="s">
        <v>156</v>
      </c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</row>
    <row r="1337" spans="1:41" x14ac:dyDescent="0.2">
      <c r="A1337" s="5">
        <v>1406079901</v>
      </c>
      <c r="B1337" s="6" t="s">
        <v>157</v>
      </c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</row>
    <row r="1338" spans="1:41" x14ac:dyDescent="0.2">
      <c r="A1338" s="5">
        <v>1406079902</v>
      </c>
      <c r="B1338" s="6" t="s">
        <v>158</v>
      </c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</row>
    <row r="1339" spans="1:41" ht="14.25" x14ac:dyDescent="0.2">
      <c r="A1339" s="2">
        <v>140609</v>
      </c>
      <c r="B1339" s="3" t="s">
        <v>159</v>
      </c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</row>
    <row r="1340" spans="1:41" ht="14.25" x14ac:dyDescent="0.2">
      <c r="A1340" s="2">
        <v>14060906</v>
      </c>
      <c r="B1340" s="3" t="s">
        <v>131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</row>
    <row r="1341" spans="1:41" ht="14.25" x14ac:dyDescent="0.2">
      <c r="A1341" s="2">
        <v>1406090611</v>
      </c>
      <c r="B1341" s="3" t="s">
        <v>160</v>
      </c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</row>
    <row r="1342" spans="1:41" ht="14.25" x14ac:dyDescent="0.2">
      <c r="A1342" s="2">
        <v>1406090612</v>
      </c>
      <c r="B1342" s="3" t="s">
        <v>161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</row>
    <row r="1343" spans="1:41" ht="14.25" x14ac:dyDescent="0.2">
      <c r="A1343" s="2">
        <v>14060919</v>
      </c>
      <c r="B1343" s="3" t="s">
        <v>182</v>
      </c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</row>
    <row r="1344" spans="1:41" ht="14.25" x14ac:dyDescent="0.2">
      <c r="A1344" s="2">
        <v>1406091906</v>
      </c>
      <c r="B1344" s="3" t="s">
        <v>131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</row>
    <row r="1345" spans="1:41" ht="14.25" x14ac:dyDescent="0.2">
      <c r="A1345" s="2">
        <v>1406091999</v>
      </c>
      <c r="B1345" s="3" t="s">
        <v>117</v>
      </c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</row>
    <row r="1346" spans="1:41" ht="14.25" x14ac:dyDescent="0.2">
      <c r="A1346" s="2">
        <v>14060999</v>
      </c>
      <c r="B1346" s="3" t="s">
        <v>117</v>
      </c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</row>
    <row r="1347" spans="1:41" ht="14.25" x14ac:dyDescent="0.2">
      <c r="A1347" s="2">
        <v>1406099901</v>
      </c>
      <c r="B1347" s="3" t="s">
        <v>118</v>
      </c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</row>
    <row r="1348" spans="1:41" ht="14.25" x14ac:dyDescent="0.2">
      <c r="A1348" s="2">
        <v>1406099902</v>
      </c>
      <c r="B1348" s="3" t="s">
        <v>119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</row>
    <row r="1349" spans="1:41" ht="14.25" x14ac:dyDescent="0.2">
      <c r="A1349" s="2">
        <v>140610</v>
      </c>
      <c r="B1349" s="3" t="s">
        <v>162</v>
      </c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</row>
    <row r="1350" spans="1:41" x14ac:dyDescent="0.2">
      <c r="A1350" s="5">
        <v>14061002</v>
      </c>
      <c r="B1350" s="6" t="s">
        <v>96</v>
      </c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</row>
    <row r="1351" spans="1:41" ht="14.25" x14ac:dyDescent="0.2">
      <c r="A1351" s="2">
        <v>14061003</v>
      </c>
      <c r="B1351" s="3" t="s">
        <v>97</v>
      </c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</row>
    <row r="1352" spans="1:41" ht="14.25" x14ac:dyDescent="0.2">
      <c r="A1352" s="2">
        <v>14061004</v>
      </c>
      <c r="B1352" s="3" t="s">
        <v>101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</row>
    <row r="1353" spans="1:41" ht="14.25" x14ac:dyDescent="0.2">
      <c r="A1353" s="2">
        <v>14061005</v>
      </c>
      <c r="B1353" s="3" t="s">
        <v>106</v>
      </c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</row>
    <row r="1354" spans="1:41" ht="14.25" x14ac:dyDescent="0.2">
      <c r="A1354" s="2">
        <v>14061006</v>
      </c>
      <c r="B1354" s="3" t="s">
        <v>111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</row>
    <row r="1355" spans="1:41" ht="14.25" x14ac:dyDescent="0.2">
      <c r="A1355" s="2">
        <v>14061007</v>
      </c>
      <c r="B1355" s="3" t="s">
        <v>112</v>
      </c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</row>
    <row r="1356" spans="1:41" ht="14.25" x14ac:dyDescent="0.2">
      <c r="A1356" s="2">
        <v>14061011</v>
      </c>
      <c r="B1356" s="3" t="s">
        <v>113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</row>
    <row r="1357" spans="1:41" ht="14.25" x14ac:dyDescent="0.2">
      <c r="A1357" s="2">
        <v>14061012</v>
      </c>
      <c r="B1357" s="3" t="s">
        <v>114</v>
      </c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</row>
    <row r="1358" spans="1:41" ht="14.25" x14ac:dyDescent="0.2">
      <c r="A1358" s="2">
        <v>14061019</v>
      </c>
      <c r="B1358" s="3" t="s">
        <v>182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</row>
    <row r="1359" spans="1:41" x14ac:dyDescent="0.2">
      <c r="A1359" s="5">
        <v>1406101902</v>
      </c>
      <c r="B1359" s="6" t="s">
        <v>96</v>
      </c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</row>
    <row r="1360" spans="1:41" ht="14.25" x14ac:dyDescent="0.2">
      <c r="A1360" s="2">
        <v>1406101903</v>
      </c>
      <c r="B1360" s="3" t="s">
        <v>97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</row>
    <row r="1361" spans="1:41" ht="14.25" x14ac:dyDescent="0.2">
      <c r="A1361" s="2">
        <v>1406101904</v>
      </c>
      <c r="B1361" s="3" t="s">
        <v>101</v>
      </c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</row>
    <row r="1362" spans="1:41" ht="14.25" x14ac:dyDescent="0.2">
      <c r="A1362" s="2">
        <v>1406101905</v>
      </c>
      <c r="B1362" s="3" t="s">
        <v>106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</row>
    <row r="1363" spans="1:41" ht="14.25" x14ac:dyDescent="0.2">
      <c r="A1363" s="2">
        <v>1406101906</v>
      </c>
      <c r="B1363" s="3" t="s">
        <v>111</v>
      </c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</row>
    <row r="1364" spans="1:41" ht="14.25" x14ac:dyDescent="0.2">
      <c r="A1364" s="2">
        <v>1406101907</v>
      </c>
      <c r="B1364" s="3" t="s">
        <v>112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</row>
    <row r="1365" spans="1:41" ht="14.25" x14ac:dyDescent="0.2">
      <c r="A1365" s="2">
        <v>1406101911</v>
      </c>
      <c r="B1365" s="3" t="s">
        <v>113</v>
      </c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</row>
    <row r="1366" spans="1:41" ht="14.25" x14ac:dyDescent="0.2">
      <c r="A1366" s="2">
        <v>1406101912</v>
      </c>
      <c r="B1366" s="3" t="s">
        <v>114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</row>
    <row r="1367" spans="1:41" ht="14.25" x14ac:dyDescent="0.2">
      <c r="A1367" s="2">
        <v>1406101927</v>
      </c>
      <c r="B1367" s="3" t="s">
        <v>166</v>
      </c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</row>
    <row r="1368" spans="1:41" x14ac:dyDescent="0.2">
      <c r="A1368" s="5">
        <v>1406101930</v>
      </c>
      <c r="B1368" s="6" t="s">
        <v>167</v>
      </c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</row>
    <row r="1369" spans="1:41" x14ac:dyDescent="0.2">
      <c r="A1369" s="5">
        <v>1406101931</v>
      </c>
      <c r="B1369" s="6" t="s">
        <v>168</v>
      </c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</row>
    <row r="1370" spans="1:41" x14ac:dyDescent="0.2">
      <c r="A1370" s="5">
        <v>1406101932</v>
      </c>
      <c r="B1370" s="6" t="s">
        <v>169</v>
      </c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</row>
    <row r="1371" spans="1:41" x14ac:dyDescent="0.2">
      <c r="A1371" s="5">
        <v>1406101933</v>
      </c>
      <c r="B1371" s="6" t="s">
        <v>170</v>
      </c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</row>
    <row r="1372" spans="1:41" x14ac:dyDescent="0.2">
      <c r="A1372" s="5">
        <v>1406101934</v>
      </c>
      <c r="B1372" s="6" t="s">
        <v>171</v>
      </c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</row>
    <row r="1373" spans="1:41" ht="14.25" x14ac:dyDescent="0.2">
      <c r="A1373" s="2">
        <v>1406101999</v>
      </c>
      <c r="B1373" s="3" t="s">
        <v>117</v>
      </c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</row>
    <row r="1374" spans="1:41" ht="14.25" x14ac:dyDescent="0.2">
      <c r="A1374" s="2">
        <v>14061021</v>
      </c>
      <c r="B1374" s="3" t="s">
        <v>115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</row>
    <row r="1375" spans="1:41" ht="14.25" x14ac:dyDescent="0.2">
      <c r="A1375" s="2">
        <v>14061022</v>
      </c>
      <c r="B1375" s="3" t="s">
        <v>183</v>
      </c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</row>
    <row r="1376" spans="1:41" ht="14.25" x14ac:dyDescent="0.2">
      <c r="A1376" s="2">
        <v>1406102206</v>
      </c>
      <c r="B1376" s="3" t="s">
        <v>111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</row>
    <row r="1377" spans="1:41" ht="14.25" x14ac:dyDescent="0.2">
      <c r="A1377" s="2">
        <v>1406102207</v>
      </c>
      <c r="B1377" s="3" t="s">
        <v>112</v>
      </c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</row>
    <row r="1378" spans="1:41" ht="14.25" x14ac:dyDescent="0.2">
      <c r="A1378" s="2">
        <v>1406102211</v>
      </c>
      <c r="B1378" s="3" t="s">
        <v>113</v>
      </c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</row>
    <row r="1379" spans="1:41" ht="14.25" x14ac:dyDescent="0.2">
      <c r="A1379" s="2">
        <v>1406102212</v>
      </c>
      <c r="B1379" s="3" t="s">
        <v>114</v>
      </c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</row>
    <row r="1380" spans="1:41" ht="14.25" x14ac:dyDescent="0.2">
      <c r="A1380" s="2">
        <v>1406102227</v>
      </c>
      <c r="B1380" s="3" t="s">
        <v>166</v>
      </c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</row>
    <row r="1381" spans="1:41" ht="14.25" x14ac:dyDescent="0.2">
      <c r="A1381" s="2">
        <v>1406102299</v>
      </c>
      <c r="B1381" s="3" t="s">
        <v>117</v>
      </c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</row>
    <row r="1382" spans="1:41" ht="14.25" x14ac:dyDescent="0.2">
      <c r="A1382" s="2">
        <v>14061027</v>
      </c>
      <c r="B1382" s="3" t="s">
        <v>166</v>
      </c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</row>
    <row r="1383" spans="1:41" x14ac:dyDescent="0.2">
      <c r="A1383" s="5">
        <v>14061030</v>
      </c>
      <c r="B1383" s="6" t="s">
        <v>167</v>
      </c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</row>
    <row r="1384" spans="1:41" x14ac:dyDescent="0.2">
      <c r="A1384" s="5">
        <v>14061031</v>
      </c>
      <c r="B1384" s="6" t="s">
        <v>168</v>
      </c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</row>
    <row r="1385" spans="1:41" x14ac:dyDescent="0.2">
      <c r="A1385" s="5">
        <v>14061032</v>
      </c>
      <c r="B1385" s="6" t="s">
        <v>169</v>
      </c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</row>
    <row r="1386" spans="1:41" x14ac:dyDescent="0.2">
      <c r="A1386" s="5">
        <v>14061033</v>
      </c>
      <c r="B1386" s="6" t="s">
        <v>170</v>
      </c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</row>
    <row r="1387" spans="1:41" x14ac:dyDescent="0.2">
      <c r="A1387" s="5">
        <v>14061034</v>
      </c>
      <c r="B1387" s="6" t="s">
        <v>171</v>
      </c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</row>
    <row r="1388" spans="1:41" ht="14.25" x14ac:dyDescent="0.2">
      <c r="A1388" s="2">
        <v>14061099</v>
      </c>
      <c r="B1388" s="3" t="s">
        <v>117</v>
      </c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</row>
    <row r="1389" spans="1:41" ht="14.25" x14ac:dyDescent="0.2">
      <c r="A1389" s="2">
        <v>1406109901</v>
      </c>
      <c r="B1389" s="3" t="s">
        <v>118</v>
      </c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</row>
    <row r="1390" spans="1:41" ht="14.25" x14ac:dyDescent="0.2">
      <c r="A1390" s="2">
        <v>1406109902</v>
      </c>
      <c r="B1390" s="3" t="s">
        <v>119</v>
      </c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</row>
    <row r="1391" spans="1:41" ht="14.25" x14ac:dyDescent="0.2">
      <c r="A1391" s="2">
        <v>140611</v>
      </c>
      <c r="B1391" s="3" t="s">
        <v>172</v>
      </c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</row>
    <row r="1392" spans="1:41" x14ac:dyDescent="0.2">
      <c r="A1392" s="5">
        <v>14061102</v>
      </c>
      <c r="B1392" s="6" t="s">
        <v>96</v>
      </c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</row>
    <row r="1393" spans="1:41" ht="14.25" x14ac:dyDescent="0.2">
      <c r="A1393" s="2">
        <v>14061103</v>
      </c>
      <c r="B1393" s="3" t="s">
        <v>97</v>
      </c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</row>
    <row r="1394" spans="1:41" ht="14.25" x14ac:dyDescent="0.2">
      <c r="A1394" s="2">
        <v>14061104</v>
      </c>
      <c r="B1394" s="3" t="s">
        <v>101</v>
      </c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</row>
    <row r="1395" spans="1:41" ht="14.25" x14ac:dyDescent="0.2">
      <c r="A1395" s="2">
        <v>14061105</v>
      </c>
      <c r="B1395" s="3" t="s">
        <v>106</v>
      </c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</row>
    <row r="1396" spans="1:41" ht="14.25" x14ac:dyDescent="0.2">
      <c r="A1396" s="2">
        <v>14061106</v>
      </c>
      <c r="B1396" s="3" t="s">
        <v>111</v>
      </c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</row>
    <row r="1397" spans="1:41" ht="14.25" x14ac:dyDescent="0.2">
      <c r="A1397" s="2">
        <v>14061107</v>
      </c>
      <c r="B1397" s="3" t="s">
        <v>112</v>
      </c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</row>
    <row r="1398" spans="1:41" ht="14.25" x14ac:dyDescent="0.2">
      <c r="A1398" s="2">
        <v>14061111</v>
      </c>
      <c r="B1398" s="3" t="s">
        <v>113</v>
      </c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</row>
    <row r="1399" spans="1:41" ht="14.25" x14ac:dyDescent="0.2">
      <c r="A1399" s="2">
        <v>14061112</v>
      </c>
      <c r="B1399" s="3" t="s">
        <v>114</v>
      </c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</row>
    <row r="1400" spans="1:41" ht="14.25" x14ac:dyDescent="0.2">
      <c r="A1400" s="2">
        <v>14061119</v>
      </c>
      <c r="B1400" s="3" t="s">
        <v>182</v>
      </c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</row>
    <row r="1401" spans="1:41" x14ac:dyDescent="0.2">
      <c r="A1401" s="5">
        <v>1406111902</v>
      </c>
      <c r="B1401" s="6" t="s">
        <v>96</v>
      </c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</row>
    <row r="1402" spans="1:41" ht="14.25" x14ac:dyDescent="0.2">
      <c r="A1402" s="2">
        <v>1406111903</v>
      </c>
      <c r="B1402" s="3" t="s">
        <v>97</v>
      </c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</row>
    <row r="1403" spans="1:41" ht="14.25" x14ac:dyDescent="0.2">
      <c r="A1403" s="2">
        <v>1406111904</v>
      </c>
      <c r="B1403" s="3" t="s">
        <v>101</v>
      </c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</row>
    <row r="1404" spans="1:41" ht="14.25" x14ac:dyDescent="0.2">
      <c r="A1404" s="2">
        <v>1406111905</v>
      </c>
      <c r="B1404" s="3" t="s">
        <v>106</v>
      </c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</row>
    <row r="1405" spans="1:41" ht="14.25" x14ac:dyDescent="0.2">
      <c r="A1405" s="2">
        <v>1406111906</v>
      </c>
      <c r="B1405" s="3" t="s">
        <v>111</v>
      </c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</row>
    <row r="1406" spans="1:41" ht="14.25" x14ac:dyDescent="0.2">
      <c r="A1406" s="2">
        <v>1406111907</v>
      </c>
      <c r="B1406" s="3" t="s">
        <v>112</v>
      </c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</row>
    <row r="1407" spans="1:41" ht="14.25" x14ac:dyDescent="0.2">
      <c r="A1407" s="2">
        <v>1406111911</v>
      </c>
      <c r="B1407" s="3" t="s">
        <v>113</v>
      </c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</row>
    <row r="1408" spans="1:41" ht="14.25" x14ac:dyDescent="0.2">
      <c r="A1408" s="2">
        <v>1406111912</v>
      </c>
      <c r="B1408" s="3" t="s">
        <v>114</v>
      </c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</row>
    <row r="1409" spans="1:41" ht="14.25" x14ac:dyDescent="0.2">
      <c r="A1409" s="2">
        <v>1406111927</v>
      </c>
      <c r="B1409" s="3" t="s">
        <v>166</v>
      </c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</row>
    <row r="1410" spans="1:41" x14ac:dyDescent="0.2">
      <c r="A1410" s="5">
        <v>1406111930</v>
      </c>
      <c r="B1410" s="6" t="s">
        <v>167</v>
      </c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</row>
    <row r="1411" spans="1:41" x14ac:dyDescent="0.2">
      <c r="A1411" s="5">
        <v>1406111931</v>
      </c>
      <c r="B1411" s="6" t="s">
        <v>168</v>
      </c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</row>
    <row r="1412" spans="1:41" x14ac:dyDescent="0.2">
      <c r="A1412" s="5">
        <v>1406111932</v>
      </c>
      <c r="B1412" s="6" t="s">
        <v>169</v>
      </c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</row>
    <row r="1413" spans="1:41" x14ac:dyDescent="0.2">
      <c r="A1413" s="5">
        <v>1406111933</v>
      </c>
      <c r="B1413" s="6" t="s">
        <v>170</v>
      </c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</row>
    <row r="1414" spans="1:41" x14ac:dyDescent="0.2">
      <c r="A1414" s="5">
        <v>1406111934</v>
      </c>
      <c r="B1414" s="6" t="s">
        <v>171</v>
      </c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</row>
    <row r="1415" spans="1:41" ht="14.25" x14ac:dyDescent="0.2">
      <c r="A1415" s="2">
        <v>1406111999</v>
      </c>
      <c r="B1415" s="3" t="s">
        <v>117</v>
      </c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</row>
    <row r="1416" spans="1:41" ht="14.25" x14ac:dyDescent="0.2">
      <c r="A1416" s="2">
        <v>14061121</v>
      </c>
      <c r="B1416" s="3" t="s">
        <v>115</v>
      </c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</row>
    <row r="1417" spans="1:41" ht="14.25" x14ac:dyDescent="0.2">
      <c r="A1417" s="2">
        <v>14061122</v>
      </c>
      <c r="B1417" s="3" t="s">
        <v>183</v>
      </c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</row>
    <row r="1418" spans="1:41" ht="14.25" x14ac:dyDescent="0.2">
      <c r="A1418" s="2">
        <v>1406112206</v>
      </c>
      <c r="B1418" s="3" t="s">
        <v>111</v>
      </c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</row>
    <row r="1419" spans="1:41" ht="14.25" x14ac:dyDescent="0.2">
      <c r="A1419" s="2">
        <v>1406112207</v>
      </c>
      <c r="B1419" s="3" t="s">
        <v>112</v>
      </c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</row>
    <row r="1420" spans="1:41" ht="14.25" x14ac:dyDescent="0.2">
      <c r="A1420" s="2">
        <v>1406112211</v>
      </c>
      <c r="B1420" s="3" t="s">
        <v>113</v>
      </c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</row>
    <row r="1421" spans="1:41" ht="14.25" x14ac:dyDescent="0.2">
      <c r="A1421" s="2">
        <v>1406112212</v>
      </c>
      <c r="B1421" s="3" t="s">
        <v>114</v>
      </c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</row>
    <row r="1422" spans="1:41" ht="14.25" x14ac:dyDescent="0.2">
      <c r="A1422" s="2">
        <v>1406112227</v>
      </c>
      <c r="B1422" s="3" t="s">
        <v>166</v>
      </c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</row>
    <row r="1423" spans="1:41" ht="14.25" x14ac:dyDescent="0.2">
      <c r="A1423" s="2">
        <v>1406112299</v>
      </c>
      <c r="B1423" s="3" t="s">
        <v>117</v>
      </c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</row>
    <row r="1424" spans="1:41" ht="14.25" x14ac:dyDescent="0.2">
      <c r="A1424" s="2">
        <v>14061127</v>
      </c>
      <c r="B1424" s="3" t="s">
        <v>166</v>
      </c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</row>
    <row r="1425" spans="1:41" x14ac:dyDescent="0.2">
      <c r="A1425" s="5">
        <v>14061130</v>
      </c>
      <c r="B1425" s="6" t="s">
        <v>167</v>
      </c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</row>
    <row r="1426" spans="1:41" x14ac:dyDescent="0.2">
      <c r="A1426" s="5">
        <v>14061131</v>
      </c>
      <c r="B1426" s="6" t="s">
        <v>168</v>
      </c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</row>
    <row r="1427" spans="1:41" x14ac:dyDescent="0.2">
      <c r="A1427" s="5">
        <v>14061132</v>
      </c>
      <c r="B1427" s="6" t="s">
        <v>169</v>
      </c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</row>
    <row r="1428" spans="1:41" x14ac:dyDescent="0.2">
      <c r="A1428" s="5">
        <v>14061133</v>
      </c>
      <c r="B1428" s="6" t="s">
        <v>170</v>
      </c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</row>
    <row r="1429" spans="1:41" x14ac:dyDescent="0.2">
      <c r="A1429" s="5">
        <v>14061134</v>
      </c>
      <c r="B1429" s="6" t="s">
        <v>171</v>
      </c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</row>
    <row r="1430" spans="1:41" ht="14.25" x14ac:dyDescent="0.2">
      <c r="A1430" s="2">
        <v>14061199</v>
      </c>
      <c r="B1430" s="3" t="s">
        <v>117</v>
      </c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</row>
    <row r="1431" spans="1:41" ht="14.25" x14ac:dyDescent="0.2">
      <c r="A1431" s="2">
        <v>1406119901</v>
      </c>
      <c r="B1431" s="3" t="s">
        <v>118</v>
      </c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</row>
    <row r="1432" spans="1:41" ht="14.25" x14ac:dyDescent="0.2">
      <c r="A1432" s="2">
        <v>1406119902</v>
      </c>
      <c r="B1432" s="3" t="s">
        <v>119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</row>
    <row r="1433" spans="1:41" ht="14.25" x14ac:dyDescent="0.2">
      <c r="A1433" s="2">
        <v>140612</v>
      </c>
      <c r="B1433" s="3" t="s">
        <v>174</v>
      </c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</row>
    <row r="1434" spans="1:41" x14ac:dyDescent="0.2">
      <c r="A1434" s="5">
        <v>14061202</v>
      </c>
      <c r="B1434" s="6" t="s">
        <v>96</v>
      </c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</row>
    <row r="1435" spans="1:41" ht="14.25" x14ac:dyDescent="0.2">
      <c r="A1435" s="2">
        <v>14061203</v>
      </c>
      <c r="B1435" s="3" t="s">
        <v>97</v>
      </c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</row>
    <row r="1436" spans="1:41" ht="14.25" x14ac:dyDescent="0.2">
      <c r="A1436" s="2">
        <v>14061204</v>
      </c>
      <c r="B1436" s="3" t="s">
        <v>101</v>
      </c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</row>
    <row r="1437" spans="1:41" ht="14.25" x14ac:dyDescent="0.2">
      <c r="A1437" s="2">
        <v>14061205</v>
      </c>
      <c r="B1437" s="3" t="s">
        <v>106</v>
      </c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</row>
    <row r="1438" spans="1:41" ht="14.25" x14ac:dyDescent="0.2">
      <c r="A1438" s="2">
        <v>14061206</v>
      </c>
      <c r="B1438" s="3" t="s">
        <v>111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</row>
    <row r="1439" spans="1:41" ht="14.25" x14ac:dyDescent="0.2">
      <c r="A1439" s="2">
        <v>14061207</v>
      </c>
      <c r="B1439" s="3" t="s">
        <v>112</v>
      </c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</row>
    <row r="1440" spans="1:41" ht="14.25" x14ac:dyDescent="0.2">
      <c r="A1440" s="2">
        <v>14061211</v>
      </c>
      <c r="B1440" s="3" t="s">
        <v>113</v>
      </c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</row>
    <row r="1441" spans="1:41" ht="14.25" x14ac:dyDescent="0.2">
      <c r="A1441" s="2">
        <v>14061212</v>
      </c>
      <c r="B1441" s="3" t="s">
        <v>114</v>
      </c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</row>
    <row r="1442" spans="1:41" ht="14.25" x14ac:dyDescent="0.2">
      <c r="A1442" s="2">
        <v>14061219</v>
      </c>
      <c r="B1442" s="3" t="s">
        <v>182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</row>
    <row r="1443" spans="1:41" x14ac:dyDescent="0.2">
      <c r="A1443" s="5">
        <v>1406121902</v>
      </c>
      <c r="B1443" s="6" t="s">
        <v>96</v>
      </c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</row>
    <row r="1444" spans="1:41" ht="14.25" x14ac:dyDescent="0.2">
      <c r="A1444" s="2">
        <v>1406121903</v>
      </c>
      <c r="B1444" s="3" t="s">
        <v>97</v>
      </c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</row>
    <row r="1445" spans="1:41" ht="14.25" x14ac:dyDescent="0.2">
      <c r="A1445" s="2">
        <v>1406121904</v>
      </c>
      <c r="B1445" s="3" t="s">
        <v>101</v>
      </c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</row>
    <row r="1446" spans="1:41" ht="14.25" x14ac:dyDescent="0.2">
      <c r="A1446" s="2">
        <v>1406121905</v>
      </c>
      <c r="B1446" s="3" t="s">
        <v>106</v>
      </c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</row>
    <row r="1447" spans="1:41" ht="14.25" x14ac:dyDescent="0.2">
      <c r="A1447" s="2">
        <v>1406121906</v>
      </c>
      <c r="B1447" s="3" t="s">
        <v>111</v>
      </c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</row>
    <row r="1448" spans="1:41" ht="14.25" x14ac:dyDescent="0.2">
      <c r="A1448" s="2">
        <v>1406121907</v>
      </c>
      <c r="B1448" s="3" t="s">
        <v>112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</row>
    <row r="1449" spans="1:41" ht="14.25" x14ac:dyDescent="0.2">
      <c r="A1449" s="2">
        <v>1406121911</v>
      </c>
      <c r="B1449" s="3" t="s">
        <v>113</v>
      </c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</row>
    <row r="1450" spans="1:41" ht="14.25" x14ac:dyDescent="0.2">
      <c r="A1450" s="2">
        <v>1406121912</v>
      </c>
      <c r="B1450" s="3" t="s">
        <v>114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</row>
    <row r="1451" spans="1:41" ht="14.25" x14ac:dyDescent="0.2">
      <c r="A1451" s="2">
        <v>1406121927</v>
      </c>
      <c r="B1451" s="3" t="s">
        <v>166</v>
      </c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</row>
    <row r="1452" spans="1:41" x14ac:dyDescent="0.2">
      <c r="A1452" s="5">
        <v>1406121930</v>
      </c>
      <c r="B1452" s="6" t="s">
        <v>167</v>
      </c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</row>
    <row r="1453" spans="1:41" x14ac:dyDescent="0.2">
      <c r="A1453" s="5">
        <v>1406121931</v>
      </c>
      <c r="B1453" s="6" t="s">
        <v>168</v>
      </c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</row>
    <row r="1454" spans="1:41" x14ac:dyDescent="0.2">
      <c r="A1454" s="5">
        <v>1406121932</v>
      </c>
      <c r="B1454" s="6" t="s">
        <v>169</v>
      </c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</row>
    <row r="1455" spans="1:41" x14ac:dyDescent="0.2">
      <c r="A1455" s="5">
        <v>1406121933</v>
      </c>
      <c r="B1455" s="6" t="s">
        <v>170</v>
      </c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</row>
    <row r="1456" spans="1:41" x14ac:dyDescent="0.2">
      <c r="A1456" s="5">
        <v>1406121934</v>
      </c>
      <c r="B1456" s="6" t="s">
        <v>171</v>
      </c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</row>
    <row r="1457" spans="1:41" ht="14.25" x14ac:dyDescent="0.2">
      <c r="A1457" s="2">
        <v>1406121999</v>
      </c>
      <c r="B1457" s="3" t="s">
        <v>117</v>
      </c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</row>
    <row r="1458" spans="1:41" ht="14.25" x14ac:dyDescent="0.2">
      <c r="A1458" s="2">
        <v>14061221</v>
      </c>
      <c r="B1458" s="3" t="s">
        <v>115</v>
      </c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</row>
    <row r="1459" spans="1:41" ht="14.25" x14ac:dyDescent="0.2">
      <c r="A1459" s="2">
        <v>14061222</v>
      </c>
      <c r="B1459" s="3" t="s">
        <v>183</v>
      </c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</row>
    <row r="1460" spans="1:41" ht="14.25" x14ac:dyDescent="0.2">
      <c r="A1460" s="2">
        <v>1406122206</v>
      </c>
      <c r="B1460" s="3" t="s">
        <v>111</v>
      </c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</row>
    <row r="1461" spans="1:41" ht="14.25" x14ac:dyDescent="0.2">
      <c r="A1461" s="2">
        <v>1406122207</v>
      </c>
      <c r="B1461" s="3" t="s">
        <v>112</v>
      </c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</row>
    <row r="1462" spans="1:41" ht="14.25" x14ac:dyDescent="0.2">
      <c r="A1462" s="2">
        <v>1406122211</v>
      </c>
      <c r="B1462" s="3" t="s">
        <v>113</v>
      </c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</row>
    <row r="1463" spans="1:41" ht="14.25" x14ac:dyDescent="0.2">
      <c r="A1463" s="2">
        <v>1406122212</v>
      </c>
      <c r="B1463" s="3" t="s">
        <v>114</v>
      </c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</row>
    <row r="1464" spans="1:41" ht="14.25" x14ac:dyDescent="0.2">
      <c r="A1464" s="2">
        <v>1406122227</v>
      </c>
      <c r="B1464" s="3" t="s">
        <v>166</v>
      </c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</row>
    <row r="1465" spans="1:41" ht="14.25" x14ac:dyDescent="0.2">
      <c r="A1465" s="2">
        <v>1406122299</v>
      </c>
      <c r="B1465" s="3" t="s">
        <v>117</v>
      </c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</row>
    <row r="1466" spans="1:41" ht="14.25" x14ac:dyDescent="0.2">
      <c r="A1466" s="2">
        <v>14061227</v>
      </c>
      <c r="B1466" s="3" t="s">
        <v>166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</row>
    <row r="1467" spans="1:41" x14ac:dyDescent="0.2">
      <c r="A1467" s="5">
        <v>14061230</v>
      </c>
      <c r="B1467" s="6" t="s">
        <v>167</v>
      </c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</row>
    <row r="1468" spans="1:41" x14ac:dyDescent="0.2">
      <c r="A1468" s="5">
        <v>14061231</v>
      </c>
      <c r="B1468" s="6" t="s">
        <v>168</v>
      </c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</row>
    <row r="1469" spans="1:41" x14ac:dyDescent="0.2">
      <c r="A1469" s="5">
        <v>14061232</v>
      </c>
      <c r="B1469" s="6" t="s">
        <v>169</v>
      </c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</row>
    <row r="1470" spans="1:41" x14ac:dyDescent="0.2">
      <c r="A1470" s="5">
        <v>14061233</v>
      </c>
      <c r="B1470" s="6" t="s">
        <v>170</v>
      </c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</row>
    <row r="1471" spans="1:41" x14ac:dyDescent="0.2">
      <c r="A1471" s="5">
        <v>14061234</v>
      </c>
      <c r="B1471" s="6" t="s">
        <v>171</v>
      </c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</row>
    <row r="1472" spans="1:41" ht="14.25" x14ac:dyDescent="0.2">
      <c r="A1472" s="2">
        <v>14061299</v>
      </c>
      <c r="B1472" s="3" t="s">
        <v>117</v>
      </c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</row>
    <row r="1473" spans="1:41" ht="14.25" x14ac:dyDescent="0.2">
      <c r="A1473" s="2">
        <v>1406129901</v>
      </c>
      <c r="B1473" s="3" t="s">
        <v>118</v>
      </c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</row>
    <row r="1474" spans="1:41" ht="14.25" x14ac:dyDescent="0.2">
      <c r="A1474" s="2">
        <v>1406129902</v>
      </c>
      <c r="B1474" s="3" t="s">
        <v>119</v>
      </c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</row>
    <row r="1475" spans="1:41" ht="14.25" x14ac:dyDescent="0.2">
      <c r="A1475" s="2">
        <v>140613</v>
      </c>
      <c r="B1475" s="3" t="s">
        <v>175</v>
      </c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</row>
    <row r="1476" spans="1:41" x14ac:dyDescent="0.2">
      <c r="A1476" s="5">
        <v>14061302</v>
      </c>
      <c r="B1476" s="6" t="s">
        <v>96</v>
      </c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</row>
    <row r="1477" spans="1:41" ht="14.25" x14ac:dyDescent="0.2">
      <c r="A1477" s="2">
        <v>14061303</v>
      </c>
      <c r="B1477" s="3" t="s">
        <v>97</v>
      </c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</row>
    <row r="1478" spans="1:41" ht="14.25" x14ac:dyDescent="0.2">
      <c r="A1478" s="2">
        <v>14061304</v>
      </c>
      <c r="B1478" s="3" t="s">
        <v>101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</row>
    <row r="1479" spans="1:41" ht="14.25" x14ac:dyDescent="0.2">
      <c r="A1479" s="2">
        <v>14061305</v>
      </c>
      <c r="B1479" s="3" t="s">
        <v>106</v>
      </c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</row>
    <row r="1480" spans="1:41" ht="14.25" x14ac:dyDescent="0.2">
      <c r="A1480" s="2">
        <v>14061306</v>
      </c>
      <c r="B1480" s="3" t="s">
        <v>111</v>
      </c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</row>
    <row r="1481" spans="1:41" ht="14.25" x14ac:dyDescent="0.2">
      <c r="A1481" s="2">
        <v>14061307</v>
      </c>
      <c r="B1481" s="3" t="s">
        <v>112</v>
      </c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</row>
    <row r="1482" spans="1:41" ht="14.25" x14ac:dyDescent="0.2">
      <c r="A1482" s="2">
        <v>14061311</v>
      </c>
      <c r="B1482" s="3" t="s">
        <v>113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</row>
    <row r="1483" spans="1:41" ht="14.25" x14ac:dyDescent="0.2">
      <c r="A1483" s="2">
        <v>14061312</v>
      </c>
      <c r="B1483" s="3" t="s">
        <v>114</v>
      </c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</row>
    <row r="1484" spans="1:41" ht="14.25" x14ac:dyDescent="0.2">
      <c r="A1484" s="2">
        <v>14061319</v>
      </c>
      <c r="B1484" s="3" t="s">
        <v>182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</row>
    <row r="1485" spans="1:41" x14ac:dyDescent="0.2">
      <c r="A1485" s="5">
        <v>1406131902</v>
      </c>
      <c r="B1485" s="6" t="s">
        <v>96</v>
      </c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</row>
    <row r="1486" spans="1:41" ht="14.25" x14ac:dyDescent="0.2">
      <c r="A1486" s="2">
        <v>1406131903</v>
      </c>
      <c r="B1486" s="3" t="s">
        <v>97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</row>
    <row r="1487" spans="1:41" ht="14.25" x14ac:dyDescent="0.2">
      <c r="A1487" s="2">
        <v>1406131904</v>
      </c>
      <c r="B1487" s="3" t="s">
        <v>101</v>
      </c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</row>
    <row r="1488" spans="1:41" ht="14.25" x14ac:dyDescent="0.2">
      <c r="A1488" s="2">
        <v>1406131905</v>
      </c>
      <c r="B1488" s="3" t="s">
        <v>106</v>
      </c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</row>
    <row r="1489" spans="1:41" ht="14.25" x14ac:dyDescent="0.2">
      <c r="A1489" s="2">
        <v>1406131906</v>
      </c>
      <c r="B1489" s="3" t="s">
        <v>111</v>
      </c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</row>
    <row r="1490" spans="1:41" ht="14.25" x14ac:dyDescent="0.2">
      <c r="A1490" s="2">
        <v>1406131907</v>
      </c>
      <c r="B1490" s="3" t="s">
        <v>112</v>
      </c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</row>
    <row r="1491" spans="1:41" ht="14.25" x14ac:dyDescent="0.2">
      <c r="A1491" s="2">
        <v>1406131911</v>
      </c>
      <c r="B1491" s="3" t="s">
        <v>113</v>
      </c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</row>
    <row r="1492" spans="1:41" ht="14.25" x14ac:dyDescent="0.2">
      <c r="A1492" s="2">
        <v>1406131912</v>
      </c>
      <c r="B1492" s="3" t="s">
        <v>114</v>
      </c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</row>
    <row r="1493" spans="1:41" ht="14.25" x14ac:dyDescent="0.2">
      <c r="A1493" s="2">
        <v>1406131927</v>
      </c>
      <c r="B1493" s="3" t="s">
        <v>166</v>
      </c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</row>
    <row r="1494" spans="1:41" ht="14.25" x14ac:dyDescent="0.2">
      <c r="A1494" s="2">
        <v>1406131999</v>
      </c>
      <c r="B1494" s="3" t="s">
        <v>188</v>
      </c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</row>
    <row r="1495" spans="1:41" ht="14.25" x14ac:dyDescent="0.2">
      <c r="A1495" s="2">
        <v>14061321</v>
      </c>
      <c r="B1495" s="3" t="s">
        <v>115</v>
      </c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</row>
    <row r="1496" spans="1:41" ht="14.25" x14ac:dyDescent="0.2">
      <c r="A1496" s="2">
        <v>14061322</v>
      </c>
      <c r="B1496" s="3" t="s">
        <v>183</v>
      </c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</row>
    <row r="1497" spans="1:41" ht="14.25" x14ac:dyDescent="0.2">
      <c r="A1497" s="2">
        <v>1406132206</v>
      </c>
      <c r="B1497" s="3" t="s">
        <v>111</v>
      </c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</row>
    <row r="1498" spans="1:41" ht="14.25" x14ac:dyDescent="0.2">
      <c r="A1498" s="2">
        <v>1406132207</v>
      </c>
      <c r="B1498" s="3" t="s">
        <v>112</v>
      </c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</row>
    <row r="1499" spans="1:41" ht="14.25" x14ac:dyDescent="0.2">
      <c r="A1499" s="2">
        <v>1406132211</v>
      </c>
      <c r="B1499" s="3" t="s">
        <v>113</v>
      </c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</row>
    <row r="1500" spans="1:41" ht="14.25" x14ac:dyDescent="0.2">
      <c r="A1500" s="2">
        <v>1406132212</v>
      </c>
      <c r="B1500" s="3" t="s">
        <v>114</v>
      </c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</row>
    <row r="1501" spans="1:41" ht="14.25" x14ac:dyDescent="0.2">
      <c r="A1501" s="2">
        <v>1406132227</v>
      </c>
      <c r="B1501" s="3" t="s">
        <v>166</v>
      </c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</row>
    <row r="1502" spans="1:41" ht="14.25" x14ac:dyDescent="0.2">
      <c r="A1502" s="2">
        <v>1406132299</v>
      </c>
      <c r="B1502" s="3" t="s">
        <v>117</v>
      </c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</row>
    <row r="1503" spans="1:41" ht="14.25" x14ac:dyDescent="0.2">
      <c r="A1503" s="2">
        <v>14061327</v>
      </c>
      <c r="B1503" s="3" t="s">
        <v>166</v>
      </c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</row>
    <row r="1504" spans="1:41" ht="14.25" x14ac:dyDescent="0.2">
      <c r="A1504" s="2">
        <v>14061399</v>
      </c>
      <c r="B1504" s="3" t="s">
        <v>117</v>
      </c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</row>
    <row r="1505" spans="1:41" ht="14.25" x14ac:dyDescent="0.2">
      <c r="A1505" s="2">
        <v>1406139901</v>
      </c>
      <c r="B1505" s="3" t="s">
        <v>118</v>
      </c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</row>
    <row r="1506" spans="1:41" ht="14.25" x14ac:dyDescent="0.2">
      <c r="A1506" s="2">
        <v>1406139902</v>
      </c>
      <c r="B1506" s="3" t="s">
        <v>119</v>
      </c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</row>
    <row r="1507" spans="1:41" ht="14.25" x14ac:dyDescent="0.2">
      <c r="A1507" s="2">
        <v>1408</v>
      </c>
      <c r="B1507" s="3" t="s">
        <v>195</v>
      </c>
      <c r="C1507" s="20">
        <f>+C1510</f>
        <v>103338.81</v>
      </c>
      <c r="D1507" s="20">
        <f t="shared" ref="D1507:AO1507" si="20">+D1510</f>
        <v>103970.89</v>
      </c>
      <c r="E1507" s="20">
        <f t="shared" si="20"/>
        <v>92431.7</v>
      </c>
      <c r="F1507" s="20">
        <f t="shared" si="20"/>
        <v>196786.72</v>
      </c>
      <c r="G1507" s="20">
        <f t="shared" si="20"/>
        <v>235264.18</v>
      </c>
      <c r="H1507" s="20">
        <f t="shared" si="20"/>
        <v>356218.05</v>
      </c>
      <c r="I1507" s="20">
        <f t="shared" si="20"/>
        <v>436473.37</v>
      </c>
      <c r="J1507" s="20">
        <f t="shared" si="20"/>
        <v>587769.64</v>
      </c>
      <c r="K1507" s="20">
        <f t="shared" si="20"/>
        <v>753745.26</v>
      </c>
      <c r="L1507" s="20">
        <f t="shared" si="20"/>
        <v>913446.9</v>
      </c>
      <c r="M1507" s="20">
        <f t="shared" si="20"/>
        <v>1091377.67</v>
      </c>
      <c r="N1507" s="20">
        <f t="shared" si="20"/>
        <v>83676.39</v>
      </c>
      <c r="O1507" s="20">
        <f t="shared" si="20"/>
        <v>200460.43</v>
      </c>
      <c r="P1507" s="20">
        <f t="shared" si="20"/>
        <v>105889.51</v>
      </c>
      <c r="Q1507" s="20">
        <f t="shared" si="20"/>
        <v>104003.18</v>
      </c>
      <c r="R1507" s="20">
        <f t="shared" si="20"/>
        <v>115130.5</v>
      </c>
      <c r="S1507" s="20">
        <f t="shared" si="20"/>
        <v>95158.77</v>
      </c>
      <c r="T1507" s="20">
        <f t="shared" si="20"/>
        <v>164136.99</v>
      </c>
      <c r="U1507" s="20">
        <f t="shared" si="20"/>
        <v>214284.02</v>
      </c>
      <c r="V1507" s="20">
        <f t="shared" si="20"/>
        <v>328969.51</v>
      </c>
      <c r="W1507" s="20">
        <f t="shared" si="20"/>
        <v>456931.31</v>
      </c>
      <c r="X1507" s="20">
        <f t="shared" si="20"/>
        <v>617279.80000000005</v>
      </c>
      <c r="Y1507" s="20">
        <f t="shared" si="20"/>
        <v>799611.29</v>
      </c>
      <c r="Z1507" s="20">
        <f t="shared" si="20"/>
        <v>72906.240000000005</v>
      </c>
      <c r="AA1507" s="20">
        <f t="shared" si="20"/>
        <v>242890.86</v>
      </c>
      <c r="AB1507" s="20">
        <f t="shared" si="20"/>
        <v>95830.76</v>
      </c>
      <c r="AC1507" s="20">
        <f t="shared" si="20"/>
        <v>98306.7</v>
      </c>
      <c r="AD1507" s="20">
        <f t="shared" si="20"/>
        <v>120650.23</v>
      </c>
      <c r="AE1507" s="20">
        <f t="shared" si="20"/>
        <v>108906.26</v>
      </c>
      <c r="AF1507" s="20">
        <f t="shared" si="20"/>
        <v>168526.26</v>
      </c>
      <c r="AG1507" s="20">
        <f t="shared" si="20"/>
        <v>242805.33</v>
      </c>
      <c r="AH1507" s="20">
        <f t="shared" si="20"/>
        <v>359283.76</v>
      </c>
      <c r="AI1507" s="20">
        <f t="shared" si="20"/>
        <v>509522.9</v>
      </c>
      <c r="AJ1507" s="20">
        <f t="shared" si="20"/>
        <v>670323.09</v>
      </c>
      <c r="AK1507" s="20">
        <f t="shared" si="20"/>
        <v>846522.96</v>
      </c>
      <c r="AL1507" s="20">
        <f t="shared" si="20"/>
        <v>85945.1</v>
      </c>
      <c r="AM1507" s="20">
        <f t="shared" si="20"/>
        <v>245068.21</v>
      </c>
      <c r="AN1507" s="20">
        <f t="shared" si="20"/>
        <v>78239.350000000006</v>
      </c>
      <c r="AO1507" s="20">
        <f t="shared" si="20"/>
        <v>132218.16</v>
      </c>
    </row>
    <row r="1508" spans="1:41" ht="14.25" x14ac:dyDescent="0.2">
      <c r="A1508" s="2">
        <v>140802</v>
      </c>
      <c r="B1508" s="3" t="s">
        <v>196</v>
      </c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</row>
    <row r="1509" spans="1:41" ht="14.25" x14ac:dyDescent="0.2">
      <c r="A1509" s="2">
        <v>140803</v>
      </c>
      <c r="B1509" s="3" t="s">
        <v>197</v>
      </c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</row>
    <row r="1510" spans="1:41" s="15" customFormat="1" ht="14.25" x14ac:dyDescent="0.2">
      <c r="A1510" s="18" t="s">
        <v>1265</v>
      </c>
      <c r="B1510" s="19" t="s">
        <v>1266</v>
      </c>
      <c r="C1510" s="20">
        <v>103338.81</v>
      </c>
      <c r="D1510" s="20">
        <v>103970.89</v>
      </c>
      <c r="E1510" s="20">
        <v>92431.7</v>
      </c>
      <c r="F1510" s="20">
        <v>196786.72</v>
      </c>
      <c r="G1510" s="20">
        <v>235264.18</v>
      </c>
      <c r="H1510" s="20">
        <v>356218.05</v>
      </c>
      <c r="I1510" s="20">
        <v>436473.37</v>
      </c>
      <c r="J1510" s="20">
        <v>587769.64</v>
      </c>
      <c r="K1510" s="20">
        <v>753745.26</v>
      </c>
      <c r="L1510" s="20">
        <v>913446.9</v>
      </c>
      <c r="M1510" s="20">
        <v>1091377.67</v>
      </c>
      <c r="N1510" s="20">
        <v>83676.39</v>
      </c>
      <c r="O1510" s="20">
        <v>200460.43</v>
      </c>
      <c r="P1510" s="20">
        <v>105889.51</v>
      </c>
      <c r="Q1510" s="20">
        <v>104003.18</v>
      </c>
      <c r="R1510" s="20">
        <v>115130.5</v>
      </c>
      <c r="S1510" s="20">
        <v>95158.77</v>
      </c>
      <c r="T1510" s="20">
        <v>164136.99</v>
      </c>
      <c r="U1510" s="20">
        <v>214284.02</v>
      </c>
      <c r="V1510" s="20">
        <v>328969.51</v>
      </c>
      <c r="W1510" s="20">
        <v>456931.31</v>
      </c>
      <c r="X1510" s="20">
        <v>617279.80000000005</v>
      </c>
      <c r="Y1510" s="20">
        <v>799611.29</v>
      </c>
      <c r="Z1510" s="20">
        <v>72906.240000000005</v>
      </c>
      <c r="AA1510" s="20">
        <v>242890.86</v>
      </c>
      <c r="AB1510" s="20">
        <v>95830.76</v>
      </c>
      <c r="AC1510" s="20">
        <v>98306.7</v>
      </c>
      <c r="AD1510" s="20">
        <v>120650.23</v>
      </c>
      <c r="AE1510" s="20">
        <v>108906.26</v>
      </c>
      <c r="AF1510" s="20">
        <v>168526.26</v>
      </c>
      <c r="AG1510" s="20">
        <v>242805.33</v>
      </c>
      <c r="AH1510" s="20">
        <v>359283.76</v>
      </c>
      <c r="AI1510" s="20">
        <v>509522.9</v>
      </c>
      <c r="AJ1510" s="20">
        <v>670323.09</v>
      </c>
      <c r="AK1510" s="20">
        <v>846522.96</v>
      </c>
      <c r="AL1510" s="20">
        <v>85945.1</v>
      </c>
      <c r="AM1510" s="20">
        <v>245068.21</v>
      </c>
      <c r="AN1510" s="20">
        <v>78239.350000000006</v>
      </c>
      <c r="AO1510" s="20">
        <v>132218.16</v>
      </c>
    </row>
    <row r="1511" spans="1:41" ht="14.25" x14ac:dyDescent="0.2">
      <c r="A1511" s="2">
        <v>140804</v>
      </c>
      <c r="B1511" s="3" t="s">
        <v>198</v>
      </c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</row>
    <row r="1512" spans="1:41" x14ac:dyDescent="0.2">
      <c r="A1512" s="5">
        <v>140807</v>
      </c>
      <c r="B1512" s="6" t="s">
        <v>199</v>
      </c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</row>
    <row r="1513" spans="1:41" ht="14.25" x14ac:dyDescent="0.2">
      <c r="A1513" s="2">
        <v>140809</v>
      </c>
      <c r="B1513" s="3" t="s">
        <v>200</v>
      </c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</row>
    <row r="1514" spans="1:41" ht="14.25" x14ac:dyDescent="0.2">
      <c r="A1514" s="2">
        <v>140810</v>
      </c>
      <c r="B1514" s="3" t="s">
        <v>201</v>
      </c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</row>
    <row r="1515" spans="1:41" ht="14.25" x14ac:dyDescent="0.2">
      <c r="A1515" s="2">
        <v>140811</v>
      </c>
      <c r="B1515" s="3" t="s">
        <v>202</v>
      </c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</row>
    <row r="1516" spans="1:41" ht="14.25" x14ac:dyDescent="0.2">
      <c r="A1516" s="2">
        <v>140812</v>
      </c>
      <c r="B1516" s="3" t="s">
        <v>203</v>
      </c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</row>
    <row r="1517" spans="1:41" ht="14.25" x14ac:dyDescent="0.2">
      <c r="A1517" s="2">
        <v>140813</v>
      </c>
      <c r="B1517" s="3" t="s">
        <v>204</v>
      </c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</row>
    <row r="1518" spans="1:41" ht="14.25" x14ac:dyDescent="0.2">
      <c r="A1518" s="2">
        <v>1409</v>
      </c>
      <c r="B1518" s="3" t="s">
        <v>205</v>
      </c>
      <c r="C1518" s="20">
        <f t="shared" ref="C1518:AN1518" si="21">+C1525+C1573</f>
        <v>-6318338.04</v>
      </c>
      <c r="D1518" s="20">
        <f t="shared" si="21"/>
        <v>-5434526.3499999996</v>
      </c>
      <c r="E1518" s="20">
        <f t="shared" si="21"/>
        <v>-6511898.6600000001</v>
      </c>
      <c r="F1518" s="20">
        <f t="shared" si="21"/>
        <v>-6662241.4699999997</v>
      </c>
      <c r="G1518" s="20">
        <f t="shared" si="21"/>
        <v>-7001877.1500000004</v>
      </c>
      <c r="H1518" s="20">
        <f t="shared" si="21"/>
        <v>-7289899.7999999998</v>
      </c>
      <c r="I1518" s="20">
        <f t="shared" si="21"/>
        <v>-7543354.3899999997</v>
      </c>
      <c r="J1518" s="20">
        <f t="shared" si="21"/>
        <v>-7642191.6399999997</v>
      </c>
      <c r="K1518" s="20">
        <f t="shared" si="21"/>
        <v>-7537343</v>
      </c>
      <c r="L1518" s="20">
        <f t="shared" si="21"/>
        <v>-7719836.9699999997</v>
      </c>
      <c r="M1518" s="20">
        <f t="shared" si="21"/>
        <v>-7588696.1999999993</v>
      </c>
      <c r="N1518" s="20">
        <f t="shared" si="21"/>
        <v>-7559820.3899999997</v>
      </c>
      <c r="O1518" s="20">
        <f t="shared" si="21"/>
        <v>-7454099.1499999994</v>
      </c>
      <c r="P1518" s="20">
        <f t="shared" si="21"/>
        <v>-7265888.5899999999</v>
      </c>
      <c r="Q1518" s="20">
        <f t="shared" si="21"/>
        <v>-8194489.0500000007</v>
      </c>
      <c r="R1518" s="20">
        <f t="shared" si="21"/>
        <v>-8182480.7299999995</v>
      </c>
      <c r="S1518" s="20">
        <f t="shared" si="21"/>
        <v>-8376543.5900000008</v>
      </c>
      <c r="T1518" s="20">
        <f t="shared" si="21"/>
        <v>-8194489.0500000007</v>
      </c>
      <c r="U1518" s="20">
        <f t="shared" si="21"/>
        <v>-8224333.6800000006</v>
      </c>
      <c r="V1518" s="20">
        <f t="shared" si="21"/>
        <v>-8284181.5999999996</v>
      </c>
      <c r="W1518" s="20">
        <f t="shared" si="21"/>
        <v>-8223501.6699999999</v>
      </c>
      <c r="X1518" s="20">
        <f t="shared" si="21"/>
        <v>-8311370.7600000007</v>
      </c>
      <c r="Y1518" s="20">
        <f t="shared" si="21"/>
        <v>-8233897.8700000001</v>
      </c>
      <c r="Z1518" s="20">
        <f t="shared" si="21"/>
        <v>-8266766.2700000005</v>
      </c>
      <c r="AA1518" s="20">
        <f t="shared" si="21"/>
        <v>-8275754.9500000002</v>
      </c>
      <c r="AB1518" s="20">
        <f t="shared" si="21"/>
        <v>-8275754.9500000002</v>
      </c>
      <c r="AC1518" s="20">
        <f t="shared" si="21"/>
        <v>-8275754.9500000002</v>
      </c>
      <c r="AD1518" s="20">
        <f t="shared" si="21"/>
        <v>-8275754.9500000002</v>
      </c>
      <c r="AE1518" s="20">
        <f t="shared" si="21"/>
        <v>-8275754.9500000002</v>
      </c>
      <c r="AF1518" s="20">
        <f t="shared" si="21"/>
        <v>-8275754.9499999993</v>
      </c>
      <c r="AG1518" s="20">
        <f t="shared" si="21"/>
        <v>-8276695.2499999991</v>
      </c>
      <c r="AH1518" s="20">
        <f t="shared" si="21"/>
        <v>-8257718.25</v>
      </c>
      <c r="AI1518" s="20">
        <f t="shared" si="21"/>
        <v>-8275754.9500000011</v>
      </c>
      <c r="AJ1518" s="20">
        <f t="shared" si="21"/>
        <v>-8275754.9500000002</v>
      </c>
      <c r="AK1518" s="20">
        <f t="shared" si="21"/>
        <v>-8275754.9500000002</v>
      </c>
      <c r="AL1518" s="20">
        <f t="shared" si="21"/>
        <v>-8275754.9499999993</v>
      </c>
      <c r="AM1518" s="20">
        <f t="shared" si="21"/>
        <v>-8275754.9500000011</v>
      </c>
      <c r="AN1518" s="20">
        <f t="shared" si="21"/>
        <v>-8275754.9500000002</v>
      </c>
      <c r="AO1518" s="20">
        <f>+AO1525+AO1573</f>
        <v>-8275754.9500000002</v>
      </c>
    </row>
    <row r="1519" spans="1:41" ht="14.25" x14ac:dyDescent="0.2">
      <c r="A1519" s="2">
        <v>140902</v>
      </c>
      <c r="B1519" s="3" t="s">
        <v>206</v>
      </c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</row>
    <row r="1520" spans="1:41" ht="14.25" x14ac:dyDescent="0.2">
      <c r="A1520" s="2">
        <v>14090201</v>
      </c>
      <c r="B1520" s="3" t="s">
        <v>207</v>
      </c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</row>
    <row r="1521" spans="1:41" ht="14.25" x14ac:dyDescent="0.2">
      <c r="A1521" s="2">
        <v>14090202</v>
      </c>
      <c r="B1521" s="3" t="s">
        <v>208</v>
      </c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</row>
    <row r="1522" spans="1:41" ht="14.25" x14ac:dyDescent="0.2">
      <c r="A1522" s="2">
        <v>1409020201</v>
      </c>
      <c r="B1522" s="3" t="s">
        <v>209</v>
      </c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</row>
    <row r="1523" spans="1:41" ht="14.25" x14ac:dyDescent="0.2">
      <c r="A1523" s="2">
        <v>1409020202</v>
      </c>
      <c r="B1523" s="3" t="s">
        <v>210</v>
      </c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</row>
    <row r="1524" spans="1:41" ht="28.5" x14ac:dyDescent="0.2">
      <c r="A1524" s="2">
        <v>14090204</v>
      </c>
      <c r="B1524" s="4" t="s">
        <v>211</v>
      </c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1"/>
      <c r="AM1524" s="11"/>
      <c r="AN1524" s="11"/>
      <c r="AO1524" s="11"/>
    </row>
    <row r="1525" spans="1:41" ht="14.25" x14ac:dyDescent="0.2">
      <c r="A1525" s="2">
        <v>140903</v>
      </c>
      <c r="B1525" s="3" t="s">
        <v>212</v>
      </c>
      <c r="C1525" s="20">
        <f>+C1526+C1528</f>
        <v>-6318338.04</v>
      </c>
      <c r="D1525" s="20">
        <f t="shared" ref="D1525:AO1525" si="22">+D1526+D1528</f>
        <v>-5434526.3499999996</v>
      </c>
      <c r="E1525" s="20">
        <f t="shared" si="22"/>
        <v>-6511898.6600000001</v>
      </c>
      <c r="F1525" s="20">
        <f t="shared" si="22"/>
        <v>-6662241.4699999997</v>
      </c>
      <c r="G1525" s="20">
        <f t="shared" si="22"/>
        <v>-7001877.1500000004</v>
      </c>
      <c r="H1525" s="20">
        <f t="shared" si="22"/>
        <v>-7289899.7999999998</v>
      </c>
      <c r="I1525" s="20">
        <f t="shared" si="22"/>
        <v>-7543354.3899999997</v>
      </c>
      <c r="J1525" s="20">
        <f t="shared" si="22"/>
        <v>-7642191.6399999997</v>
      </c>
      <c r="K1525" s="20">
        <f t="shared" si="22"/>
        <v>-7537343</v>
      </c>
      <c r="L1525" s="20">
        <f t="shared" si="22"/>
        <v>-7719836.9699999997</v>
      </c>
      <c r="M1525" s="20">
        <f t="shared" si="22"/>
        <v>-7588696.1999999993</v>
      </c>
      <c r="N1525" s="20">
        <f t="shared" si="22"/>
        <v>-7559820.3899999997</v>
      </c>
      <c r="O1525" s="20">
        <f t="shared" si="22"/>
        <v>-7454099.1499999994</v>
      </c>
      <c r="P1525" s="20">
        <f t="shared" si="22"/>
        <v>-7265888.5899999999</v>
      </c>
      <c r="Q1525" s="20">
        <f t="shared" si="22"/>
        <v>-8194489.0500000007</v>
      </c>
      <c r="R1525" s="20">
        <f t="shared" si="22"/>
        <v>-8182480.7299999995</v>
      </c>
      <c r="S1525" s="20">
        <f t="shared" si="22"/>
        <v>-8376543.5900000008</v>
      </c>
      <c r="T1525" s="20">
        <f t="shared" si="22"/>
        <v>-8101544.6800000006</v>
      </c>
      <c r="U1525" s="20">
        <f t="shared" si="22"/>
        <v>-8131389.3100000005</v>
      </c>
      <c r="V1525" s="20">
        <f t="shared" si="22"/>
        <v>-8191237.2299999995</v>
      </c>
      <c r="W1525" s="20">
        <f t="shared" si="22"/>
        <v>-8178171.5499999998</v>
      </c>
      <c r="X1525" s="20">
        <f t="shared" si="22"/>
        <v>-8266040.6400000006</v>
      </c>
      <c r="Y1525" s="20">
        <f t="shared" si="22"/>
        <v>-8188567.75</v>
      </c>
      <c r="Z1525" s="20">
        <f t="shared" si="22"/>
        <v>-8241923.9500000002</v>
      </c>
      <c r="AA1525" s="20">
        <f t="shared" si="22"/>
        <v>-8250912.6299999999</v>
      </c>
      <c r="AB1525" s="20">
        <f t="shared" si="22"/>
        <v>-7913730.1200000001</v>
      </c>
      <c r="AC1525" s="20">
        <f t="shared" si="22"/>
        <v>-8081700.3799999999</v>
      </c>
      <c r="AD1525" s="20">
        <f t="shared" si="22"/>
        <v>-8028293.3799999999</v>
      </c>
      <c r="AE1525" s="20">
        <f t="shared" si="22"/>
        <v>-8094669.2300000004</v>
      </c>
      <c r="AF1525" s="20">
        <f t="shared" si="22"/>
        <v>-8203824.0999999996</v>
      </c>
      <c r="AG1525" s="20">
        <f t="shared" si="22"/>
        <v>-7901011.4099999992</v>
      </c>
      <c r="AH1525" s="20">
        <f t="shared" si="22"/>
        <v>-7793960.9299999997</v>
      </c>
      <c r="AI1525" s="20">
        <f t="shared" si="22"/>
        <v>-7595644.5900000008</v>
      </c>
      <c r="AJ1525" s="20">
        <f t="shared" si="22"/>
        <v>-7530765.3600000003</v>
      </c>
      <c r="AK1525" s="20">
        <f t="shared" si="22"/>
        <v>-7403714.1500000004</v>
      </c>
      <c r="AL1525" s="20">
        <f t="shared" si="22"/>
        <v>-7340972.0999999996</v>
      </c>
      <c r="AM1525" s="20">
        <f t="shared" si="22"/>
        <v>-7195948.9300000006</v>
      </c>
      <c r="AN1525" s="20">
        <f t="shared" si="22"/>
        <v>-6931471.9199999999</v>
      </c>
      <c r="AO1525" s="20">
        <f t="shared" si="22"/>
        <v>-6874776.6600000001</v>
      </c>
    </row>
    <row r="1526" spans="1:41" s="15" customFormat="1" ht="14.25" x14ac:dyDescent="0.2">
      <c r="A1526" s="18" t="s">
        <v>1267</v>
      </c>
      <c r="B1526" s="19" t="s">
        <v>1268</v>
      </c>
      <c r="C1526" s="20">
        <v>-6072324.3399999999</v>
      </c>
      <c r="D1526" s="20">
        <v>-5206039.18</v>
      </c>
      <c r="E1526" s="20">
        <v>-6288093.6100000003</v>
      </c>
      <c r="F1526" s="20">
        <v>-6425844.4500000002</v>
      </c>
      <c r="G1526" s="20">
        <v>-6754638.2000000002</v>
      </c>
      <c r="H1526" s="20">
        <v>-7038812.0599999996</v>
      </c>
      <c r="I1526" s="20">
        <v>-7281576.9299999997</v>
      </c>
      <c r="J1526" s="20">
        <v>-7364838.7999999998</v>
      </c>
      <c r="K1526" s="20">
        <v>-7255293.3799999999</v>
      </c>
      <c r="L1526" s="20">
        <v>-7437863.9100000001</v>
      </c>
      <c r="M1526" s="20">
        <v>-7306475.0999999996</v>
      </c>
      <c r="N1526" s="20">
        <v>-7277490.21</v>
      </c>
      <c r="O1526" s="20">
        <v>-7177660.0199999996</v>
      </c>
      <c r="P1526" s="20">
        <v>-7031372.0999999996</v>
      </c>
      <c r="Q1526" s="20">
        <v>-7956727.4400000004</v>
      </c>
      <c r="R1526" s="20">
        <v>-7950893.7599999998</v>
      </c>
      <c r="S1526" s="20">
        <v>-8156015.4400000004</v>
      </c>
      <c r="T1526" s="20">
        <v>-7861508.4900000002</v>
      </c>
      <c r="U1526" s="20">
        <v>-7887829.8300000001</v>
      </c>
      <c r="V1526" s="20">
        <v>-7930077.0499999998</v>
      </c>
      <c r="W1526" s="20">
        <v>-7787642.29</v>
      </c>
      <c r="X1526" s="20">
        <v>-7858612.4500000002</v>
      </c>
      <c r="Y1526" s="20">
        <v>-7768104.9400000004</v>
      </c>
      <c r="Z1526" s="20">
        <v>-7781224.5700000003</v>
      </c>
      <c r="AA1526" s="20">
        <v>-7799773.3899999997</v>
      </c>
      <c r="AB1526" s="20">
        <v>-7485418.1799999997</v>
      </c>
      <c r="AC1526" s="20">
        <v>-7659252.0999999996</v>
      </c>
      <c r="AD1526" s="20">
        <v>-7625897.7999999998</v>
      </c>
      <c r="AE1526" s="20">
        <v>-7708232.5300000003</v>
      </c>
      <c r="AF1526" s="20">
        <v>-7796171.04</v>
      </c>
      <c r="AG1526" s="20">
        <v>-7489754.8499999996</v>
      </c>
      <c r="AH1526" s="20">
        <v>-7371531.0599999996</v>
      </c>
      <c r="AI1526" s="20">
        <v>-7161374.4800000004</v>
      </c>
      <c r="AJ1526" s="20">
        <v>-7081412.4400000004</v>
      </c>
      <c r="AK1526" s="20">
        <v>-6930606.1299999999</v>
      </c>
      <c r="AL1526" s="20">
        <v>-6823233.5999999996</v>
      </c>
      <c r="AM1526" s="20">
        <v>-6689165.4800000004</v>
      </c>
      <c r="AN1526" s="20">
        <v>-6437966.54</v>
      </c>
      <c r="AO1526" s="20">
        <v>-6390981.0300000003</v>
      </c>
    </row>
    <row r="1527" spans="1:41" s="15" customFormat="1" ht="14.25" x14ac:dyDescent="0.2">
      <c r="A1527" s="18">
        <v>14090302</v>
      </c>
      <c r="B1527" s="19" t="s">
        <v>208</v>
      </c>
      <c r="C1527" s="20"/>
      <c r="D1527" s="20"/>
      <c r="E1527" s="20"/>
      <c r="F1527" s="20"/>
      <c r="G1527" s="20"/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20"/>
      <c r="W1527" s="20"/>
      <c r="X1527" s="20"/>
      <c r="Y1527" s="20"/>
      <c r="Z1527" s="20"/>
      <c r="AA1527" s="20"/>
      <c r="AB1527" s="20"/>
      <c r="AC1527" s="20"/>
      <c r="AD1527" s="20"/>
      <c r="AE1527" s="20"/>
      <c r="AF1527" s="20"/>
      <c r="AG1527" s="20"/>
      <c r="AH1527" s="20"/>
      <c r="AI1527" s="20"/>
      <c r="AJ1527" s="20"/>
      <c r="AK1527" s="20"/>
      <c r="AL1527" s="20"/>
      <c r="AM1527" s="20"/>
      <c r="AN1527" s="20"/>
      <c r="AO1527" s="20"/>
    </row>
    <row r="1528" spans="1:41" s="15" customFormat="1" ht="14.25" x14ac:dyDescent="0.2">
      <c r="A1528" s="18" t="s">
        <v>1269</v>
      </c>
      <c r="B1528" s="19" t="s">
        <v>1270</v>
      </c>
      <c r="C1528" s="20">
        <v>-246013.7</v>
      </c>
      <c r="D1528" s="20">
        <v>-228487.17</v>
      </c>
      <c r="E1528" s="20">
        <v>-223805.05</v>
      </c>
      <c r="F1528" s="20">
        <v>-236397.02</v>
      </c>
      <c r="G1528" s="20">
        <v>-247238.95</v>
      </c>
      <c r="H1528" s="20">
        <v>-251087.74</v>
      </c>
      <c r="I1528" s="20">
        <v>-261777.46</v>
      </c>
      <c r="J1528" s="20">
        <v>-277352.84000000003</v>
      </c>
      <c r="K1528" s="20">
        <v>-282049.62</v>
      </c>
      <c r="L1528" s="20">
        <v>-281973.06</v>
      </c>
      <c r="M1528" s="20">
        <v>-282221.09999999998</v>
      </c>
      <c r="N1528" s="20">
        <v>-282330.18</v>
      </c>
      <c r="O1528" s="20">
        <v>-276439.13</v>
      </c>
      <c r="P1528" s="20">
        <v>-234516.49</v>
      </c>
      <c r="Q1528" s="20">
        <v>-237761.61</v>
      </c>
      <c r="R1528" s="20">
        <v>-231586.97</v>
      </c>
      <c r="S1528" s="20">
        <v>-220528.15</v>
      </c>
      <c r="T1528" s="20">
        <v>-240036.19</v>
      </c>
      <c r="U1528" s="20">
        <v>-243559.48</v>
      </c>
      <c r="V1528" s="20">
        <v>-261160.18</v>
      </c>
      <c r="W1528" s="20">
        <v>-390529.26</v>
      </c>
      <c r="X1528" s="20">
        <v>-407428.19</v>
      </c>
      <c r="Y1528" s="20">
        <v>-420462.81</v>
      </c>
      <c r="Z1528" s="20">
        <v>-460699.38</v>
      </c>
      <c r="AA1528" s="20">
        <v>-451139.24</v>
      </c>
      <c r="AB1528" s="20">
        <v>-428311.94</v>
      </c>
      <c r="AC1528" s="20">
        <v>-422448.28</v>
      </c>
      <c r="AD1528" s="20">
        <v>-402395.58</v>
      </c>
      <c r="AE1528" s="20">
        <v>-386436.7</v>
      </c>
      <c r="AF1528" s="20">
        <v>-407653.06</v>
      </c>
      <c r="AG1528" s="20">
        <v>-411256.56</v>
      </c>
      <c r="AH1528" s="20">
        <v>-422429.87</v>
      </c>
      <c r="AI1528" s="20">
        <v>-434270.11</v>
      </c>
      <c r="AJ1528" s="20">
        <v>-449352.92</v>
      </c>
      <c r="AK1528" s="20">
        <v>-473108.02</v>
      </c>
      <c r="AL1528" s="20">
        <v>-517738.5</v>
      </c>
      <c r="AM1528" s="20">
        <v>-506783.45</v>
      </c>
      <c r="AN1528" s="20">
        <v>-493505.38</v>
      </c>
      <c r="AO1528" s="20">
        <v>-483795.63</v>
      </c>
    </row>
    <row r="1529" spans="1:41" ht="14.25" x14ac:dyDescent="0.2">
      <c r="A1529" s="2">
        <v>1409030202</v>
      </c>
      <c r="B1529" s="3" t="s">
        <v>210</v>
      </c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</row>
    <row r="1530" spans="1:41" ht="28.5" x14ac:dyDescent="0.2">
      <c r="A1530" s="2">
        <v>14090304</v>
      </c>
      <c r="B1530" s="4" t="s">
        <v>211</v>
      </c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</row>
    <row r="1531" spans="1:41" ht="14.25" x14ac:dyDescent="0.2">
      <c r="A1531" s="2">
        <v>140904</v>
      </c>
      <c r="B1531" s="3" t="s">
        <v>213</v>
      </c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</row>
    <row r="1532" spans="1:41" ht="14.25" x14ac:dyDescent="0.2">
      <c r="A1532" s="2">
        <v>14090401</v>
      </c>
      <c r="B1532" s="3" t="s">
        <v>207</v>
      </c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</row>
    <row r="1533" spans="1:41" ht="14.25" x14ac:dyDescent="0.2">
      <c r="A1533" s="2">
        <v>14090402</v>
      </c>
      <c r="B1533" s="3" t="s">
        <v>208</v>
      </c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</row>
    <row r="1534" spans="1:41" ht="14.25" x14ac:dyDescent="0.2">
      <c r="A1534" s="2">
        <v>1409040201</v>
      </c>
      <c r="B1534" s="3" t="s">
        <v>209</v>
      </c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</row>
    <row r="1535" spans="1:41" ht="14.25" x14ac:dyDescent="0.2">
      <c r="A1535" s="2">
        <v>1409040202</v>
      </c>
      <c r="B1535" s="3" t="s">
        <v>210</v>
      </c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</row>
    <row r="1536" spans="1:41" ht="28.5" x14ac:dyDescent="0.2">
      <c r="A1536" s="2">
        <v>14090404</v>
      </c>
      <c r="B1536" s="4" t="s">
        <v>211</v>
      </c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/>
    </row>
    <row r="1537" spans="1:41" x14ac:dyDescent="0.2">
      <c r="A1537" s="5">
        <v>140907</v>
      </c>
      <c r="B1537" s="6" t="s">
        <v>214</v>
      </c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</row>
    <row r="1538" spans="1:41" x14ac:dyDescent="0.2">
      <c r="A1538" s="5">
        <v>14090701</v>
      </c>
      <c r="B1538" s="6" t="s">
        <v>215</v>
      </c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</row>
    <row r="1539" spans="1:41" x14ac:dyDescent="0.2">
      <c r="A1539" s="5">
        <v>14090702</v>
      </c>
      <c r="B1539" s="6" t="s">
        <v>216</v>
      </c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</row>
    <row r="1540" spans="1:41" x14ac:dyDescent="0.2">
      <c r="A1540" s="5">
        <v>1409070201</v>
      </c>
      <c r="B1540" s="6" t="s">
        <v>217</v>
      </c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</row>
    <row r="1541" spans="1:41" x14ac:dyDescent="0.2">
      <c r="A1541" s="5">
        <v>1409070202</v>
      </c>
      <c r="B1541" s="6" t="s">
        <v>218</v>
      </c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</row>
    <row r="1542" spans="1:41" x14ac:dyDescent="0.2">
      <c r="A1542" s="5">
        <v>14090704</v>
      </c>
      <c r="B1542" s="6" t="s">
        <v>219</v>
      </c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</row>
    <row r="1543" spans="1:41" ht="14.25" x14ac:dyDescent="0.2">
      <c r="A1543" s="2">
        <v>140909</v>
      </c>
      <c r="B1543" s="3" t="s">
        <v>220</v>
      </c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</row>
    <row r="1544" spans="1:41" ht="14.25" x14ac:dyDescent="0.2">
      <c r="A1544" s="2">
        <v>14090901</v>
      </c>
      <c r="B1544" s="3" t="s">
        <v>207</v>
      </c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</row>
    <row r="1545" spans="1:41" ht="14.25" x14ac:dyDescent="0.2">
      <c r="A1545" s="2">
        <v>14090902</v>
      </c>
      <c r="B1545" s="3" t="s">
        <v>208</v>
      </c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</row>
    <row r="1546" spans="1:41" ht="14.25" x14ac:dyDescent="0.2">
      <c r="A1546" s="2">
        <v>1409090201</v>
      </c>
      <c r="B1546" s="3" t="s">
        <v>209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</row>
    <row r="1547" spans="1:41" ht="14.25" x14ac:dyDescent="0.2">
      <c r="A1547" s="2">
        <v>1409090202</v>
      </c>
      <c r="B1547" s="3" t="s">
        <v>210</v>
      </c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</row>
    <row r="1548" spans="1:41" ht="28.5" x14ac:dyDescent="0.2">
      <c r="A1548" s="2">
        <v>14090904</v>
      </c>
      <c r="B1548" s="4" t="s">
        <v>211</v>
      </c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</row>
    <row r="1549" spans="1:41" ht="14.25" x14ac:dyDescent="0.2">
      <c r="A1549" s="2">
        <v>140910</v>
      </c>
      <c r="B1549" s="3" t="s">
        <v>221</v>
      </c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</row>
    <row r="1550" spans="1:41" ht="14.25" x14ac:dyDescent="0.2">
      <c r="A1550" s="2">
        <v>14091001</v>
      </c>
      <c r="B1550" s="3" t="s">
        <v>207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</row>
    <row r="1551" spans="1:41" ht="14.25" x14ac:dyDescent="0.2">
      <c r="A1551" s="2">
        <v>14091002</v>
      </c>
      <c r="B1551" s="3" t="s">
        <v>208</v>
      </c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</row>
    <row r="1552" spans="1:41" ht="14.25" x14ac:dyDescent="0.2">
      <c r="A1552" s="2">
        <v>1409100201</v>
      </c>
      <c r="B1552" s="3" t="s">
        <v>209</v>
      </c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</row>
    <row r="1553" spans="1:41" ht="14.25" x14ac:dyDescent="0.2">
      <c r="A1553" s="2">
        <v>1409100202</v>
      </c>
      <c r="B1553" s="3" t="s">
        <v>210</v>
      </c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</row>
    <row r="1554" spans="1:41" ht="28.5" x14ac:dyDescent="0.2">
      <c r="A1554" s="2">
        <v>14091004</v>
      </c>
      <c r="B1554" s="4" t="s">
        <v>211</v>
      </c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11"/>
      <c r="AL1554" s="11"/>
      <c r="AM1554" s="11"/>
      <c r="AN1554" s="11"/>
      <c r="AO1554" s="11"/>
    </row>
    <row r="1555" spans="1:41" ht="14.25" x14ac:dyDescent="0.2">
      <c r="A1555" s="2">
        <v>140911</v>
      </c>
      <c r="B1555" s="3" t="s">
        <v>222</v>
      </c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</row>
    <row r="1556" spans="1:41" ht="14.25" x14ac:dyDescent="0.2">
      <c r="A1556" s="2">
        <v>14091101</v>
      </c>
      <c r="B1556" s="3" t="s">
        <v>207</v>
      </c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</row>
    <row r="1557" spans="1:41" ht="14.25" x14ac:dyDescent="0.2">
      <c r="A1557" s="2">
        <v>14091102</v>
      </c>
      <c r="B1557" s="3" t="s">
        <v>208</v>
      </c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</row>
    <row r="1558" spans="1:41" ht="14.25" x14ac:dyDescent="0.2">
      <c r="A1558" s="2">
        <v>1409110201</v>
      </c>
      <c r="B1558" s="3" t="s">
        <v>209</v>
      </c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</row>
    <row r="1559" spans="1:41" ht="14.25" x14ac:dyDescent="0.2">
      <c r="A1559" s="2">
        <v>1409110202</v>
      </c>
      <c r="B1559" s="3" t="s">
        <v>210</v>
      </c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</row>
    <row r="1560" spans="1:41" ht="28.5" x14ac:dyDescent="0.2">
      <c r="A1560" s="2">
        <v>14091104</v>
      </c>
      <c r="B1560" s="4" t="s">
        <v>211</v>
      </c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/>
    </row>
    <row r="1561" spans="1:41" ht="14.25" x14ac:dyDescent="0.2">
      <c r="A1561" s="2">
        <v>140912</v>
      </c>
      <c r="B1561" s="3" t="s">
        <v>223</v>
      </c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</row>
    <row r="1562" spans="1:41" ht="14.25" x14ac:dyDescent="0.2">
      <c r="A1562" s="2">
        <v>14091201</v>
      </c>
      <c r="B1562" s="3" t="s">
        <v>207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</row>
    <row r="1563" spans="1:41" ht="14.25" x14ac:dyDescent="0.2">
      <c r="A1563" s="2">
        <v>14091202</v>
      </c>
      <c r="B1563" s="3" t="s">
        <v>208</v>
      </c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</row>
    <row r="1564" spans="1:41" ht="14.25" x14ac:dyDescent="0.2">
      <c r="A1564" s="2">
        <v>1409120201</v>
      </c>
      <c r="B1564" s="3" t="s">
        <v>209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</row>
    <row r="1565" spans="1:41" ht="14.25" x14ac:dyDescent="0.2">
      <c r="A1565" s="2">
        <v>1409120202</v>
      </c>
      <c r="B1565" s="3" t="s">
        <v>210</v>
      </c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</row>
    <row r="1566" spans="1:41" ht="28.5" x14ac:dyDescent="0.2">
      <c r="A1566" s="2">
        <v>14091204</v>
      </c>
      <c r="B1566" s="4" t="s">
        <v>211</v>
      </c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</row>
    <row r="1567" spans="1:41" ht="14.25" x14ac:dyDescent="0.2">
      <c r="A1567" s="2">
        <v>140913</v>
      </c>
      <c r="B1567" s="3" t="s">
        <v>224</v>
      </c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</row>
    <row r="1568" spans="1:41" ht="14.25" x14ac:dyDescent="0.2">
      <c r="A1568" s="2">
        <v>14091301</v>
      </c>
      <c r="B1568" s="3" t="s">
        <v>207</v>
      </c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</row>
    <row r="1569" spans="1:41" ht="14.25" x14ac:dyDescent="0.2">
      <c r="A1569" s="2">
        <v>14091302</v>
      </c>
      <c r="B1569" s="3" t="s">
        <v>208</v>
      </c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</row>
    <row r="1570" spans="1:41" ht="14.25" x14ac:dyDescent="0.2">
      <c r="A1570" s="2">
        <v>1409130201</v>
      </c>
      <c r="B1570" s="3" t="s">
        <v>209</v>
      </c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</row>
    <row r="1571" spans="1:41" ht="14.25" x14ac:dyDescent="0.2">
      <c r="A1571" s="2">
        <v>1409130202</v>
      </c>
      <c r="B1571" s="3" t="s">
        <v>210</v>
      </c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</row>
    <row r="1572" spans="1:41" ht="28.5" x14ac:dyDescent="0.2">
      <c r="A1572" s="2">
        <v>14091304</v>
      </c>
      <c r="B1572" s="4" t="s">
        <v>211</v>
      </c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1"/>
      <c r="AM1572" s="11"/>
      <c r="AN1572" s="11"/>
      <c r="AO1572" s="11"/>
    </row>
    <row r="1573" spans="1:41" s="15" customFormat="1" ht="14.25" x14ac:dyDescent="0.2">
      <c r="A1573" s="18" t="s">
        <v>1271</v>
      </c>
      <c r="B1573" s="19" t="s">
        <v>1272</v>
      </c>
      <c r="C1573" s="20"/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20"/>
      <c r="T1573" s="20">
        <v>-92944.37</v>
      </c>
      <c r="U1573" s="20">
        <v>-92944.37</v>
      </c>
      <c r="V1573" s="20">
        <v>-92944.37</v>
      </c>
      <c r="W1573" s="20">
        <v>-45330.12</v>
      </c>
      <c r="X1573" s="20">
        <v>-45330.12</v>
      </c>
      <c r="Y1573" s="20">
        <v>-45330.12</v>
      </c>
      <c r="Z1573" s="20">
        <v>-24842.32</v>
      </c>
      <c r="AA1573" s="20">
        <v>-24842.32</v>
      </c>
      <c r="AB1573" s="20">
        <v>-362024.83</v>
      </c>
      <c r="AC1573" s="20">
        <v>-194054.57</v>
      </c>
      <c r="AD1573" s="20">
        <v>-247461.57</v>
      </c>
      <c r="AE1573" s="20">
        <v>-181085.72</v>
      </c>
      <c r="AF1573" s="20">
        <v>-71930.850000000006</v>
      </c>
      <c r="AG1573" s="20">
        <v>-375683.84000000003</v>
      </c>
      <c r="AH1573" s="20">
        <v>-463757.32</v>
      </c>
      <c r="AI1573" s="20">
        <v>-680110.36</v>
      </c>
      <c r="AJ1573" s="20">
        <v>-744989.59</v>
      </c>
      <c r="AK1573" s="20">
        <v>-872040.8</v>
      </c>
      <c r="AL1573" s="20">
        <v>-934782.85</v>
      </c>
      <c r="AM1573" s="20">
        <v>-1079806.02</v>
      </c>
      <c r="AN1573" s="20">
        <v>-1344283.03</v>
      </c>
      <c r="AO1573" s="20">
        <v>-1400978.29</v>
      </c>
    </row>
    <row r="1574" spans="1:41" ht="14.25" x14ac:dyDescent="0.2">
      <c r="A1574" s="2">
        <v>15</v>
      </c>
      <c r="B1574" s="3" t="s">
        <v>225</v>
      </c>
      <c r="C1574" s="20">
        <f t="shared" ref="C1574:AO1574" si="23">+C1615+C1660</f>
        <v>1917718.1999999997</v>
      </c>
      <c r="D1574" s="20">
        <f t="shared" si="23"/>
        <v>2719357.36</v>
      </c>
      <c r="E1574" s="20">
        <f t="shared" si="23"/>
        <v>2453331.1</v>
      </c>
      <c r="F1574" s="20">
        <f t="shared" si="23"/>
        <v>2988300.53</v>
      </c>
      <c r="G1574" s="20">
        <f t="shared" si="23"/>
        <v>1883342.5</v>
      </c>
      <c r="H1574" s="20">
        <f t="shared" si="23"/>
        <v>1665693.93</v>
      </c>
      <c r="I1574" s="20">
        <f t="shared" si="23"/>
        <v>2076909.3499999996</v>
      </c>
      <c r="J1574" s="20">
        <f t="shared" si="23"/>
        <v>1658866.47</v>
      </c>
      <c r="K1574" s="20">
        <f t="shared" si="23"/>
        <v>982635.47</v>
      </c>
      <c r="L1574" s="20">
        <f t="shared" si="23"/>
        <v>1354382.15</v>
      </c>
      <c r="M1574" s="20">
        <f t="shared" si="23"/>
        <v>4383500.93</v>
      </c>
      <c r="N1574" s="20">
        <f t="shared" si="23"/>
        <v>939746.72</v>
      </c>
      <c r="O1574" s="20">
        <f t="shared" si="23"/>
        <v>931080.41000000015</v>
      </c>
      <c r="P1574" s="20">
        <f t="shared" si="23"/>
        <v>1340780.97</v>
      </c>
      <c r="Q1574" s="20">
        <f t="shared" si="23"/>
        <v>1763690.5299999998</v>
      </c>
      <c r="R1574" s="20">
        <f t="shared" si="23"/>
        <v>954764.6799999997</v>
      </c>
      <c r="S1574" s="20">
        <f t="shared" si="23"/>
        <v>893395</v>
      </c>
      <c r="T1574" s="20">
        <f t="shared" si="23"/>
        <v>891437.3</v>
      </c>
      <c r="U1574" s="20">
        <f t="shared" si="23"/>
        <v>1321430.18</v>
      </c>
      <c r="V1574" s="20">
        <f t="shared" si="23"/>
        <v>964632.54</v>
      </c>
      <c r="W1574" s="20">
        <f t="shared" si="23"/>
        <v>984075.88000000012</v>
      </c>
      <c r="X1574" s="20">
        <f t="shared" si="23"/>
        <v>994861.15000000014</v>
      </c>
      <c r="Y1574" s="20">
        <f t="shared" si="23"/>
        <v>1013661.0399999998</v>
      </c>
      <c r="Z1574" s="20">
        <f t="shared" si="23"/>
        <v>1075003.04</v>
      </c>
      <c r="AA1574" s="20">
        <f t="shared" si="23"/>
        <v>1109500.0199999998</v>
      </c>
      <c r="AB1574" s="20">
        <f t="shared" si="23"/>
        <v>1144710.7099999997</v>
      </c>
      <c r="AC1574" s="20">
        <f t="shared" si="23"/>
        <v>1044517.6399999999</v>
      </c>
      <c r="AD1574" s="20">
        <f t="shared" si="23"/>
        <v>1098267.6899999997</v>
      </c>
      <c r="AE1574" s="20">
        <f t="shared" si="23"/>
        <v>1593628.9300000002</v>
      </c>
      <c r="AF1574" s="20">
        <f t="shared" si="23"/>
        <v>1719496.4800000002</v>
      </c>
      <c r="AG1574" s="20">
        <f t="shared" si="23"/>
        <v>1096028.8700000001</v>
      </c>
      <c r="AH1574" s="20">
        <f t="shared" si="23"/>
        <v>990059.16999999993</v>
      </c>
      <c r="AI1574" s="20">
        <f t="shared" si="23"/>
        <v>1014276.8400000001</v>
      </c>
      <c r="AJ1574" s="20">
        <f t="shared" si="23"/>
        <v>1034947.1400000001</v>
      </c>
      <c r="AK1574" s="20">
        <f t="shared" si="23"/>
        <v>1008188.5700000001</v>
      </c>
      <c r="AL1574" s="20">
        <f t="shared" si="23"/>
        <v>980231.25999999989</v>
      </c>
      <c r="AM1574" s="20">
        <f t="shared" si="23"/>
        <v>1043193.2100000001</v>
      </c>
      <c r="AN1574" s="20">
        <f t="shared" si="23"/>
        <v>1670721.77</v>
      </c>
      <c r="AO1574" s="20">
        <f t="shared" si="23"/>
        <v>-279710.31</v>
      </c>
    </row>
    <row r="1575" spans="1:41" x14ac:dyDescent="0.2">
      <c r="A1575" s="5">
        <v>1502</v>
      </c>
      <c r="B1575" s="6" t="s">
        <v>226</v>
      </c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</row>
    <row r="1576" spans="1:41" x14ac:dyDescent="0.2">
      <c r="A1576" s="5">
        <v>150201</v>
      </c>
      <c r="B1576" s="6" t="s">
        <v>227</v>
      </c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</row>
    <row r="1577" spans="1:41" x14ac:dyDescent="0.2">
      <c r="A1577" s="5">
        <v>150202</v>
      </c>
      <c r="B1577" s="6" t="s">
        <v>228</v>
      </c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</row>
    <row r="1578" spans="1:41" x14ac:dyDescent="0.2">
      <c r="A1578" s="5">
        <v>150203</v>
      </c>
      <c r="B1578" s="6" t="s">
        <v>229</v>
      </c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</row>
    <row r="1579" spans="1:41" x14ac:dyDescent="0.2">
      <c r="A1579" s="5">
        <v>150205</v>
      </c>
      <c r="B1579" s="6" t="s">
        <v>230</v>
      </c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</row>
    <row r="1580" spans="1:41" x14ac:dyDescent="0.2">
      <c r="A1580" s="5">
        <v>150209</v>
      </c>
      <c r="B1580" s="6" t="s">
        <v>231</v>
      </c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</row>
    <row r="1581" spans="1:41" ht="14.25" x14ac:dyDescent="0.2">
      <c r="A1581" s="2">
        <v>1503</v>
      </c>
      <c r="B1581" s="3" t="s">
        <v>232</v>
      </c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</row>
    <row r="1582" spans="1:41" ht="14.25" x14ac:dyDescent="0.2">
      <c r="A1582" s="2">
        <v>150301</v>
      </c>
      <c r="B1582" s="3" t="s">
        <v>233</v>
      </c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</row>
    <row r="1583" spans="1:41" ht="14.25" x14ac:dyDescent="0.2">
      <c r="A1583" s="2">
        <v>15030101</v>
      </c>
      <c r="B1583" s="3" t="s">
        <v>234</v>
      </c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</row>
    <row r="1584" spans="1:41" x14ac:dyDescent="0.2">
      <c r="A1584" s="5">
        <v>15030102</v>
      </c>
      <c r="B1584" s="6" t="s">
        <v>228</v>
      </c>
      <c r="C1584" s="12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</row>
    <row r="1585" spans="1:41" x14ac:dyDescent="0.2">
      <c r="A1585" s="5">
        <v>15030103</v>
      </c>
      <c r="B1585" s="6" t="s">
        <v>229</v>
      </c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</row>
    <row r="1586" spans="1:41" x14ac:dyDescent="0.2">
      <c r="A1586" s="5">
        <v>15030105</v>
      </c>
      <c r="B1586" s="6" t="s">
        <v>230</v>
      </c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</row>
    <row r="1587" spans="1:41" x14ac:dyDescent="0.2">
      <c r="A1587" s="5">
        <v>15030109</v>
      </c>
      <c r="B1587" s="6" t="s">
        <v>231</v>
      </c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</row>
    <row r="1588" spans="1:41" ht="14.25" x14ac:dyDescent="0.2">
      <c r="A1588" s="2">
        <v>150302</v>
      </c>
      <c r="B1588" s="3" t="s">
        <v>235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</row>
    <row r="1589" spans="1:41" ht="14.25" x14ac:dyDescent="0.2">
      <c r="A1589" s="2">
        <v>15030201</v>
      </c>
      <c r="B1589" s="3" t="s">
        <v>234</v>
      </c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</row>
    <row r="1590" spans="1:41" x14ac:dyDescent="0.2">
      <c r="A1590" s="5">
        <v>15030202</v>
      </c>
      <c r="B1590" s="6" t="s">
        <v>228</v>
      </c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</row>
    <row r="1591" spans="1:41" x14ac:dyDescent="0.2">
      <c r="A1591" s="5">
        <v>15030203</v>
      </c>
      <c r="B1591" s="6" t="s">
        <v>229</v>
      </c>
      <c r="C1591" s="12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</row>
    <row r="1592" spans="1:41" x14ac:dyDescent="0.2">
      <c r="A1592" s="5">
        <v>15030205</v>
      </c>
      <c r="B1592" s="6" t="s">
        <v>230</v>
      </c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</row>
    <row r="1593" spans="1:41" x14ac:dyDescent="0.2">
      <c r="A1593" s="5">
        <v>15030209</v>
      </c>
      <c r="B1593" s="6" t="s">
        <v>231</v>
      </c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</row>
    <row r="1594" spans="1:41" ht="28.5" x14ac:dyDescent="0.2">
      <c r="A1594" s="2">
        <v>1504</v>
      </c>
      <c r="B1594" s="4" t="s">
        <v>236</v>
      </c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/>
    </row>
    <row r="1595" spans="1:41" ht="14.25" x14ac:dyDescent="0.2">
      <c r="A1595" s="2">
        <v>150401</v>
      </c>
      <c r="B1595" s="3" t="s">
        <v>237</v>
      </c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</row>
    <row r="1596" spans="1:41" ht="14.25" x14ac:dyDescent="0.2">
      <c r="A1596" s="2">
        <v>150402</v>
      </c>
      <c r="B1596" s="3" t="s">
        <v>238</v>
      </c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</row>
    <row r="1597" spans="1:41" ht="14.25" x14ac:dyDescent="0.2">
      <c r="A1597" s="2">
        <v>150403</v>
      </c>
      <c r="B1597" s="3" t="s">
        <v>239</v>
      </c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</row>
    <row r="1598" spans="1:41" x14ac:dyDescent="0.2">
      <c r="A1598" s="5">
        <v>150404</v>
      </c>
      <c r="B1598" s="6" t="s">
        <v>240</v>
      </c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</row>
    <row r="1599" spans="1:41" ht="14.25" x14ac:dyDescent="0.2">
      <c r="A1599" s="2">
        <v>150406</v>
      </c>
      <c r="B1599" s="3" t="s">
        <v>241</v>
      </c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</row>
    <row r="1600" spans="1:41" x14ac:dyDescent="0.2">
      <c r="A1600" s="5">
        <v>150409</v>
      </c>
      <c r="B1600" s="6" t="s">
        <v>242</v>
      </c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</row>
    <row r="1601" spans="1:41" ht="28.5" x14ac:dyDescent="0.2">
      <c r="A1601" s="2">
        <v>1505</v>
      </c>
      <c r="B1601" s="4" t="s">
        <v>243</v>
      </c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</row>
    <row r="1602" spans="1:41" ht="14.25" x14ac:dyDescent="0.2">
      <c r="A1602" s="2">
        <v>150501</v>
      </c>
      <c r="B1602" s="3" t="s">
        <v>244</v>
      </c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</row>
    <row r="1603" spans="1:41" ht="14.25" x14ac:dyDescent="0.2">
      <c r="A1603" s="2">
        <v>15050101</v>
      </c>
      <c r="B1603" s="3" t="s">
        <v>245</v>
      </c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</row>
    <row r="1604" spans="1:41" ht="14.25" x14ac:dyDescent="0.2">
      <c r="A1604" s="2">
        <v>15050102</v>
      </c>
      <c r="B1604" s="3" t="s">
        <v>246</v>
      </c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</row>
    <row r="1605" spans="1:41" ht="14.25" x14ac:dyDescent="0.2">
      <c r="A1605" s="2">
        <v>150502</v>
      </c>
      <c r="B1605" s="3" t="s">
        <v>247</v>
      </c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</row>
    <row r="1606" spans="1:41" ht="14.25" x14ac:dyDescent="0.2">
      <c r="A1606" s="2">
        <v>150509</v>
      </c>
      <c r="B1606" s="3" t="s">
        <v>248</v>
      </c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</row>
    <row r="1607" spans="1:41" ht="14.25" x14ac:dyDescent="0.2">
      <c r="A1607" s="2">
        <v>1506</v>
      </c>
      <c r="B1607" s="3" t="s">
        <v>249</v>
      </c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</row>
    <row r="1608" spans="1:41" ht="14.25" x14ac:dyDescent="0.2">
      <c r="A1608" s="2">
        <v>150601</v>
      </c>
      <c r="B1608" s="3" t="s">
        <v>250</v>
      </c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</row>
    <row r="1609" spans="1:41" ht="14.25" x14ac:dyDescent="0.2">
      <c r="A1609" s="2">
        <v>150602</v>
      </c>
      <c r="B1609" s="3" t="s">
        <v>251</v>
      </c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</row>
    <row r="1610" spans="1:41" ht="14.25" x14ac:dyDescent="0.2">
      <c r="A1610" s="2">
        <v>150605</v>
      </c>
      <c r="B1610" s="3" t="s">
        <v>252</v>
      </c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</row>
    <row r="1611" spans="1:41" ht="14.25" x14ac:dyDescent="0.2">
      <c r="A1611" s="2">
        <v>150606</v>
      </c>
      <c r="B1611" s="3" t="s">
        <v>253</v>
      </c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</row>
    <row r="1612" spans="1:41" ht="14.25" x14ac:dyDescent="0.2">
      <c r="A1612" s="2">
        <v>150607</v>
      </c>
      <c r="B1612" s="3" t="s">
        <v>254</v>
      </c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</row>
    <row r="1613" spans="1:41" x14ac:dyDescent="0.2">
      <c r="A1613" s="5">
        <v>150608</v>
      </c>
      <c r="B1613" s="6" t="s">
        <v>255</v>
      </c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</row>
    <row r="1614" spans="1:41" ht="14.25" x14ac:dyDescent="0.2">
      <c r="A1614" s="2">
        <v>150619</v>
      </c>
      <c r="B1614" s="3" t="s">
        <v>256</v>
      </c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</row>
    <row r="1615" spans="1:41" ht="14.25" x14ac:dyDescent="0.2">
      <c r="A1615" s="2">
        <v>1507</v>
      </c>
      <c r="B1615" s="3" t="s">
        <v>257</v>
      </c>
      <c r="C1615" s="20">
        <f t="shared" ref="C1615:AN1615" si="24">+C1616+C1618+C1629</f>
        <v>2054042.9299999997</v>
      </c>
      <c r="D1615" s="20">
        <f t="shared" si="24"/>
        <v>2855682.09</v>
      </c>
      <c r="E1615" s="20">
        <f t="shared" si="24"/>
        <v>2589655.83</v>
      </c>
      <c r="F1615" s="20">
        <f t="shared" si="24"/>
        <v>3124625.26</v>
      </c>
      <c r="G1615" s="20">
        <f t="shared" si="24"/>
        <v>2019667.23</v>
      </c>
      <c r="H1615" s="20">
        <f t="shared" si="24"/>
        <v>1802018.66</v>
      </c>
      <c r="I1615" s="20">
        <f t="shared" si="24"/>
        <v>2213234.0799999996</v>
      </c>
      <c r="J1615" s="20">
        <f t="shared" si="24"/>
        <v>1795191.2</v>
      </c>
      <c r="K1615" s="20">
        <f t="shared" si="24"/>
        <v>1350727.47</v>
      </c>
      <c r="L1615" s="20">
        <f t="shared" si="24"/>
        <v>1722474.15</v>
      </c>
      <c r="M1615" s="20">
        <f t="shared" si="24"/>
        <v>4751592.93</v>
      </c>
      <c r="N1615" s="20">
        <f t="shared" si="24"/>
        <v>1307838.72</v>
      </c>
      <c r="O1615" s="20">
        <f t="shared" si="24"/>
        <v>1299172.4100000001</v>
      </c>
      <c r="P1615" s="20">
        <f t="shared" si="24"/>
        <v>1708872.97</v>
      </c>
      <c r="Q1615" s="20">
        <f t="shared" si="24"/>
        <v>2131782.5299999998</v>
      </c>
      <c r="R1615" s="20">
        <f t="shared" si="24"/>
        <v>1322856.6799999997</v>
      </c>
      <c r="S1615" s="20">
        <f t="shared" si="24"/>
        <v>1261487</v>
      </c>
      <c r="T1615" s="20">
        <f t="shared" si="24"/>
        <v>1259529.3</v>
      </c>
      <c r="U1615" s="20">
        <f t="shared" si="24"/>
        <v>1689522.18</v>
      </c>
      <c r="V1615" s="20">
        <f t="shared" si="24"/>
        <v>1332724.54</v>
      </c>
      <c r="W1615" s="20">
        <f t="shared" si="24"/>
        <v>1352167.8800000001</v>
      </c>
      <c r="X1615" s="20">
        <f t="shared" si="24"/>
        <v>1362953.1500000001</v>
      </c>
      <c r="Y1615" s="20">
        <f t="shared" si="24"/>
        <v>1381753.0399999998</v>
      </c>
      <c r="Z1615" s="20">
        <f t="shared" si="24"/>
        <v>1443095.04</v>
      </c>
      <c r="AA1615" s="20">
        <f t="shared" si="24"/>
        <v>1477592.0199999998</v>
      </c>
      <c r="AB1615" s="20">
        <f t="shared" si="24"/>
        <v>1512802.7099999997</v>
      </c>
      <c r="AC1615" s="20">
        <f t="shared" si="24"/>
        <v>1435911.5899999999</v>
      </c>
      <c r="AD1615" s="20">
        <f t="shared" si="24"/>
        <v>1489661.6399999997</v>
      </c>
      <c r="AE1615" s="20">
        <f t="shared" si="24"/>
        <v>1985022.8800000001</v>
      </c>
      <c r="AF1615" s="20">
        <f t="shared" si="24"/>
        <v>2144934.0100000002</v>
      </c>
      <c r="AG1615" s="20">
        <f t="shared" si="24"/>
        <v>1521466.4000000001</v>
      </c>
      <c r="AH1615" s="20">
        <f t="shared" si="24"/>
        <v>1415496.7</v>
      </c>
      <c r="AI1615" s="20">
        <f t="shared" si="24"/>
        <v>1448610.1600000001</v>
      </c>
      <c r="AJ1615" s="20">
        <f t="shared" si="24"/>
        <v>1469280.4600000002</v>
      </c>
      <c r="AK1615" s="20">
        <f t="shared" si="24"/>
        <v>1442521.8900000001</v>
      </c>
      <c r="AL1615" s="20">
        <f t="shared" si="24"/>
        <v>1437519.88</v>
      </c>
      <c r="AM1615" s="20">
        <f t="shared" si="24"/>
        <v>1500481.83</v>
      </c>
      <c r="AN1615" s="20">
        <f t="shared" si="24"/>
        <v>2128010.39</v>
      </c>
      <c r="AO1615" s="20">
        <f>+AO1616+AO1618+AO1629</f>
        <v>201350.26</v>
      </c>
    </row>
    <row r="1616" spans="1:41" ht="14.25" x14ac:dyDescent="0.2">
      <c r="A1616" s="2">
        <v>150701</v>
      </c>
      <c r="B1616" s="3" t="s">
        <v>258</v>
      </c>
      <c r="C1616" s="20">
        <f>+C1617</f>
        <v>400</v>
      </c>
      <c r="D1616" s="20">
        <f t="shared" ref="D1616:AO1616" si="25">+D1617</f>
        <v>400</v>
      </c>
      <c r="E1616" s="20">
        <f t="shared" si="25"/>
        <v>400</v>
      </c>
      <c r="F1616" s="20">
        <f t="shared" si="25"/>
        <v>400</v>
      </c>
      <c r="G1616" s="20">
        <f t="shared" si="25"/>
        <v>400</v>
      </c>
      <c r="H1616" s="20">
        <f t="shared" si="25"/>
        <v>400</v>
      </c>
      <c r="I1616" s="20">
        <f t="shared" si="25"/>
        <v>400</v>
      </c>
      <c r="J1616" s="20">
        <f t="shared" si="25"/>
        <v>400</v>
      </c>
      <c r="K1616" s="20">
        <f t="shared" si="25"/>
        <v>400</v>
      </c>
      <c r="L1616" s="20">
        <f t="shared" si="25"/>
        <v>400</v>
      </c>
      <c r="M1616" s="20">
        <f t="shared" si="25"/>
        <v>400</v>
      </c>
      <c r="N1616" s="20">
        <f t="shared" si="25"/>
        <v>400</v>
      </c>
      <c r="O1616" s="20">
        <f t="shared" si="25"/>
        <v>400</v>
      </c>
      <c r="P1616" s="20">
        <f t="shared" si="25"/>
        <v>400</v>
      </c>
      <c r="Q1616" s="20">
        <f t="shared" si="25"/>
        <v>400</v>
      </c>
      <c r="R1616" s="20">
        <f t="shared" si="25"/>
        <v>5116.3</v>
      </c>
      <c r="S1616" s="20">
        <f t="shared" si="25"/>
        <v>5116.3</v>
      </c>
      <c r="T1616" s="20">
        <f t="shared" si="25"/>
        <v>5116.3</v>
      </c>
      <c r="U1616" s="20">
        <f t="shared" si="25"/>
        <v>5116.3</v>
      </c>
      <c r="V1616" s="20">
        <f t="shared" si="25"/>
        <v>5116.3</v>
      </c>
      <c r="W1616" s="20">
        <f t="shared" si="25"/>
        <v>5116.3</v>
      </c>
      <c r="X1616" s="20">
        <f t="shared" si="25"/>
        <v>5116.3</v>
      </c>
      <c r="Y1616" s="20">
        <f t="shared" si="25"/>
        <v>1966.3</v>
      </c>
      <c r="Z1616" s="20">
        <f t="shared" si="25"/>
        <v>1966.3</v>
      </c>
      <c r="AA1616" s="20">
        <f t="shared" si="25"/>
        <v>1966.3</v>
      </c>
      <c r="AB1616" s="20">
        <f t="shared" si="25"/>
        <v>1966.3</v>
      </c>
      <c r="AC1616" s="20">
        <f t="shared" si="25"/>
        <v>1966.3</v>
      </c>
      <c r="AD1616" s="20">
        <f t="shared" si="25"/>
        <v>1966.3</v>
      </c>
      <c r="AE1616" s="20">
        <f t="shared" si="25"/>
        <v>1966.3</v>
      </c>
      <c r="AF1616" s="20">
        <f t="shared" si="25"/>
        <v>1966.3</v>
      </c>
      <c r="AG1616" s="20">
        <f t="shared" si="25"/>
        <v>1966.3</v>
      </c>
      <c r="AH1616" s="20">
        <f t="shared" si="25"/>
        <v>1966.3</v>
      </c>
      <c r="AI1616" s="20">
        <f t="shared" si="25"/>
        <v>1966.3</v>
      </c>
      <c r="AJ1616" s="20">
        <f t="shared" si="25"/>
        <v>1966.3</v>
      </c>
      <c r="AK1616" s="20">
        <f t="shared" si="25"/>
        <v>1966.3</v>
      </c>
      <c r="AL1616" s="20">
        <f t="shared" si="25"/>
        <v>1966.3</v>
      </c>
      <c r="AM1616" s="20">
        <f t="shared" si="25"/>
        <v>1966.3</v>
      </c>
      <c r="AN1616" s="20">
        <f t="shared" si="25"/>
        <v>1966.3</v>
      </c>
      <c r="AO1616" s="20">
        <f t="shared" si="25"/>
        <v>1966.3</v>
      </c>
    </row>
    <row r="1617" spans="1:41" s="15" customFormat="1" ht="14.25" x14ac:dyDescent="0.2">
      <c r="A1617" s="18" t="s">
        <v>1273</v>
      </c>
      <c r="B1617" s="19" t="s">
        <v>1274</v>
      </c>
      <c r="C1617" s="20">
        <v>400</v>
      </c>
      <c r="D1617" s="20">
        <v>400</v>
      </c>
      <c r="E1617" s="20">
        <v>400</v>
      </c>
      <c r="F1617" s="20">
        <v>400</v>
      </c>
      <c r="G1617" s="20">
        <v>400</v>
      </c>
      <c r="H1617" s="20">
        <v>400</v>
      </c>
      <c r="I1617" s="20">
        <v>400</v>
      </c>
      <c r="J1617" s="20">
        <v>400</v>
      </c>
      <c r="K1617" s="20">
        <v>400</v>
      </c>
      <c r="L1617" s="20">
        <v>400</v>
      </c>
      <c r="M1617" s="20">
        <v>400</v>
      </c>
      <c r="N1617" s="20">
        <v>400</v>
      </c>
      <c r="O1617" s="20">
        <v>400</v>
      </c>
      <c r="P1617" s="20">
        <v>400</v>
      </c>
      <c r="Q1617" s="20">
        <v>400</v>
      </c>
      <c r="R1617" s="20">
        <v>5116.3</v>
      </c>
      <c r="S1617" s="20">
        <v>5116.3</v>
      </c>
      <c r="T1617" s="20">
        <v>5116.3</v>
      </c>
      <c r="U1617" s="20">
        <v>5116.3</v>
      </c>
      <c r="V1617" s="20">
        <v>5116.3</v>
      </c>
      <c r="W1617" s="20">
        <v>5116.3</v>
      </c>
      <c r="X1617" s="20">
        <v>5116.3</v>
      </c>
      <c r="Y1617" s="20">
        <v>1966.3</v>
      </c>
      <c r="Z1617" s="20">
        <v>1966.3</v>
      </c>
      <c r="AA1617" s="20">
        <v>1966.3</v>
      </c>
      <c r="AB1617" s="20">
        <v>1966.3</v>
      </c>
      <c r="AC1617" s="20">
        <v>1966.3</v>
      </c>
      <c r="AD1617" s="20">
        <v>1966.3</v>
      </c>
      <c r="AE1617" s="20">
        <v>1966.3</v>
      </c>
      <c r="AF1617" s="20">
        <v>1966.3</v>
      </c>
      <c r="AG1617" s="20">
        <v>1966.3</v>
      </c>
      <c r="AH1617" s="20">
        <v>1966.3</v>
      </c>
      <c r="AI1617" s="20">
        <v>1966.3</v>
      </c>
      <c r="AJ1617" s="20">
        <v>1966.3</v>
      </c>
      <c r="AK1617" s="20">
        <v>1966.3</v>
      </c>
      <c r="AL1617" s="20">
        <v>1966.3</v>
      </c>
      <c r="AM1617" s="20">
        <v>1966.3</v>
      </c>
      <c r="AN1617" s="20">
        <v>1966.3</v>
      </c>
      <c r="AO1617" s="20">
        <v>1966.3</v>
      </c>
    </row>
    <row r="1618" spans="1:41" s="15" customFormat="1" ht="14.25" x14ac:dyDescent="0.2">
      <c r="A1618" s="18">
        <v>150702</v>
      </c>
      <c r="B1618" s="19" t="s">
        <v>259</v>
      </c>
      <c r="C1618" s="20">
        <f>+C1619+C1620+C1621+C1622</f>
        <v>8711.2900000000009</v>
      </c>
      <c r="D1618" s="20">
        <f t="shared" ref="D1618:AO1618" si="26">+D1619+D1620+D1621+D1622</f>
        <v>8689.07</v>
      </c>
      <c r="E1618" s="20">
        <f t="shared" si="26"/>
        <v>11936.68</v>
      </c>
      <c r="F1618" s="20">
        <f t="shared" si="26"/>
        <v>10714.26</v>
      </c>
      <c r="G1618" s="20">
        <f t="shared" si="26"/>
        <v>10695.21</v>
      </c>
      <c r="H1618" s="20">
        <f t="shared" si="26"/>
        <v>10668.23</v>
      </c>
      <c r="I1618" s="20">
        <f t="shared" si="26"/>
        <v>8303.2800000000007</v>
      </c>
      <c r="J1618" s="20">
        <f t="shared" si="26"/>
        <v>8349.31</v>
      </c>
      <c r="K1618" s="20">
        <f t="shared" si="26"/>
        <v>9511.15</v>
      </c>
      <c r="L1618" s="20">
        <f t="shared" si="26"/>
        <v>9534.9599999999991</v>
      </c>
      <c r="M1618" s="20">
        <f t="shared" si="26"/>
        <v>9342.4699999999993</v>
      </c>
      <c r="N1618" s="20">
        <f t="shared" si="26"/>
        <v>18261.419999999998</v>
      </c>
      <c r="O1618" s="20">
        <f t="shared" si="26"/>
        <v>9516.9699999999993</v>
      </c>
      <c r="P1618" s="20">
        <f t="shared" si="26"/>
        <v>9612.07</v>
      </c>
      <c r="Q1618" s="20">
        <f t="shared" si="26"/>
        <v>12679.27</v>
      </c>
      <c r="R1618" s="20">
        <f t="shared" si="26"/>
        <v>19394.620000000003</v>
      </c>
      <c r="S1618" s="20">
        <f t="shared" si="26"/>
        <v>19389.849999999999</v>
      </c>
      <c r="T1618" s="20">
        <f t="shared" si="26"/>
        <v>19439.05</v>
      </c>
      <c r="U1618" s="20">
        <f t="shared" si="26"/>
        <v>19378.739999999998</v>
      </c>
      <c r="V1618" s="20">
        <f t="shared" si="26"/>
        <v>24552.82</v>
      </c>
      <c r="W1618" s="20">
        <f t="shared" si="26"/>
        <v>23774.510000000002</v>
      </c>
      <c r="X1618" s="20">
        <f t="shared" si="26"/>
        <v>25205.73</v>
      </c>
      <c r="Y1618" s="20">
        <f t="shared" si="26"/>
        <v>26584.17</v>
      </c>
      <c r="Z1618" s="20">
        <f t="shared" si="26"/>
        <v>9495.81</v>
      </c>
      <c r="AA1618" s="20">
        <f t="shared" si="26"/>
        <v>9473.59</v>
      </c>
      <c r="AB1618" s="20">
        <f t="shared" si="26"/>
        <v>9446.61</v>
      </c>
      <c r="AC1618" s="20">
        <f t="shared" si="26"/>
        <v>9445.02</v>
      </c>
      <c r="AD1618" s="20">
        <f t="shared" si="26"/>
        <v>11448.73</v>
      </c>
      <c r="AE1618" s="20">
        <f t="shared" si="26"/>
        <v>11422.8</v>
      </c>
      <c r="AF1618" s="20">
        <f t="shared" si="26"/>
        <v>14178.36</v>
      </c>
      <c r="AG1618" s="20">
        <f t="shared" si="26"/>
        <v>9399</v>
      </c>
      <c r="AH1618" s="20">
        <f t="shared" si="26"/>
        <v>9352.9699999999993</v>
      </c>
      <c r="AI1618" s="20">
        <f t="shared" si="26"/>
        <v>9977.44</v>
      </c>
      <c r="AJ1618" s="20">
        <f t="shared" si="26"/>
        <v>10259.73</v>
      </c>
      <c r="AK1618" s="20">
        <f t="shared" si="26"/>
        <v>12850.47</v>
      </c>
      <c r="AL1618" s="20">
        <f t="shared" si="26"/>
        <v>9901.18</v>
      </c>
      <c r="AM1618" s="20">
        <f t="shared" si="26"/>
        <v>9893.34</v>
      </c>
      <c r="AN1618" s="20">
        <f t="shared" si="26"/>
        <v>9895.48</v>
      </c>
      <c r="AO1618" s="20">
        <f t="shared" si="26"/>
        <v>3567.86</v>
      </c>
    </row>
    <row r="1619" spans="1:41" s="15" customFormat="1" ht="14.25" x14ac:dyDescent="0.2">
      <c r="A1619" s="18" t="s">
        <v>1275</v>
      </c>
      <c r="B1619" s="19" t="s">
        <v>1276</v>
      </c>
      <c r="C1619" s="20">
        <v>0</v>
      </c>
      <c r="D1619" s="20">
        <v>0</v>
      </c>
      <c r="E1619" s="20">
        <v>0</v>
      </c>
      <c r="F1619" s="20">
        <v>0</v>
      </c>
      <c r="G1619" s="20">
        <v>0</v>
      </c>
      <c r="H1619" s="20">
        <v>0</v>
      </c>
      <c r="I1619" s="20">
        <v>0</v>
      </c>
      <c r="J1619" s="20">
        <v>0</v>
      </c>
      <c r="K1619" s="20">
        <v>0</v>
      </c>
      <c r="L1619" s="20">
        <v>0</v>
      </c>
      <c r="M1619" s="20">
        <v>0</v>
      </c>
      <c r="N1619" s="20">
        <v>0</v>
      </c>
      <c r="O1619" s="20">
        <v>0</v>
      </c>
      <c r="P1619" s="20">
        <v>0</v>
      </c>
      <c r="Q1619" s="20">
        <v>0</v>
      </c>
      <c r="R1619" s="20">
        <v>0</v>
      </c>
      <c r="S1619" s="20">
        <v>0</v>
      </c>
      <c r="T1619" s="20">
        <v>0</v>
      </c>
      <c r="U1619" s="20">
        <v>0</v>
      </c>
      <c r="V1619" s="20">
        <v>800</v>
      </c>
      <c r="W1619" s="20">
        <v>0</v>
      </c>
      <c r="X1619" s="20">
        <v>0</v>
      </c>
      <c r="Y1619" s="20">
        <v>0</v>
      </c>
      <c r="Z1619" s="20">
        <v>0</v>
      </c>
      <c r="AA1619" s="20">
        <v>0</v>
      </c>
      <c r="AB1619" s="20">
        <v>0</v>
      </c>
      <c r="AC1619" s="20">
        <v>0</v>
      </c>
      <c r="AD1619" s="20">
        <v>0</v>
      </c>
      <c r="AE1619" s="20">
        <v>0</v>
      </c>
      <c r="AF1619" s="20">
        <v>0</v>
      </c>
      <c r="AG1619" s="20">
        <v>0</v>
      </c>
      <c r="AH1619" s="20">
        <v>0</v>
      </c>
      <c r="AI1619" s="20">
        <v>0</v>
      </c>
      <c r="AJ1619" s="20">
        <v>0</v>
      </c>
      <c r="AK1619" s="20">
        <v>0</v>
      </c>
      <c r="AL1619" s="20">
        <v>0</v>
      </c>
      <c r="AM1619" s="20">
        <v>0</v>
      </c>
      <c r="AN1619" s="20">
        <v>0</v>
      </c>
      <c r="AO1619" s="20">
        <v>0</v>
      </c>
    </row>
    <row r="1620" spans="1:41" s="15" customFormat="1" ht="14.25" x14ac:dyDescent="0.2">
      <c r="A1620" s="18" t="s">
        <v>1277</v>
      </c>
      <c r="B1620" s="19" t="s">
        <v>1278</v>
      </c>
      <c r="C1620" s="20">
        <v>326.67</v>
      </c>
      <c r="D1620" s="20">
        <v>326.67</v>
      </c>
      <c r="E1620" s="20">
        <v>0</v>
      </c>
      <c r="F1620" s="20"/>
      <c r="G1620" s="20"/>
      <c r="H1620" s="20"/>
      <c r="I1620" s="20"/>
      <c r="J1620" s="20"/>
      <c r="K1620" s="20"/>
      <c r="L1620" s="20"/>
      <c r="M1620" s="20"/>
      <c r="N1620" s="20">
        <v>8800</v>
      </c>
      <c r="O1620" s="20">
        <v>0</v>
      </c>
      <c r="P1620" s="20"/>
      <c r="Q1620" s="20"/>
      <c r="R1620" s="20"/>
      <c r="S1620" s="20"/>
      <c r="T1620" s="20"/>
      <c r="U1620" s="20"/>
      <c r="V1620" s="20"/>
      <c r="W1620" s="20"/>
      <c r="X1620" s="20"/>
      <c r="Y1620" s="20"/>
      <c r="Z1620" s="20"/>
      <c r="AA1620" s="20"/>
      <c r="AB1620" s="20"/>
      <c r="AC1620" s="20"/>
      <c r="AD1620" s="20"/>
      <c r="AE1620" s="20"/>
      <c r="AF1620" s="20"/>
      <c r="AG1620" s="20"/>
      <c r="AH1620" s="20"/>
      <c r="AI1620" s="20"/>
      <c r="AJ1620" s="20"/>
      <c r="AK1620" s="20"/>
      <c r="AL1620" s="20"/>
      <c r="AM1620" s="20"/>
      <c r="AN1620" s="20"/>
      <c r="AO1620" s="20"/>
    </row>
    <row r="1621" spans="1:41" s="15" customFormat="1" ht="14.25" x14ac:dyDescent="0.2">
      <c r="A1621" s="18" t="s">
        <v>1279</v>
      </c>
      <c r="B1621" s="19" t="s">
        <v>1280</v>
      </c>
      <c r="C1621" s="20">
        <v>8384.6200000000008</v>
      </c>
      <c r="D1621" s="20">
        <v>8362.4</v>
      </c>
      <c r="E1621" s="20">
        <v>11936.68</v>
      </c>
      <c r="F1621" s="20">
        <v>10714.26</v>
      </c>
      <c r="G1621" s="20">
        <v>10695.21</v>
      </c>
      <c r="H1621" s="20">
        <v>10668.23</v>
      </c>
      <c r="I1621" s="20">
        <v>8303.2800000000007</v>
      </c>
      <c r="J1621" s="20">
        <v>8349.31</v>
      </c>
      <c r="K1621" s="20">
        <v>9511.15</v>
      </c>
      <c r="L1621" s="20">
        <v>9534.9599999999991</v>
      </c>
      <c r="M1621" s="20">
        <v>9342.4699999999993</v>
      </c>
      <c r="N1621" s="20">
        <v>9461.42</v>
      </c>
      <c r="O1621" s="20">
        <v>9516.9699999999993</v>
      </c>
      <c r="P1621" s="20">
        <v>9612.07</v>
      </c>
      <c r="Q1621" s="20">
        <v>12679.27</v>
      </c>
      <c r="R1621" s="20">
        <v>12694.62</v>
      </c>
      <c r="S1621" s="20">
        <v>12689.85</v>
      </c>
      <c r="T1621" s="20">
        <v>12739.05</v>
      </c>
      <c r="U1621" s="20">
        <v>12678.74</v>
      </c>
      <c r="V1621" s="20">
        <v>12652.82</v>
      </c>
      <c r="W1621" s="20">
        <v>12674.51</v>
      </c>
      <c r="X1621" s="20">
        <v>12705.73</v>
      </c>
      <c r="Y1621" s="20">
        <v>12584.17</v>
      </c>
      <c r="Z1621" s="20">
        <v>9495.81</v>
      </c>
      <c r="AA1621" s="20">
        <v>9473.59</v>
      </c>
      <c r="AB1621" s="20">
        <v>9446.61</v>
      </c>
      <c r="AC1621" s="20">
        <v>9445.02</v>
      </c>
      <c r="AD1621" s="20">
        <v>9448.73</v>
      </c>
      <c r="AE1621" s="20">
        <v>9422.7999999999993</v>
      </c>
      <c r="AF1621" s="20">
        <v>9378.36</v>
      </c>
      <c r="AG1621" s="20">
        <v>9399</v>
      </c>
      <c r="AH1621" s="20">
        <v>9352.9699999999993</v>
      </c>
      <c r="AI1621" s="20">
        <v>9977.44</v>
      </c>
      <c r="AJ1621" s="20">
        <v>9909.73</v>
      </c>
      <c r="AK1621" s="20">
        <v>9900.4699999999993</v>
      </c>
      <c r="AL1621" s="20">
        <v>9901.18</v>
      </c>
      <c r="AM1621" s="20">
        <v>9893.34</v>
      </c>
      <c r="AN1621" s="20">
        <v>9895.48</v>
      </c>
      <c r="AO1621" s="20">
        <v>3567.86</v>
      </c>
    </row>
    <row r="1622" spans="1:41" s="15" customFormat="1" ht="14.25" x14ac:dyDescent="0.2">
      <c r="A1622" s="18" t="s">
        <v>1281</v>
      </c>
      <c r="B1622" s="19" t="s">
        <v>1282</v>
      </c>
      <c r="C1622" s="20"/>
      <c r="D1622" s="20"/>
      <c r="E1622" s="20"/>
      <c r="F1622" s="20"/>
      <c r="G1622" s="20"/>
      <c r="H1622" s="20"/>
      <c r="I1622" s="20"/>
      <c r="J1622" s="20"/>
      <c r="K1622" s="20"/>
      <c r="L1622" s="20"/>
      <c r="M1622" s="20"/>
      <c r="N1622" s="20"/>
      <c r="O1622" s="20"/>
      <c r="P1622" s="20"/>
      <c r="Q1622" s="20"/>
      <c r="R1622" s="20">
        <v>6700</v>
      </c>
      <c r="S1622" s="20">
        <v>6700</v>
      </c>
      <c r="T1622" s="20">
        <v>6700</v>
      </c>
      <c r="U1622" s="20">
        <v>6700</v>
      </c>
      <c r="V1622" s="20">
        <v>11100</v>
      </c>
      <c r="W1622" s="20">
        <v>11100</v>
      </c>
      <c r="X1622" s="20">
        <v>12500</v>
      </c>
      <c r="Y1622" s="20">
        <v>14000</v>
      </c>
      <c r="Z1622" s="20">
        <v>0</v>
      </c>
      <c r="AA1622" s="20"/>
      <c r="AB1622" s="20"/>
      <c r="AC1622" s="20"/>
      <c r="AD1622" s="20">
        <v>2000</v>
      </c>
      <c r="AE1622" s="20">
        <v>2000</v>
      </c>
      <c r="AF1622" s="20">
        <v>4800</v>
      </c>
      <c r="AG1622" s="20">
        <v>0</v>
      </c>
      <c r="AH1622" s="20"/>
      <c r="AI1622" s="20"/>
      <c r="AJ1622" s="20">
        <v>350</v>
      </c>
      <c r="AK1622" s="20">
        <v>2950</v>
      </c>
      <c r="AL1622" s="20">
        <v>0</v>
      </c>
      <c r="AM1622" s="20"/>
      <c r="AN1622" s="20"/>
      <c r="AO1622" s="20"/>
    </row>
    <row r="1623" spans="1:41" ht="14.25" x14ac:dyDescent="0.2">
      <c r="A1623" s="2">
        <v>150703</v>
      </c>
      <c r="B1623" s="3" t="s">
        <v>260</v>
      </c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9"/>
    </row>
    <row r="1624" spans="1:41" ht="28.5" x14ac:dyDescent="0.2">
      <c r="A1624" s="2">
        <v>150706</v>
      </c>
      <c r="B1624" s="3" t="s">
        <v>261</v>
      </c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</row>
    <row r="1625" spans="1:41" ht="14.25" x14ac:dyDescent="0.2">
      <c r="A1625" s="2">
        <v>150711</v>
      </c>
      <c r="B1625" s="3" t="s">
        <v>262</v>
      </c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9"/>
    </row>
    <row r="1626" spans="1:41" ht="14.25" x14ac:dyDescent="0.2">
      <c r="A1626" s="2">
        <v>15071101</v>
      </c>
      <c r="B1626" s="3" t="s">
        <v>263</v>
      </c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</row>
    <row r="1627" spans="1:41" ht="14.25" x14ac:dyDescent="0.2">
      <c r="A1627" s="2">
        <v>15071102</v>
      </c>
      <c r="B1627" s="3" t="s">
        <v>264</v>
      </c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</row>
    <row r="1628" spans="1:41" ht="14.25" x14ac:dyDescent="0.2">
      <c r="A1628" s="2">
        <v>15071103</v>
      </c>
      <c r="B1628" s="3" t="s">
        <v>265</v>
      </c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</row>
    <row r="1629" spans="1:41" ht="14.25" x14ac:dyDescent="0.2">
      <c r="A1629" s="2">
        <v>150719</v>
      </c>
      <c r="B1629" s="3" t="s">
        <v>266</v>
      </c>
      <c r="C1629" s="20">
        <f>SUM(C1630:C1653)</f>
        <v>2044931.6399999997</v>
      </c>
      <c r="D1629" s="20">
        <f t="shared" ref="D1629:AO1629" si="27">SUM(D1630:D1653)</f>
        <v>2846593.02</v>
      </c>
      <c r="E1629" s="20">
        <f t="shared" si="27"/>
        <v>2577319.15</v>
      </c>
      <c r="F1629" s="20">
        <f t="shared" si="27"/>
        <v>3113511</v>
      </c>
      <c r="G1629" s="20">
        <f t="shared" si="27"/>
        <v>2008572.02</v>
      </c>
      <c r="H1629" s="20">
        <f t="shared" si="27"/>
        <v>1790950.43</v>
      </c>
      <c r="I1629" s="20">
        <f t="shared" si="27"/>
        <v>2204530.7999999998</v>
      </c>
      <c r="J1629" s="20">
        <f t="shared" si="27"/>
        <v>1786441.89</v>
      </c>
      <c r="K1629" s="20">
        <f t="shared" si="27"/>
        <v>1340816.32</v>
      </c>
      <c r="L1629" s="20">
        <f t="shared" si="27"/>
        <v>1712539.19</v>
      </c>
      <c r="M1629" s="20">
        <f t="shared" si="27"/>
        <v>4741850.46</v>
      </c>
      <c r="N1629" s="20">
        <f t="shared" si="27"/>
        <v>1289177.3</v>
      </c>
      <c r="O1629" s="20">
        <f t="shared" si="27"/>
        <v>1289255.4400000002</v>
      </c>
      <c r="P1629" s="20">
        <f t="shared" si="27"/>
        <v>1698860.9</v>
      </c>
      <c r="Q1629" s="20">
        <f t="shared" si="27"/>
        <v>2118703.2599999998</v>
      </c>
      <c r="R1629" s="20">
        <f t="shared" si="27"/>
        <v>1298345.7599999998</v>
      </c>
      <c r="S1629" s="20">
        <f t="shared" si="27"/>
        <v>1236980.8500000001</v>
      </c>
      <c r="T1629" s="20">
        <f t="shared" si="27"/>
        <v>1234973.95</v>
      </c>
      <c r="U1629" s="20">
        <f t="shared" si="27"/>
        <v>1665027.14</v>
      </c>
      <c r="V1629" s="20">
        <f t="shared" si="27"/>
        <v>1303055.42</v>
      </c>
      <c r="W1629" s="20">
        <f t="shared" si="27"/>
        <v>1323277.07</v>
      </c>
      <c r="X1629" s="20">
        <f t="shared" si="27"/>
        <v>1332631.1200000001</v>
      </c>
      <c r="Y1629" s="20">
        <f t="shared" si="27"/>
        <v>1353202.5699999998</v>
      </c>
      <c r="Z1629" s="20">
        <f t="shared" si="27"/>
        <v>1431632.93</v>
      </c>
      <c r="AA1629" s="20">
        <f t="shared" si="27"/>
        <v>1466152.13</v>
      </c>
      <c r="AB1629" s="20">
        <f t="shared" si="27"/>
        <v>1501389.7999999998</v>
      </c>
      <c r="AC1629" s="20">
        <f t="shared" si="27"/>
        <v>1424500.2699999998</v>
      </c>
      <c r="AD1629" s="20">
        <f t="shared" si="27"/>
        <v>1476246.6099999996</v>
      </c>
      <c r="AE1629" s="20">
        <f t="shared" si="27"/>
        <v>1971633.78</v>
      </c>
      <c r="AF1629" s="20">
        <f t="shared" si="27"/>
        <v>2128789.35</v>
      </c>
      <c r="AG1629" s="20">
        <f t="shared" si="27"/>
        <v>1510101.1</v>
      </c>
      <c r="AH1629" s="20">
        <f t="shared" si="27"/>
        <v>1404177.43</v>
      </c>
      <c r="AI1629" s="20">
        <f t="shared" si="27"/>
        <v>1436666.4200000002</v>
      </c>
      <c r="AJ1629" s="20">
        <f t="shared" si="27"/>
        <v>1457054.4300000002</v>
      </c>
      <c r="AK1629" s="20">
        <f t="shared" si="27"/>
        <v>1427705.12</v>
      </c>
      <c r="AL1629" s="20">
        <f t="shared" si="27"/>
        <v>1425652.4</v>
      </c>
      <c r="AM1629" s="20">
        <f t="shared" si="27"/>
        <v>1488622.1900000002</v>
      </c>
      <c r="AN1629" s="20">
        <f t="shared" si="27"/>
        <v>2116148.6100000003</v>
      </c>
      <c r="AO1629" s="20">
        <f t="shared" si="27"/>
        <v>195816.1</v>
      </c>
    </row>
    <row r="1630" spans="1:41" s="15" customFormat="1" ht="14.25" x14ac:dyDescent="0.2">
      <c r="A1630" s="18" t="s">
        <v>1283</v>
      </c>
      <c r="B1630" s="19" t="s">
        <v>1284</v>
      </c>
      <c r="C1630" s="20">
        <v>1.52</v>
      </c>
      <c r="D1630" s="20">
        <v>110.45</v>
      </c>
      <c r="E1630" s="20">
        <v>108.85</v>
      </c>
      <c r="F1630" s="20">
        <v>109.19</v>
      </c>
      <c r="G1630" s="20">
        <v>217.7</v>
      </c>
      <c r="H1630" s="20">
        <v>109.95</v>
      </c>
      <c r="I1630" s="20">
        <v>110.34</v>
      </c>
      <c r="J1630" s="20">
        <v>107.18</v>
      </c>
      <c r="K1630" s="20">
        <v>108</v>
      </c>
      <c r="L1630" s="20">
        <v>108.85</v>
      </c>
      <c r="M1630" s="20">
        <v>108.61</v>
      </c>
      <c r="N1630" s="20">
        <v>108.25</v>
      </c>
      <c r="O1630" s="20">
        <v>108</v>
      </c>
      <c r="P1630" s="20">
        <v>108.85</v>
      </c>
      <c r="Q1630" s="20">
        <v>109.02</v>
      </c>
      <c r="R1630" s="20">
        <v>109.53</v>
      </c>
      <c r="S1630" s="20">
        <v>109.14</v>
      </c>
      <c r="T1630" s="20">
        <v>109.48</v>
      </c>
      <c r="U1630" s="20">
        <v>326.91000000000003</v>
      </c>
      <c r="V1630" s="20">
        <v>326.91000000000003</v>
      </c>
      <c r="W1630" s="20">
        <v>326.91000000000003</v>
      </c>
      <c r="X1630" s="20">
        <v>326.91000000000003</v>
      </c>
      <c r="Y1630" s="20">
        <v>435.12</v>
      </c>
      <c r="Z1630" s="20">
        <v>0</v>
      </c>
      <c r="AA1630" s="20"/>
      <c r="AB1630" s="20"/>
      <c r="AC1630" s="20"/>
      <c r="AD1630" s="20"/>
      <c r="AE1630" s="20"/>
      <c r="AF1630" s="20"/>
      <c r="AG1630" s="20"/>
      <c r="AH1630" s="20"/>
      <c r="AI1630" s="20"/>
      <c r="AJ1630" s="20"/>
      <c r="AK1630" s="20"/>
      <c r="AL1630" s="20"/>
      <c r="AM1630" s="20"/>
      <c r="AN1630" s="20"/>
      <c r="AO1630" s="20"/>
    </row>
    <row r="1631" spans="1:41" s="15" customFormat="1" ht="14.25" x14ac:dyDescent="0.2">
      <c r="A1631" s="18" t="s">
        <v>1285</v>
      </c>
      <c r="B1631" s="19" t="s">
        <v>1286</v>
      </c>
      <c r="C1631" s="20">
        <v>136824.73000000001</v>
      </c>
      <c r="D1631" s="20">
        <v>136824.73000000001</v>
      </c>
      <c r="E1631" s="20">
        <v>136824.73000000001</v>
      </c>
      <c r="F1631" s="20">
        <v>136824.73000000001</v>
      </c>
      <c r="G1631" s="20">
        <v>136824.73000000001</v>
      </c>
      <c r="H1631" s="20">
        <v>136824.73000000001</v>
      </c>
      <c r="I1631" s="20">
        <v>136824.73000000001</v>
      </c>
      <c r="J1631" s="20">
        <v>136824.73000000001</v>
      </c>
      <c r="K1631" s="20">
        <v>136824.73000000001</v>
      </c>
      <c r="L1631" s="20">
        <v>136824.73000000001</v>
      </c>
      <c r="M1631" s="20">
        <v>136824.73000000001</v>
      </c>
      <c r="N1631" s="20">
        <v>136824.73000000001</v>
      </c>
      <c r="O1631" s="20">
        <v>136824.73000000001</v>
      </c>
      <c r="P1631" s="20">
        <v>136824.73000000001</v>
      </c>
      <c r="Q1631" s="20">
        <v>136824.73000000001</v>
      </c>
      <c r="R1631" s="20">
        <v>136824.73000000001</v>
      </c>
      <c r="S1631" s="20">
        <v>136824.73000000001</v>
      </c>
      <c r="T1631" s="20">
        <v>136824.73000000001</v>
      </c>
      <c r="U1631" s="20">
        <v>136824.73000000001</v>
      </c>
      <c r="V1631" s="20">
        <v>136824.73000000001</v>
      </c>
      <c r="W1631" s="20">
        <v>136824.73000000001</v>
      </c>
      <c r="X1631" s="20">
        <v>136824.73000000001</v>
      </c>
      <c r="Y1631" s="20">
        <v>136824.73000000001</v>
      </c>
      <c r="Z1631" s="20">
        <v>136824.73000000001</v>
      </c>
      <c r="AA1631" s="20">
        <v>136824.73000000001</v>
      </c>
      <c r="AB1631" s="20">
        <v>136824.73000000001</v>
      </c>
      <c r="AC1631" s="20">
        <v>136824.73000000001</v>
      </c>
      <c r="AD1631" s="20">
        <v>136824.73000000001</v>
      </c>
      <c r="AE1631" s="20">
        <v>136824.73000000001</v>
      </c>
      <c r="AF1631" s="20">
        <v>136824.73000000001</v>
      </c>
      <c r="AG1631" s="20">
        <v>136824.73000000001</v>
      </c>
      <c r="AH1631" s="20">
        <v>136824.73000000001</v>
      </c>
      <c r="AI1631" s="20">
        <v>136824.73000000001</v>
      </c>
      <c r="AJ1631" s="20">
        <v>136824.73000000001</v>
      </c>
      <c r="AK1631" s="20">
        <v>136824.73000000001</v>
      </c>
      <c r="AL1631" s="20">
        <v>136824.73000000001</v>
      </c>
      <c r="AM1631" s="20">
        <v>136824.73000000001</v>
      </c>
      <c r="AN1631" s="20">
        <v>136824.73000000001</v>
      </c>
      <c r="AO1631" s="20">
        <v>0</v>
      </c>
    </row>
    <row r="1632" spans="1:41" s="15" customFormat="1" ht="14.25" x14ac:dyDescent="0.2">
      <c r="A1632" s="18" t="s">
        <v>1287</v>
      </c>
      <c r="B1632" s="19" t="s">
        <v>1288</v>
      </c>
      <c r="C1632" s="20">
        <v>72130</v>
      </c>
      <c r="D1632" s="20">
        <v>72130</v>
      </c>
      <c r="E1632" s="20">
        <v>72130</v>
      </c>
      <c r="F1632" s="20">
        <v>72130</v>
      </c>
      <c r="G1632" s="20">
        <v>72130</v>
      </c>
      <c r="H1632" s="20">
        <v>72130</v>
      </c>
      <c r="I1632" s="20">
        <v>72130</v>
      </c>
      <c r="J1632" s="20">
        <v>72130</v>
      </c>
      <c r="K1632" s="20">
        <v>0</v>
      </c>
      <c r="L1632" s="20"/>
      <c r="M1632" s="20"/>
      <c r="N1632" s="20"/>
      <c r="O1632" s="20"/>
      <c r="P1632" s="20"/>
      <c r="Q1632" s="20"/>
      <c r="R1632" s="20"/>
      <c r="S1632" s="20"/>
      <c r="T1632" s="20"/>
      <c r="U1632" s="20"/>
      <c r="V1632" s="20"/>
      <c r="W1632" s="20"/>
      <c r="X1632" s="20"/>
      <c r="Y1632" s="20"/>
      <c r="Z1632" s="20"/>
      <c r="AA1632" s="20"/>
      <c r="AB1632" s="20"/>
      <c r="AC1632" s="20"/>
      <c r="AD1632" s="20"/>
      <c r="AE1632" s="20"/>
      <c r="AF1632" s="20"/>
      <c r="AG1632" s="20"/>
      <c r="AH1632" s="20"/>
      <c r="AI1632" s="20"/>
      <c r="AJ1632" s="20"/>
      <c r="AK1632" s="20"/>
      <c r="AL1632" s="20"/>
      <c r="AM1632" s="20"/>
      <c r="AN1632" s="20"/>
      <c r="AO1632" s="20"/>
    </row>
    <row r="1633" spans="1:41" s="15" customFormat="1" ht="14.25" x14ac:dyDescent="0.2">
      <c r="A1633" s="18" t="s">
        <v>1289</v>
      </c>
      <c r="B1633" s="19" t="s">
        <v>1290</v>
      </c>
      <c r="C1633" s="20">
        <v>174589.47</v>
      </c>
      <c r="D1633" s="20">
        <v>173449.25</v>
      </c>
      <c r="E1633" s="20">
        <v>169252.64</v>
      </c>
      <c r="F1633" s="20">
        <v>218767.8</v>
      </c>
      <c r="G1633" s="20">
        <v>153936.66</v>
      </c>
      <c r="H1633" s="20">
        <v>151529.14000000001</v>
      </c>
      <c r="I1633" s="20">
        <v>168220.66</v>
      </c>
      <c r="J1633" s="20">
        <v>188968.61</v>
      </c>
      <c r="K1633" s="20">
        <v>225714.17</v>
      </c>
      <c r="L1633" s="20">
        <v>163194.81</v>
      </c>
      <c r="M1633" s="20">
        <v>160070.45000000001</v>
      </c>
      <c r="N1633" s="20">
        <v>172242.11</v>
      </c>
      <c r="O1633" s="20">
        <v>158237.69</v>
      </c>
      <c r="P1633" s="20">
        <v>162841.42000000001</v>
      </c>
      <c r="Q1633" s="20">
        <v>167472.95000000001</v>
      </c>
      <c r="R1633" s="20">
        <v>198191.98</v>
      </c>
      <c r="S1633" s="20">
        <v>175643.57</v>
      </c>
      <c r="T1633" s="20">
        <v>168282.42</v>
      </c>
      <c r="U1633" s="20">
        <v>168258.68</v>
      </c>
      <c r="V1633" s="20">
        <v>173205.21</v>
      </c>
      <c r="W1633" s="20">
        <v>185055.72</v>
      </c>
      <c r="X1633" s="20">
        <v>187929.77</v>
      </c>
      <c r="Y1633" s="20">
        <v>194484.01</v>
      </c>
      <c r="Z1633" s="20">
        <v>176246.39999999999</v>
      </c>
      <c r="AA1633" s="20">
        <v>172650.9</v>
      </c>
      <c r="AB1633" s="20">
        <v>178424.84</v>
      </c>
      <c r="AC1633" s="20">
        <v>180573.38</v>
      </c>
      <c r="AD1633" s="20">
        <v>196352.4</v>
      </c>
      <c r="AE1633" s="20">
        <v>176674.77</v>
      </c>
      <c r="AF1633" s="20">
        <v>252680</v>
      </c>
      <c r="AG1633" s="20">
        <v>181463.53</v>
      </c>
      <c r="AH1633" s="20">
        <v>172787.35</v>
      </c>
      <c r="AI1633" s="20">
        <v>205510.52</v>
      </c>
      <c r="AJ1633" s="20">
        <v>217795.8</v>
      </c>
      <c r="AK1633" s="20">
        <v>185626.96</v>
      </c>
      <c r="AL1633" s="20">
        <v>174474.44</v>
      </c>
      <c r="AM1633" s="20">
        <v>176950.46</v>
      </c>
      <c r="AN1633" s="20">
        <v>231593.97</v>
      </c>
      <c r="AO1633" s="20">
        <v>96217.54</v>
      </c>
    </row>
    <row r="1634" spans="1:41" s="15" customFormat="1" ht="14.25" x14ac:dyDescent="0.2">
      <c r="A1634" s="18" t="s">
        <v>1291</v>
      </c>
      <c r="B1634" s="19" t="s">
        <v>1292</v>
      </c>
      <c r="C1634" s="20">
        <v>6060</v>
      </c>
      <c r="D1634" s="20">
        <v>6060</v>
      </c>
      <c r="E1634" s="20">
        <v>6060</v>
      </c>
      <c r="F1634" s="20">
        <v>6060</v>
      </c>
      <c r="G1634" s="20">
        <v>12060</v>
      </c>
      <c r="H1634" s="20">
        <v>12060</v>
      </c>
      <c r="I1634" s="20">
        <v>12060</v>
      </c>
      <c r="J1634" s="20">
        <v>12060</v>
      </c>
      <c r="K1634" s="20">
        <v>12060</v>
      </c>
      <c r="L1634" s="20">
        <v>12060</v>
      </c>
      <c r="M1634" s="20">
        <v>12060</v>
      </c>
      <c r="N1634" s="20">
        <v>12060</v>
      </c>
      <c r="O1634" s="20">
        <v>12060</v>
      </c>
      <c r="P1634" s="20">
        <v>12060</v>
      </c>
      <c r="Q1634" s="20">
        <v>12060</v>
      </c>
      <c r="R1634" s="20">
        <v>12060</v>
      </c>
      <c r="S1634" s="20">
        <v>12060</v>
      </c>
      <c r="T1634" s="20">
        <v>12060</v>
      </c>
      <c r="U1634" s="20">
        <v>12060</v>
      </c>
      <c r="V1634" s="20">
        <v>12060</v>
      </c>
      <c r="W1634" s="20">
        <v>13560</v>
      </c>
      <c r="X1634" s="20">
        <v>13560</v>
      </c>
      <c r="Y1634" s="20">
        <v>13560</v>
      </c>
      <c r="Z1634" s="20">
        <v>13560</v>
      </c>
      <c r="AA1634" s="20">
        <v>13560</v>
      </c>
      <c r="AB1634" s="20">
        <v>13560</v>
      </c>
      <c r="AC1634" s="20">
        <v>13560</v>
      </c>
      <c r="AD1634" s="20">
        <v>13560</v>
      </c>
      <c r="AE1634" s="20">
        <v>13560</v>
      </c>
      <c r="AF1634" s="20">
        <v>13560</v>
      </c>
      <c r="AG1634" s="20">
        <v>13560</v>
      </c>
      <c r="AH1634" s="20">
        <v>13560</v>
      </c>
      <c r="AI1634" s="20">
        <v>13560</v>
      </c>
      <c r="AJ1634" s="20">
        <v>13560</v>
      </c>
      <c r="AK1634" s="20">
        <v>15560</v>
      </c>
      <c r="AL1634" s="20">
        <v>15560</v>
      </c>
      <c r="AM1634" s="20">
        <v>15560</v>
      </c>
      <c r="AN1634" s="20">
        <v>15560</v>
      </c>
      <c r="AO1634" s="20">
        <v>15560</v>
      </c>
    </row>
    <row r="1635" spans="1:41" s="15" customFormat="1" ht="14.25" x14ac:dyDescent="0.2">
      <c r="A1635" s="18" t="s">
        <v>1293</v>
      </c>
      <c r="B1635" s="19" t="s">
        <v>1294</v>
      </c>
      <c r="C1635" s="20">
        <v>231767.27</v>
      </c>
      <c r="D1635" s="20">
        <v>231767.27</v>
      </c>
      <c r="E1635" s="20">
        <v>231767.27</v>
      </c>
      <c r="F1635" s="20">
        <v>231767.27</v>
      </c>
      <c r="G1635" s="20">
        <v>231767.27</v>
      </c>
      <c r="H1635" s="20">
        <v>231767.27</v>
      </c>
      <c r="I1635" s="20">
        <v>231767.27</v>
      </c>
      <c r="J1635" s="20">
        <v>231767.27</v>
      </c>
      <c r="K1635" s="20">
        <v>231767.27</v>
      </c>
      <c r="L1635" s="20">
        <v>231767.27</v>
      </c>
      <c r="M1635" s="20">
        <v>231767.27</v>
      </c>
      <c r="N1635" s="20">
        <v>231767.27</v>
      </c>
      <c r="O1635" s="20">
        <v>231767.27</v>
      </c>
      <c r="P1635" s="20">
        <v>231767.27</v>
      </c>
      <c r="Q1635" s="20">
        <v>231767.27</v>
      </c>
      <c r="R1635" s="20">
        <v>231767.27</v>
      </c>
      <c r="S1635" s="20">
        <v>231767.27</v>
      </c>
      <c r="T1635" s="20">
        <v>231767.27</v>
      </c>
      <c r="U1635" s="20">
        <v>232683.97</v>
      </c>
      <c r="V1635" s="20">
        <v>268527.96999999997</v>
      </c>
      <c r="W1635" s="20">
        <v>268527.96999999997</v>
      </c>
      <c r="X1635" s="20">
        <v>269819.53000000003</v>
      </c>
      <c r="Y1635" s="20">
        <v>271478.51</v>
      </c>
      <c r="Z1635" s="20">
        <v>372208.85</v>
      </c>
      <c r="AA1635" s="20">
        <v>372208.85</v>
      </c>
      <c r="AB1635" s="20">
        <v>372208.85</v>
      </c>
      <c r="AC1635" s="20">
        <v>336364.85</v>
      </c>
      <c r="AD1635" s="20">
        <v>336364.85</v>
      </c>
      <c r="AE1635" s="20">
        <v>394464.85</v>
      </c>
      <c r="AF1635" s="20">
        <v>336364.85</v>
      </c>
      <c r="AG1635" s="20">
        <v>336364.85</v>
      </c>
      <c r="AH1635" s="20">
        <v>336364.85</v>
      </c>
      <c r="AI1635" s="20">
        <v>336364.85</v>
      </c>
      <c r="AJ1635" s="20">
        <v>336364.85</v>
      </c>
      <c r="AK1635" s="20">
        <v>337154.85</v>
      </c>
      <c r="AL1635" s="20">
        <v>337154.85</v>
      </c>
      <c r="AM1635" s="20">
        <v>337154.85</v>
      </c>
      <c r="AN1635" s="20">
        <v>337154.85</v>
      </c>
      <c r="AO1635" s="20">
        <v>0</v>
      </c>
    </row>
    <row r="1636" spans="1:41" s="15" customFormat="1" ht="14.25" x14ac:dyDescent="0.2">
      <c r="A1636" s="18" t="s">
        <v>1295</v>
      </c>
      <c r="B1636" s="19" t="s">
        <v>1296</v>
      </c>
      <c r="C1636" s="20">
        <v>97146.52</v>
      </c>
      <c r="D1636" s="20">
        <v>97146.52</v>
      </c>
      <c r="E1636" s="20">
        <v>97146.52</v>
      </c>
      <c r="F1636" s="20">
        <v>97146.52</v>
      </c>
      <c r="G1636" s="20">
        <v>97146.52</v>
      </c>
      <c r="H1636" s="20">
        <v>97146.52</v>
      </c>
      <c r="I1636" s="20">
        <v>97146.52</v>
      </c>
      <c r="J1636" s="20">
        <v>126053.12</v>
      </c>
      <c r="K1636" s="20">
        <v>126053.12</v>
      </c>
      <c r="L1636" s="20">
        <v>126053.12</v>
      </c>
      <c r="M1636" s="20">
        <v>126053.12</v>
      </c>
      <c r="N1636" s="20">
        <v>126053.12</v>
      </c>
      <c r="O1636" s="20">
        <v>126053.12</v>
      </c>
      <c r="P1636" s="20">
        <v>126053.12</v>
      </c>
      <c r="Q1636" s="20">
        <v>126053.12</v>
      </c>
      <c r="R1636" s="20">
        <v>126053.12</v>
      </c>
      <c r="S1636" s="20">
        <v>126053.12</v>
      </c>
      <c r="T1636" s="20">
        <v>126053.12</v>
      </c>
      <c r="U1636" s="20">
        <v>126053.12</v>
      </c>
      <c r="V1636" s="20">
        <v>139096.6</v>
      </c>
      <c r="W1636" s="20">
        <v>155400.95000000001</v>
      </c>
      <c r="X1636" s="20">
        <v>155400.95000000001</v>
      </c>
      <c r="Y1636" s="20">
        <v>155400.95000000001</v>
      </c>
      <c r="Z1636" s="20">
        <v>155400.95000000001</v>
      </c>
      <c r="AA1636" s="20">
        <v>155400.95000000001</v>
      </c>
      <c r="AB1636" s="20">
        <v>155400.95000000001</v>
      </c>
      <c r="AC1636" s="20">
        <v>155400.95000000001</v>
      </c>
      <c r="AD1636" s="20">
        <v>155400.95000000001</v>
      </c>
      <c r="AE1636" s="20">
        <v>155400.95000000001</v>
      </c>
      <c r="AF1636" s="20">
        <v>155400.95000000001</v>
      </c>
      <c r="AG1636" s="20">
        <v>155400.95000000001</v>
      </c>
      <c r="AH1636" s="20">
        <v>155400.95000000001</v>
      </c>
      <c r="AI1636" s="20">
        <v>155400.95000000001</v>
      </c>
      <c r="AJ1636" s="20">
        <v>155400.95000000001</v>
      </c>
      <c r="AK1636" s="20">
        <v>155400.95000000001</v>
      </c>
      <c r="AL1636" s="20">
        <v>155400.95000000001</v>
      </c>
      <c r="AM1636" s="20">
        <v>155400.95000000001</v>
      </c>
      <c r="AN1636" s="20">
        <v>155400.95000000001</v>
      </c>
      <c r="AO1636" s="20">
        <v>0</v>
      </c>
    </row>
    <row r="1637" spans="1:41" s="15" customFormat="1" ht="14.25" x14ac:dyDescent="0.2">
      <c r="A1637" s="18" t="s">
        <v>1297</v>
      </c>
      <c r="B1637" s="19" t="s">
        <v>1298</v>
      </c>
      <c r="C1637" s="20">
        <v>5332</v>
      </c>
      <c r="D1637" s="20">
        <v>3632</v>
      </c>
      <c r="E1637" s="20">
        <v>0</v>
      </c>
      <c r="F1637" s="20">
        <v>2700</v>
      </c>
      <c r="G1637" s="20">
        <v>2700</v>
      </c>
      <c r="H1637" s="20">
        <v>2700</v>
      </c>
      <c r="I1637" s="20">
        <v>2700</v>
      </c>
      <c r="J1637" s="20">
        <v>2700</v>
      </c>
      <c r="K1637" s="20">
        <v>508.01</v>
      </c>
      <c r="L1637" s="20">
        <v>900</v>
      </c>
      <c r="M1637" s="20">
        <v>900</v>
      </c>
      <c r="N1637" s="20">
        <v>900</v>
      </c>
      <c r="O1637" s="20">
        <v>900</v>
      </c>
      <c r="P1637" s="20">
        <v>900</v>
      </c>
      <c r="Q1637" s="20">
        <v>900</v>
      </c>
      <c r="R1637" s="20">
        <v>900</v>
      </c>
      <c r="S1637" s="20">
        <v>900</v>
      </c>
      <c r="T1637" s="20">
        <v>900</v>
      </c>
      <c r="U1637" s="20">
        <v>900</v>
      </c>
      <c r="V1637" s="20">
        <v>900</v>
      </c>
      <c r="W1637" s="20">
        <v>900</v>
      </c>
      <c r="X1637" s="20">
        <v>900</v>
      </c>
      <c r="Y1637" s="20">
        <v>900</v>
      </c>
      <c r="Z1637" s="20">
        <v>0</v>
      </c>
      <c r="AA1637" s="20">
        <v>9457.48</v>
      </c>
      <c r="AB1637" s="20">
        <v>9457.48</v>
      </c>
      <c r="AC1637" s="20">
        <v>9457.74</v>
      </c>
      <c r="AD1637" s="20">
        <v>9685.91</v>
      </c>
      <c r="AE1637" s="20">
        <v>9685.91</v>
      </c>
      <c r="AF1637" s="20">
        <v>9685.91</v>
      </c>
      <c r="AG1637" s="20">
        <v>9685.91</v>
      </c>
      <c r="AH1637" s="20">
        <v>9685.91</v>
      </c>
      <c r="AI1637" s="20">
        <v>9685.91</v>
      </c>
      <c r="AJ1637" s="20">
        <v>9685.91</v>
      </c>
      <c r="AK1637" s="20">
        <v>9685.91</v>
      </c>
      <c r="AL1637" s="20">
        <v>9685.91</v>
      </c>
      <c r="AM1637" s="20">
        <v>9485.91</v>
      </c>
      <c r="AN1637" s="20">
        <v>9485.91</v>
      </c>
      <c r="AO1637" s="20">
        <v>9485.91</v>
      </c>
    </row>
    <row r="1638" spans="1:41" s="15" customFormat="1" ht="14.25" x14ac:dyDescent="0.2">
      <c r="A1638" s="18" t="s">
        <v>1299</v>
      </c>
      <c r="B1638" s="19" t="s">
        <v>1300</v>
      </c>
      <c r="C1638" s="20"/>
      <c r="D1638" s="20"/>
      <c r="E1638" s="20"/>
      <c r="F1638" s="20"/>
      <c r="G1638" s="20"/>
      <c r="H1638" s="20"/>
      <c r="I1638" s="20"/>
      <c r="J1638" s="20"/>
      <c r="K1638" s="20">
        <v>0</v>
      </c>
      <c r="L1638" s="20">
        <v>-192</v>
      </c>
      <c r="M1638" s="20">
        <v>-192</v>
      </c>
      <c r="N1638" s="20">
        <v>0</v>
      </c>
      <c r="O1638" s="20"/>
      <c r="P1638" s="20"/>
      <c r="Q1638" s="20"/>
      <c r="R1638" s="20"/>
      <c r="S1638" s="20"/>
      <c r="T1638" s="20"/>
      <c r="U1638" s="20"/>
      <c r="V1638" s="20"/>
      <c r="W1638" s="20"/>
      <c r="X1638" s="20"/>
      <c r="Y1638" s="20"/>
      <c r="Z1638" s="20"/>
      <c r="AA1638" s="20"/>
      <c r="AB1638" s="20"/>
      <c r="AC1638" s="20"/>
      <c r="AD1638" s="20"/>
      <c r="AE1638" s="20"/>
      <c r="AF1638" s="20"/>
      <c r="AG1638" s="20"/>
      <c r="AH1638" s="20"/>
      <c r="AI1638" s="20"/>
      <c r="AJ1638" s="20"/>
      <c r="AK1638" s="20"/>
      <c r="AL1638" s="20"/>
      <c r="AM1638" s="20">
        <v>0</v>
      </c>
      <c r="AN1638" s="20"/>
      <c r="AO1638" s="20"/>
    </row>
    <row r="1639" spans="1:41" s="15" customFormat="1" ht="14.25" x14ac:dyDescent="0.2">
      <c r="A1639" s="18" t="s">
        <v>1301</v>
      </c>
      <c r="B1639" s="19" t="s">
        <v>1302</v>
      </c>
      <c r="C1639" s="20">
        <v>584.1</v>
      </c>
      <c r="D1639" s="20">
        <v>981.6</v>
      </c>
      <c r="E1639" s="20">
        <v>871.4</v>
      </c>
      <c r="F1639" s="20">
        <v>584.1</v>
      </c>
      <c r="G1639" s="20">
        <v>1954.82</v>
      </c>
      <c r="H1639" s="20">
        <v>584.1</v>
      </c>
      <c r="I1639" s="20">
        <v>584.1</v>
      </c>
      <c r="J1639" s="20">
        <v>584.1</v>
      </c>
      <c r="K1639" s="20">
        <v>584.1</v>
      </c>
      <c r="L1639" s="20">
        <v>584.1</v>
      </c>
      <c r="M1639" s="20">
        <v>260.45</v>
      </c>
      <c r="N1639" s="20">
        <v>0</v>
      </c>
      <c r="O1639" s="20"/>
      <c r="P1639" s="20"/>
      <c r="Q1639" s="20"/>
      <c r="R1639" s="20"/>
      <c r="S1639" s="20"/>
      <c r="T1639" s="20"/>
      <c r="U1639" s="20"/>
      <c r="V1639" s="20"/>
      <c r="W1639" s="20"/>
      <c r="X1639" s="20">
        <v>318.5</v>
      </c>
      <c r="Y1639" s="20">
        <v>777.1</v>
      </c>
      <c r="Z1639" s="20">
        <v>0</v>
      </c>
      <c r="AA1639" s="20"/>
      <c r="AB1639" s="20">
        <v>29973.39</v>
      </c>
      <c r="AC1639" s="20">
        <v>0</v>
      </c>
      <c r="AD1639" s="20"/>
      <c r="AE1639" s="20"/>
      <c r="AF1639" s="20"/>
      <c r="AG1639" s="20"/>
      <c r="AH1639" s="20"/>
      <c r="AI1639" s="20"/>
      <c r="AJ1639" s="20"/>
      <c r="AK1639" s="20">
        <v>1123.31</v>
      </c>
      <c r="AL1639" s="20">
        <v>0</v>
      </c>
      <c r="AM1639" s="20"/>
      <c r="AN1639" s="20"/>
      <c r="AO1639" s="20"/>
    </row>
    <row r="1640" spans="1:41" s="15" customFormat="1" ht="14.25" x14ac:dyDescent="0.2">
      <c r="A1640" s="18" t="s">
        <v>1303</v>
      </c>
      <c r="B1640" s="19" t="s">
        <v>1304</v>
      </c>
      <c r="C1640" s="20">
        <v>41986.23</v>
      </c>
      <c r="D1640" s="20">
        <v>41986.23</v>
      </c>
      <c r="E1640" s="20">
        <v>41986.23</v>
      </c>
      <c r="F1640" s="20">
        <v>41986.23</v>
      </c>
      <c r="G1640" s="20">
        <v>41986.23</v>
      </c>
      <c r="H1640" s="20">
        <v>41986.23</v>
      </c>
      <c r="I1640" s="20">
        <v>41986.23</v>
      </c>
      <c r="J1640" s="20">
        <v>41986.23</v>
      </c>
      <c r="K1640" s="20">
        <v>41986.23</v>
      </c>
      <c r="L1640" s="20">
        <v>41986.23</v>
      </c>
      <c r="M1640" s="20">
        <v>41986.23</v>
      </c>
      <c r="N1640" s="20">
        <v>41986.23</v>
      </c>
      <c r="O1640" s="20">
        <v>41986.23</v>
      </c>
      <c r="P1640" s="20">
        <v>41986.23</v>
      </c>
      <c r="Q1640" s="20">
        <v>43199.56</v>
      </c>
      <c r="R1640" s="20">
        <v>44599.56</v>
      </c>
      <c r="S1640" s="20">
        <v>46406.23</v>
      </c>
      <c r="T1640" s="20">
        <v>48119.56</v>
      </c>
      <c r="U1640" s="20">
        <v>49359.56</v>
      </c>
      <c r="V1640" s="20">
        <v>50479.56</v>
      </c>
      <c r="W1640" s="20">
        <v>50479.56</v>
      </c>
      <c r="X1640" s="20">
        <v>50479.56</v>
      </c>
      <c r="Y1640" s="20">
        <v>50479.56</v>
      </c>
      <c r="Z1640" s="20">
        <v>50479.56</v>
      </c>
      <c r="AA1640" s="20">
        <v>50479.56</v>
      </c>
      <c r="AB1640" s="20">
        <v>50479.56</v>
      </c>
      <c r="AC1640" s="20">
        <v>50479.56</v>
      </c>
      <c r="AD1640" s="20">
        <v>50479.56</v>
      </c>
      <c r="AE1640" s="20">
        <v>50479.56</v>
      </c>
      <c r="AF1640" s="20">
        <v>52979.56</v>
      </c>
      <c r="AG1640" s="20">
        <v>55562.89</v>
      </c>
      <c r="AH1640" s="20">
        <v>56062.89</v>
      </c>
      <c r="AI1640" s="20">
        <v>56062.89</v>
      </c>
      <c r="AJ1640" s="20">
        <v>63786.68</v>
      </c>
      <c r="AK1640" s="20">
        <v>63786.68</v>
      </c>
      <c r="AL1640" s="20">
        <v>63786.68</v>
      </c>
      <c r="AM1640" s="20">
        <v>63786.68</v>
      </c>
      <c r="AN1640" s="20">
        <v>63786.68</v>
      </c>
      <c r="AO1640" s="20">
        <v>63786.68</v>
      </c>
    </row>
    <row r="1641" spans="1:41" s="15" customFormat="1" ht="14.25" x14ac:dyDescent="0.2">
      <c r="A1641" s="18" t="s">
        <v>1305</v>
      </c>
      <c r="B1641" s="19" t="s">
        <v>1306</v>
      </c>
      <c r="C1641" s="20">
        <v>10000</v>
      </c>
      <c r="D1641" s="20">
        <v>10000</v>
      </c>
      <c r="E1641" s="20">
        <v>10000</v>
      </c>
      <c r="F1641" s="20">
        <v>10000</v>
      </c>
      <c r="G1641" s="20">
        <v>10000</v>
      </c>
      <c r="H1641" s="20">
        <v>10000</v>
      </c>
      <c r="I1641" s="20">
        <v>10000</v>
      </c>
      <c r="J1641" s="20">
        <v>10000</v>
      </c>
      <c r="K1641" s="20">
        <v>10000</v>
      </c>
      <c r="L1641" s="20">
        <v>10000</v>
      </c>
      <c r="M1641" s="20">
        <v>10000</v>
      </c>
      <c r="N1641" s="20">
        <v>10000</v>
      </c>
      <c r="O1641" s="20">
        <v>10000</v>
      </c>
      <c r="P1641" s="20">
        <v>10000</v>
      </c>
      <c r="Q1641" s="20">
        <v>10000</v>
      </c>
      <c r="R1641" s="20">
        <v>10000</v>
      </c>
      <c r="S1641" s="20">
        <v>10000</v>
      </c>
      <c r="T1641" s="20">
        <v>10000</v>
      </c>
      <c r="U1641" s="20">
        <v>10000</v>
      </c>
      <c r="V1641" s="20">
        <v>10000</v>
      </c>
      <c r="W1641" s="20">
        <v>10000</v>
      </c>
      <c r="X1641" s="20">
        <v>10000</v>
      </c>
      <c r="Y1641" s="20">
        <v>10000</v>
      </c>
      <c r="Z1641" s="20">
        <v>10000</v>
      </c>
      <c r="AA1641" s="20">
        <v>10000</v>
      </c>
      <c r="AB1641" s="20">
        <v>10000</v>
      </c>
      <c r="AC1641" s="20">
        <v>10000</v>
      </c>
      <c r="AD1641" s="20">
        <v>15568.72</v>
      </c>
      <c r="AE1641" s="20">
        <v>15568.72</v>
      </c>
      <c r="AF1641" s="20">
        <v>15568.72</v>
      </c>
      <c r="AG1641" s="20">
        <v>15568.72</v>
      </c>
      <c r="AH1641" s="20">
        <v>15568.72</v>
      </c>
      <c r="AI1641" s="20">
        <v>15568.72</v>
      </c>
      <c r="AJ1641" s="20">
        <v>15568.72</v>
      </c>
      <c r="AK1641" s="20">
        <v>15568.72</v>
      </c>
      <c r="AL1641" s="20">
        <v>15568.72</v>
      </c>
      <c r="AM1641" s="20">
        <v>15568.72</v>
      </c>
      <c r="AN1641" s="20">
        <v>15568.72</v>
      </c>
      <c r="AO1641" s="20">
        <v>5568.72</v>
      </c>
    </row>
    <row r="1642" spans="1:41" s="15" customFormat="1" ht="14.25" x14ac:dyDescent="0.2">
      <c r="A1642" s="18" t="s">
        <v>1307</v>
      </c>
      <c r="B1642" s="19" t="s">
        <v>1308</v>
      </c>
      <c r="C1642" s="20">
        <v>3662.72</v>
      </c>
      <c r="D1642" s="20">
        <v>3662.72</v>
      </c>
      <c r="E1642" s="20">
        <v>3434.36</v>
      </c>
      <c r="F1642" s="20">
        <v>3308.6</v>
      </c>
      <c r="G1642" s="20">
        <v>3308.6</v>
      </c>
      <c r="H1642" s="20">
        <v>3308.6</v>
      </c>
      <c r="I1642" s="20">
        <v>3182.6</v>
      </c>
      <c r="J1642" s="20">
        <v>3056.6</v>
      </c>
      <c r="K1642" s="20">
        <v>2931.32</v>
      </c>
      <c r="L1642" s="20">
        <v>2931.32</v>
      </c>
      <c r="M1642" s="20">
        <v>2931.32</v>
      </c>
      <c r="N1642" s="20">
        <v>2931.32</v>
      </c>
      <c r="O1642" s="20">
        <v>2931.32</v>
      </c>
      <c r="P1642" s="20">
        <v>2931.32</v>
      </c>
      <c r="Q1642" s="20">
        <v>2931.32</v>
      </c>
      <c r="R1642" s="20">
        <v>2931.32</v>
      </c>
      <c r="S1642" s="20">
        <v>2931.32</v>
      </c>
      <c r="T1642" s="20">
        <v>2931.32</v>
      </c>
      <c r="U1642" s="20">
        <v>2931.32</v>
      </c>
      <c r="V1642" s="20">
        <v>2931.32</v>
      </c>
      <c r="W1642" s="20">
        <v>2931.32</v>
      </c>
      <c r="X1642" s="20">
        <v>2931.32</v>
      </c>
      <c r="Y1642" s="20">
        <v>6353.6</v>
      </c>
      <c r="Z1642" s="20">
        <v>14136.6</v>
      </c>
      <c r="AA1642" s="20">
        <v>12582</v>
      </c>
      <c r="AB1642" s="20">
        <v>2636.6</v>
      </c>
      <c r="AC1642" s="20">
        <v>0</v>
      </c>
      <c r="AD1642" s="20">
        <v>2000</v>
      </c>
      <c r="AE1642" s="20">
        <v>2000</v>
      </c>
      <c r="AF1642" s="20">
        <v>4792.51</v>
      </c>
      <c r="AG1642" s="20">
        <v>4792.51</v>
      </c>
      <c r="AH1642" s="20">
        <v>4792.51</v>
      </c>
      <c r="AI1642" s="20">
        <v>4792.51</v>
      </c>
      <c r="AJ1642" s="20">
        <v>4792.51</v>
      </c>
      <c r="AK1642" s="20">
        <v>4002.51</v>
      </c>
      <c r="AL1642" s="20">
        <v>4560.49</v>
      </c>
      <c r="AM1642" s="20">
        <v>2869.51</v>
      </c>
      <c r="AN1642" s="20">
        <v>2869.51</v>
      </c>
      <c r="AO1642" s="20">
        <v>2869.51</v>
      </c>
    </row>
    <row r="1643" spans="1:41" s="15" customFormat="1" ht="14.25" x14ac:dyDescent="0.2">
      <c r="A1643" s="18" t="s">
        <v>1309</v>
      </c>
      <c r="B1643" s="19" t="s">
        <v>1310</v>
      </c>
      <c r="C1643" s="20"/>
      <c r="D1643" s="20">
        <v>0</v>
      </c>
      <c r="E1643" s="20">
        <v>0</v>
      </c>
      <c r="F1643" s="20"/>
      <c r="G1643" s="20"/>
      <c r="H1643" s="20"/>
      <c r="I1643" s="20"/>
      <c r="J1643" s="20"/>
      <c r="K1643" s="20"/>
      <c r="L1643" s="20"/>
      <c r="M1643" s="20"/>
      <c r="N1643" s="20"/>
      <c r="O1643" s="20"/>
      <c r="P1643" s="20"/>
      <c r="Q1643" s="20"/>
      <c r="R1643" s="20"/>
      <c r="S1643" s="20"/>
      <c r="T1643" s="20"/>
      <c r="U1643" s="20"/>
      <c r="V1643" s="20"/>
      <c r="W1643" s="20"/>
      <c r="X1643" s="20"/>
      <c r="Y1643" s="20"/>
      <c r="Z1643" s="20"/>
      <c r="AA1643" s="20"/>
      <c r="AB1643" s="20"/>
      <c r="AC1643" s="20"/>
      <c r="AD1643" s="20"/>
      <c r="AE1643" s="20"/>
      <c r="AF1643" s="20"/>
      <c r="AG1643" s="20"/>
      <c r="AH1643" s="20"/>
      <c r="AI1643" s="20"/>
      <c r="AJ1643" s="20"/>
      <c r="AK1643" s="20"/>
      <c r="AL1643" s="20"/>
      <c r="AM1643" s="20"/>
      <c r="AN1643" s="20"/>
      <c r="AO1643" s="20"/>
    </row>
    <row r="1644" spans="1:41" s="15" customFormat="1" ht="14.25" x14ac:dyDescent="0.2">
      <c r="A1644" s="18" t="s">
        <v>1311</v>
      </c>
      <c r="B1644" s="19" t="s">
        <v>1312</v>
      </c>
      <c r="C1644" s="20"/>
      <c r="D1644" s="20">
        <v>200</v>
      </c>
      <c r="E1644" s="20">
        <v>200</v>
      </c>
      <c r="F1644" s="20">
        <v>200</v>
      </c>
      <c r="G1644" s="20">
        <v>0</v>
      </c>
      <c r="H1644" s="20"/>
      <c r="I1644" s="20"/>
      <c r="J1644" s="20"/>
      <c r="K1644" s="20"/>
      <c r="L1644" s="20"/>
      <c r="M1644" s="20"/>
      <c r="N1644" s="20"/>
      <c r="O1644" s="20"/>
      <c r="P1644" s="20"/>
      <c r="Q1644" s="20"/>
      <c r="R1644" s="20"/>
      <c r="S1644" s="20"/>
      <c r="T1644" s="20"/>
      <c r="U1644" s="20">
        <v>-600</v>
      </c>
      <c r="V1644" s="20">
        <v>-1200</v>
      </c>
      <c r="W1644" s="20">
        <v>0</v>
      </c>
      <c r="X1644" s="20">
        <v>-600</v>
      </c>
      <c r="Y1644" s="20">
        <v>-1200</v>
      </c>
      <c r="Z1644" s="20">
        <v>0</v>
      </c>
      <c r="AA1644" s="20"/>
      <c r="AB1644" s="20"/>
      <c r="AC1644" s="20"/>
      <c r="AD1644" s="20"/>
      <c r="AE1644" s="20"/>
      <c r="AF1644" s="20"/>
      <c r="AG1644" s="20"/>
      <c r="AH1644" s="20"/>
      <c r="AI1644" s="20"/>
      <c r="AJ1644" s="20"/>
      <c r="AK1644" s="20"/>
      <c r="AL1644" s="20"/>
      <c r="AM1644" s="20"/>
      <c r="AN1644" s="20"/>
      <c r="AO1644" s="20"/>
    </row>
    <row r="1645" spans="1:41" s="15" customFormat="1" ht="14.25" x14ac:dyDescent="0.2">
      <c r="A1645" s="18" t="s">
        <v>1313</v>
      </c>
      <c r="B1645" s="19" t="s">
        <v>1314</v>
      </c>
      <c r="C1645" s="20"/>
      <c r="D1645" s="20"/>
      <c r="E1645" s="20"/>
      <c r="F1645" s="20"/>
      <c r="G1645" s="20"/>
      <c r="H1645" s="20"/>
      <c r="I1645" s="20"/>
      <c r="J1645" s="20"/>
      <c r="K1645" s="20"/>
      <c r="L1645" s="20"/>
      <c r="M1645" s="20"/>
      <c r="N1645" s="20"/>
      <c r="O1645" s="20"/>
      <c r="P1645" s="20"/>
      <c r="Q1645" s="20"/>
      <c r="R1645" s="20"/>
      <c r="S1645" s="20"/>
      <c r="T1645" s="20"/>
      <c r="U1645" s="20"/>
      <c r="V1645" s="20"/>
      <c r="W1645" s="20">
        <v>196</v>
      </c>
      <c r="X1645" s="20">
        <v>196</v>
      </c>
      <c r="Y1645" s="20">
        <v>196</v>
      </c>
      <c r="Z1645" s="20">
        <v>196</v>
      </c>
      <c r="AA1645" s="20">
        <v>196</v>
      </c>
      <c r="AB1645" s="20">
        <v>196</v>
      </c>
      <c r="AC1645" s="20">
        <v>196</v>
      </c>
      <c r="AD1645" s="20">
        <v>196</v>
      </c>
      <c r="AE1645" s="20">
        <v>196</v>
      </c>
      <c r="AF1645" s="20">
        <v>196</v>
      </c>
      <c r="AG1645" s="20">
        <v>196</v>
      </c>
      <c r="AH1645" s="20">
        <v>196</v>
      </c>
      <c r="AI1645" s="20">
        <v>196</v>
      </c>
      <c r="AJ1645" s="20">
        <v>196</v>
      </c>
      <c r="AK1645" s="20">
        <v>196</v>
      </c>
      <c r="AL1645" s="20">
        <v>196</v>
      </c>
      <c r="AM1645" s="20">
        <v>196</v>
      </c>
      <c r="AN1645" s="20">
        <v>196</v>
      </c>
      <c r="AO1645" s="20">
        <v>196</v>
      </c>
    </row>
    <row r="1646" spans="1:41" s="15" customFormat="1" ht="14.25" x14ac:dyDescent="0.2">
      <c r="A1646" s="18" t="s">
        <v>1315</v>
      </c>
      <c r="B1646" s="19" t="s">
        <v>1316</v>
      </c>
      <c r="C1646" s="20">
        <v>90635.07</v>
      </c>
      <c r="D1646" s="20">
        <v>91348.74</v>
      </c>
      <c r="E1646" s="20">
        <v>91400.7</v>
      </c>
      <c r="F1646" s="20">
        <v>91400.7</v>
      </c>
      <c r="G1646" s="20">
        <v>91400.7</v>
      </c>
      <c r="H1646" s="20">
        <v>29931.71</v>
      </c>
      <c r="I1646" s="20">
        <v>21150.04</v>
      </c>
      <c r="J1646" s="20">
        <v>32450.47</v>
      </c>
      <c r="K1646" s="20">
        <v>31613.759999999998</v>
      </c>
      <c r="L1646" s="20">
        <v>38738.94</v>
      </c>
      <c r="M1646" s="20">
        <v>1256163.57</v>
      </c>
      <c r="N1646" s="20">
        <v>42366.04</v>
      </c>
      <c r="O1646" s="20">
        <v>26596.49</v>
      </c>
      <c r="P1646" s="20">
        <v>22130.47</v>
      </c>
      <c r="Q1646" s="20">
        <v>22130.47</v>
      </c>
      <c r="R1646" s="20">
        <v>22133.47</v>
      </c>
      <c r="S1646" s="20">
        <v>22136.47</v>
      </c>
      <c r="T1646" s="20">
        <v>22481.67</v>
      </c>
      <c r="U1646" s="20">
        <v>23841.52</v>
      </c>
      <c r="V1646" s="20">
        <v>24874.720000000001</v>
      </c>
      <c r="W1646" s="20">
        <v>25651.26</v>
      </c>
      <c r="X1646" s="20">
        <v>27984.959999999999</v>
      </c>
      <c r="Y1646" s="20">
        <v>28277.86</v>
      </c>
      <c r="Z1646" s="20">
        <v>27524.29</v>
      </c>
      <c r="AA1646" s="20">
        <v>26403.82</v>
      </c>
      <c r="AB1646" s="20">
        <v>26671.34</v>
      </c>
      <c r="AC1646" s="20">
        <v>26409.82</v>
      </c>
      <c r="AD1646" s="20">
        <v>48724.1</v>
      </c>
      <c r="AE1646" s="20">
        <v>48726.3</v>
      </c>
      <c r="AF1646" s="20">
        <v>48707.3</v>
      </c>
      <c r="AG1646" s="20">
        <v>26848.12</v>
      </c>
      <c r="AH1646" s="20">
        <v>26848.92</v>
      </c>
      <c r="AI1646" s="20">
        <v>26335.06</v>
      </c>
      <c r="AJ1646" s="20">
        <v>26405.62</v>
      </c>
      <c r="AK1646" s="20">
        <v>26408.62</v>
      </c>
      <c r="AL1646" s="20">
        <v>27020.36</v>
      </c>
      <c r="AM1646" s="20">
        <v>27022.560000000001</v>
      </c>
      <c r="AN1646" s="20">
        <v>27396.66</v>
      </c>
      <c r="AO1646" s="20">
        <v>0</v>
      </c>
    </row>
    <row r="1647" spans="1:41" s="15" customFormat="1" ht="14.25" x14ac:dyDescent="0.2">
      <c r="A1647" s="18" t="s">
        <v>1317</v>
      </c>
      <c r="B1647" s="19" t="s">
        <v>1318</v>
      </c>
      <c r="C1647" s="20">
        <v>-1044.3699999999999</v>
      </c>
      <c r="D1647" s="20">
        <v>0</v>
      </c>
      <c r="E1647" s="20">
        <v>0</v>
      </c>
      <c r="F1647" s="20"/>
      <c r="G1647" s="20">
        <v>0</v>
      </c>
      <c r="H1647" s="20">
        <v>0</v>
      </c>
      <c r="I1647" s="20">
        <v>-1754.59</v>
      </c>
      <c r="J1647" s="20">
        <v>0</v>
      </c>
      <c r="K1647" s="20">
        <v>0</v>
      </c>
      <c r="L1647" s="20">
        <v>1691.08</v>
      </c>
      <c r="M1647" s="20">
        <v>3345.69</v>
      </c>
      <c r="N1647" s="20">
        <v>0</v>
      </c>
      <c r="O1647" s="20">
        <v>0</v>
      </c>
      <c r="P1647" s="20">
        <v>0</v>
      </c>
      <c r="Q1647" s="20">
        <v>0</v>
      </c>
      <c r="R1647" s="20">
        <v>0</v>
      </c>
      <c r="S1647" s="20">
        <v>0</v>
      </c>
      <c r="T1647" s="20">
        <v>1615.83</v>
      </c>
      <c r="U1647" s="20">
        <v>0</v>
      </c>
      <c r="V1647" s="20">
        <v>0</v>
      </c>
      <c r="W1647" s="20">
        <v>0</v>
      </c>
      <c r="X1647" s="20">
        <v>0</v>
      </c>
      <c r="Y1647" s="20">
        <v>0</v>
      </c>
      <c r="Z1647" s="20">
        <v>0</v>
      </c>
      <c r="AA1647" s="20">
        <v>0</v>
      </c>
      <c r="AB1647" s="20">
        <v>0</v>
      </c>
      <c r="AC1647" s="20">
        <v>0</v>
      </c>
      <c r="AD1647" s="20">
        <v>0</v>
      </c>
      <c r="AE1647" s="20">
        <v>0</v>
      </c>
      <c r="AF1647" s="20">
        <v>0</v>
      </c>
      <c r="AG1647" s="20">
        <v>0</v>
      </c>
      <c r="AH1647" s="20">
        <v>0</v>
      </c>
      <c r="AI1647" s="20">
        <v>0</v>
      </c>
      <c r="AJ1647" s="20">
        <v>0</v>
      </c>
      <c r="AK1647" s="20">
        <v>0</v>
      </c>
      <c r="AL1647" s="20">
        <v>0</v>
      </c>
      <c r="AM1647" s="20">
        <v>0</v>
      </c>
      <c r="AN1647" s="20">
        <v>0</v>
      </c>
      <c r="AO1647" s="20">
        <v>0</v>
      </c>
    </row>
    <row r="1648" spans="1:41" s="15" customFormat="1" ht="14.25" x14ac:dyDescent="0.2">
      <c r="A1648" s="18" t="s">
        <v>1319</v>
      </c>
      <c r="B1648" s="19" t="s">
        <v>1320</v>
      </c>
      <c r="C1648" s="20">
        <v>11638.86</v>
      </c>
      <c r="D1648" s="20">
        <v>11638.86</v>
      </c>
      <c r="E1648" s="20">
        <v>11638.86</v>
      </c>
      <c r="F1648" s="20">
        <v>11638.86</v>
      </c>
      <c r="G1648" s="20">
        <v>11638.86</v>
      </c>
      <c r="H1648" s="20">
        <v>11638.86</v>
      </c>
      <c r="I1648" s="20">
        <v>11638.86</v>
      </c>
      <c r="J1648" s="20">
        <v>0</v>
      </c>
      <c r="K1648" s="20">
        <v>0</v>
      </c>
      <c r="L1648" s="20">
        <v>0</v>
      </c>
      <c r="M1648" s="20">
        <v>972665.08</v>
      </c>
      <c r="N1648" s="20">
        <v>0</v>
      </c>
      <c r="O1648" s="20">
        <v>4577.54</v>
      </c>
      <c r="P1648" s="20">
        <v>0</v>
      </c>
      <c r="Q1648" s="20">
        <v>0</v>
      </c>
      <c r="R1648" s="20">
        <v>0</v>
      </c>
      <c r="S1648" s="20">
        <v>0</v>
      </c>
      <c r="T1648" s="20">
        <v>0</v>
      </c>
      <c r="U1648" s="20">
        <v>4907.9399999999996</v>
      </c>
      <c r="V1648" s="20">
        <v>9846.02</v>
      </c>
      <c r="W1648" s="20">
        <v>0</v>
      </c>
      <c r="X1648" s="20">
        <v>0</v>
      </c>
      <c r="Y1648" s="20">
        <v>5496.86</v>
      </c>
      <c r="Z1648" s="20">
        <v>0</v>
      </c>
      <c r="AA1648" s="20">
        <v>5411.35</v>
      </c>
      <c r="AB1648" s="20">
        <v>11141.76</v>
      </c>
      <c r="AC1648" s="20">
        <v>5730.41</v>
      </c>
      <c r="AD1648" s="20">
        <v>5810.74</v>
      </c>
      <c r="AE1648" s="20">
        <v>11792.9</v>
      </c>
      <c r="AF1648" s="20">
        <v>0</v>
      </c>
      <c r="AG1648" s="20">
        <v>0</v>
      </c>
      <c r="AH1648" s="20">
        <v>0</v>
      </c>
      <c r="AI1648" s="20">
        <v>0</v>
      </c>
      <c r="AJ1648" s="20">
        <v>0</v>
      </c>
      <c r="AK1648" s="20">
        <v>0</v>
      </c>
      <c r="AL1648" s="20">
        <v>6415.58</v>
      </c>
      <c r="AM1648" s="20">
        <v>0</v>
      </c>
      <c r="AN1648" s="20">
        <v>0</v>
      </c>
      <c r="AO1648" s="20">
        <v>0</v>
      </c>
    </row>
    <row r="1649" spans="1:41" s="15" customFormat="1" ht="14.25" x14ac:dyDescent="0.2">
      <c r="A1649" s="18" t="s">
        <v>1321</v>
      </c>
      <c r="B1649" s="19" t="s">
        <v>1322</v>
      </c>
      <c r="C1649" s="20">
        <v>7633.19</v>
      </c>
      <c r="D1649" s="20">
        <v>8972.49</v>
      </c>
      <c r="E1649" s="20">
        <v>6334.09</v>
      </c>
      <c r="F1649" s="20">
        <v>6334.09</v>
      </c>
      <c r="G1649" s="20">
        <v>7701.61</v>
      </c>
      <c r="H1649" s="20">
        <v>6334.09</v>
      </c>
      <c r="I1649" s="20">
        <v>6334.09</v>
      </c>
      <c r="J1649" s="20">
        <v>0</v>
      </c>
      <c r="K1649" s="20">
        <v>0</v>
      </c>
      <c r="L1649" s="20">
        <v>0</v>
      </c>
      <c r="M1649" s="20">
        <v>1145.27</v>
      </c>
      <c r="N1649" s="20">
        <v>0</v>
      </c>
      <c r="O1649" s="20">
        <v>0</v>
      </c>
      <c r="P1649" s="20">
        <v>0</v>
      </c>
      <c r="Q1649" s="20">
        <v>0</v>
      </c>
      <c r="R1649" s="20">
        <v>0</v>
      </c>
      <c r="S1649" s="20">
        <v>0</v>
      </c>
      <c r="T1649" s="20">
        <v>893</v>
      </c>
      <c r="U1649" s="20">
        <v>-1016.85</v>
      </c>
      <c r="V1649" s="20">
        <v>-1016.85</v>
      </c>
      <c r="W1649" s="20">
        <v>0</v>
      </c>
      <c r="X1649" s="20">
        <v>0</v>
      </c>
      <c r="Y1649" s="20">
        <v>0</v>
      </c>
      <c r="Z1649" s="20">
        <v>0</v>
      </c>
      <c r="AA1649" s="20">
        <v>0</v>
      </c>
      <c r="AB1649" s="20">
        <v>0</v>
      </c>
      <c r="AC1649" s="20">
        <v>0</v>
      </c>
      <c r="AD1649" s="20">
        <v>0</v>
      </c>
      <c r="AE1649" s="20">
        <v>0</v>
      </c>
      <c r="AF1649" s="20">
        <v>0</v>
      </c>
      <c r="AG1649" s="20">
        <v>0</v>
      </c>
      <c r="AH1649" s="20">
        <v>0</v>
      </c>
      <c r="AI1649" s="20">
        <v>0</v>
      </c>
      <c r="AJ1649" s="20">
        <v>0</v>
      </c>
      <c r="AK1649" s="20">
        <v>0</v>
      </c>
      <c r="AL1649" s="20">
        <v>0</v>
      </c>
      <c r="AM1649" s="20">
        <v>0</v>
      </c>
      <c r="AN1649" s="20">
        <v>1613.16</v>
      </c>
      <c r="AO1649" s="20">
        <v>1612.84</v>
      </c>
    </row>
    <row r="1650" spans="1:41" s="15" customFormat="1" ht="14.25" x14ac:dyDescent="0.2">
      <c r="A1650" s="18" t="s">
        <v>1323</v>
      </c>
      <c r="B1650" s="19" t="s">
        <v>1324</v>
      </c>
      <c r="C1650" s="20">
        <v>202391.22</v>
      </c>
      <c r="D1650" s="20">
        <v>148445.75</v>
      </c>
      <c r="E1650" s="20">
        <v>148445.75</v>
      </c>
      <c r="F1650" s="20">
        <v>148445.75</v>
      </c>
      <c r="G1650" s="20">
        <v>148445.75</v>
      </c>
      <c r="H1650" s="20">
        <v>145721.79999999999</v>
      </c>
      <c r="I1650" s="20">
        <v>145119.70000000001</v>
      </c>
      <c r="J1650" s="20">
        <v>80699.95</v>
      </c>
      <c r="K1650" s="20">
        <v>81541.350000000006</v>
      </c>
      <c r="L1650" s="20">
        <v>80701.55</v>
      </c>
      <c r="M1650" s="20">
        <v>133472.66</v>
      </c>
      <c r="N1650" s="20">
        <v>80703.149999999994</v>
      </c>
      <c r="O1650" s="20">
        <v>81445.25</v>
      </c>
      <c r="P1650" s="20">
        <v>80703.95</v>
      </c>
      <c r="Q1650" s="20">
        <v>80703.95</v>
      </c>
      <c r="R1650" s="20">
        <v>80704.75</v>
      </c>
      <c r="S1650" s="20">
        <v>80705.55</v>
      </c>
      <c r="T1650" s="20">
        <v>80706.350000000006</v>
      </c>
      <c r="U1650" s="20">
        <v>81233.850000000006</v>
      </c>
      <c r="V1650" s="20">
        <v>81234.649999999994</v>
      </c>
      <c r="W1650" s="20">
        <v>81193.45</v>
      </c>
      <c r="X1650" s="20">
        <v>81678.95</v>
      </c>
      <c r="Y1650" s="20">
        <v>82252.649999999994</v>
      </c>
      <c r="Z1650" s="20">
        <v>82826.350000000006</v>
      </c>
      <c r="AA1650" s="20">
        <v>82827.149999999994</v>
      </c>
      <c r="AB1650" s="20">
        <v>82827.95</v>
      </c>
      <c r="AC1650" s="20">
        <v>82828.75</v>
      </c>
      <c r="AD1650" s="20">
        <v>82829.55</v>
      </c>
      <c r="AE1650" s="20">
        <v>83501.929999999993</v>
      </c>
      <c r="AF1650" s="20">
        <v>83502.73</v>
      </c>
      <c r="AG1650" s="20">
        <v>181252.62</v>
      </c>
      <c r="AH1650" s="20">
        <v>83504.33</v>
      </c>
      <c r="AI1650" s="20">
        <v>83505.13</v>
      </c>
      <c r="AJ1650" s="20">
        <v>83505.929999999993</v>
      </c>
      <c r="AK1650" s="20">
        <v>83506.73</v>
      </c>
      <c r="AL1650" s="20">
        <v>83507.53</v>
      </c>
      <c r="AM1650" s="20">
        <v>150813.70000000001</v>
      </c>
      <c r="AN1650" s="20">
        <v>279421.14</v>
      </c>
      <c r="AO1650" s="20">
        <v>0</v>
      </c>
    </row>
    <row r="1651" spans="1:41" s="15" customFormat="1" ht="14.25" x14ac:dyDescent="0.2">
      <c r="A1651" s="18" t="s">
        <v>1325</v>
      </c>
      <c r="B1651" s="19" t="s">
        <v>1326</v>
      </c>
      <c r="C1651" s="20">
        <v>577201.42000000004</v>
      </c>
      <c r="D1651" s="20">
        <v>1389183.59</v>
      </c>
      <c r="E1651" s="20">
        <v>1155529.27</v>
      </c>
      <c r="F1651" s="20">
        <v>1636528.02</v>
      </c>
      <c r="G1651" s="20">
        <v>577201.42000000004</v>
      </c>
      <c r="H1651" s="20">
        <v>428783.21</v>
      </c>
      <c r="I1651" s="20">
        <v>428783.21</v>
      </c>
      <c r="J1651" s="20">
        <v>428783.21</v>
      </c>
      <c r="K1651" s="20">
        <v>428783.21</v>
      </c>
      <c r="L1651" s="20">
        <v>428783.21</v>
      </c>
      <c r="M1651" s="20">
        <v>790494.79</v>
      </c>
      <c r="N1651" s="20">
        <v>428783.21</v>
      </c>
      <c r="O1651" s="20">
        <v>428783.21</v>
      </c>
      <c r="P1651" s="20">
        <v>428878.78</v>
      </c>
      <c r="Q1651" s="20">
        <v>428878.57</v>
      </c>
      <c r="R1651" s="20">
        <v>428878.57</v>
      </c>
      <c r="S1651" s="20">
        <v>364581.18</v>
      </c>
      <c r="T1651" s="20">
        <v>364581.18</v>
      </c>
      <c r="U1651" s="20">
        <v>364581.18</v>
      </c>
      <c r="V1651" s="20">
        <v>367316.56</v>
      </c>
      <c r="W1651" s="20">
        <v>364581.18</v>
      </c>
      <c r="X1651" s="20">
        <v>367231.92</v>
      </c>
      <c r="Y1651" s="20">
        <v>369837.6</v>
      </c>
      <c r="Z1651" s="20">
        <v>364581.18</v>
      </c>
      <c r="AA1651" s="20">
        <v>367253.32</v>
      </c>
      <c r="AB1651" s="20">
        <v>370387.51</v>
      </c>
      <c r="AC1651" s="20">
        <v>364581.18</v>
      </c>
      <c r="AD1651" s="20">
        <v>367601.97</v>
      </c>
      <c r="AE1651" s="20">
        <v>370579.99</v>
      </c>
      <c r="AF1651" s="20">
        <v>916994.17</v>
      </c>
      <c r="AG1651" s="20">
        <v>364581.18</v>
      </c>
      <c r="AH1651" s="20">
        <v>364581.18</v>
      </c>
      <c r="AI1651" s="20">
        <v>364581.18</v>
      </c>
      <c r="AJ1651" s="20">
        <v>364888.76</v>
      </c>
      <c r="AK1651" s="20">
        <v>364581.18</v>
      </c>
      <c r="AL1651" s="20">
        <v>367218.19</v>
      </c>
      <c r="AM1651" s="20">
        <v>368710.15</v>
      </c>
      <c r="AN1651" s="20">
        <v>364581.18</v>
      </c>
      <c r="AO1651" s="20">
        <v>0</v>
      </c>
    </row>
    <row r="1652" spans="1:41" s="15" customFormat="1" ht="14.25" x14ac:dyDescent="0.2">
      <c r="A1652" s="18" t="s">
        <v>1327</v>
      </c>
      <c r="B1652" s="19" t="s">
        <v>1328</v>
      </c>
      <c r="C1652" s="20">
        <v>0</v>
      </c>
      <c r="D1652" s="20">
        <v>0</v>
      </c>
      <c r="E1652" s="20">
        <v>0</v>
      </c>
      <c r="F1652" s="20">
        <v>0</v>
      </c>
      <c r="G1652" s="20">
        <v>0</v>
      </c>
      <c r="H1652" s="20">
        <v>0</v>
      </c>
      <c r="I1652" s="20">
        <v>0</v>
      </c>
      <c r="J1652" s="20">
        <v>0</v>
      </c>
      <c r="K1652" s="20">
        <v>0</v>
      </c>
      <c r="L1652" s="20">
        <v>0</v>
      </c>
      <c r="M1652" s="20">
        <v>0</v>
      </c>
      <c r="N1652" s="20">
        <v>0</v>
      </c>
      <c r="O1652" s="20">
        <v>0</v>
      </c>
      <c r="P1652" s="20">
        <v>0</v>
      </c>
      <c r="Q1652" s="20">
        <v>0</v>
      </c>
      <c r="R1652" s="20">
        <v>0</v>
      </c>
      <c r="S1652" s="20">
        <v>0</v>
      </c>
      <c r="T1652" s="20">
        <v>0</v>
      </c>
      <c r="U1652" s="20">
        <v>0</v>
      </c>
      <c r="V1652" s="20">
        <v>0</v>
      </c>
      <c r="W1652" s="20">
        <v>0</v>
      </c>
      <c r="X1652" s="20">
        <v>0</v>
      </c>
      <c r="Y1652" s="20">
        <v>0</v>
      </c>
      <c r="Z1652" s="20">
        <v>0</v>
      </c>
      <c r="AA1652" s="20">
        <v>0</v>
      </c>
      <c r="AB1652" s="20">
        <v>0</v>
      </c>
      <c r="AC1652" s="20">
        <v>0</v>
      </c>
      <c r="AD1652" s="20">
        <v>0</v>
      </c>
      <c r="AE1652" s="20">
        <v>0</v>
      </c>
      <c r="AF1652" s="20">
        <v>0</v>
      </c>
      <c r="AG1652" s="20">
        <v>0</v>
      </c>
      <c r="AH1652" s="20">
        <v>0</v>
      </c>
      <c r="AI1652" s="20">
        <v>0</v>
      </c>
      <c r="AJ1652" s="20">
        <v>0</v>
      </c>
      <c r="AK1652" s="20">
        <v>0</v>
      </c>
      <c r="AL1652" s="20">
        <v>0</v>
      </c>
      <c r="AM1652" s="20">
        <v>0</v>
      </c>
      <c r="AN1652" s="20">
        <v>0</v>
      </c>
      <c r="AO1652" s="20">
        <v>0</v>
      </c>
    </row>
    <row r="1653" spans="1:41" s="15" customFormat="1" ht="14.25" x14ac:dyDescent="0.2">
      <c r="A1653" s="18" t="s">
        <v>1329</v>
      </c>
      <c r="B1653" s="19" t="s">
        <v>1330</v>
      </c>
      <c r="C1653" s="20">
        <v>376391.69</v>
      </c>
      <c r="D1653" s="20">
        <v>419052.82</v>
      </c>
      <c r="E1653" s="20">
        <v>394188.48</v>
      </c>
      <c r="F1653" s="20">
        <v>397579.14</v>
      </c>
      <c r="G1653" s="20">
        <v>408151.15</v>
      </c>
      <c r="H1653" s="20">
        <v>408394.22</v>
      </c>
      <c r="I1653" s="20">
        <v>816547.04</v>
      </c>
      <c r="J1653" s="20">
        <v>418270.42</v>
      </c>
      <c r="K1653" s="20">
        <v>10341.049999999999</v>
      </c>
      <c r="L1653" s="20">
        <v>436405.98</v>
      </c>
      <c r="M1653" s="20">
        <v>861793.22</v>
      </c>
      <c r="N1653" s="20">
        <v>2451.87</v>
      </c>
      <c r="O1653" s="20">
        <v>26984.59</v>
      </c>
      <c r="P1653" s="20">
        <v>441674.76</v>
      </c>
      <c r="Q1653" s="20">
        <v>855672.3</v>
      </c>
      <c r="R1653" s="20">
        <v>3191.46</v>
      </c>
      <c r="S1653" s="20">
        <v>26862.27</v>
      </c>
      <c r="T1653" s="20">
        <v>27648.02</v>
      </c>
      <c r="U1653" s="20">
        <v>452681.21</v>
      </c>
      <c r="V1653" s="20">
        <v>27648.02</v>
      </c>
      <c r="W1653" s="20">
        <v>27648.02</v>
      </c>
      <c r="X1653" s="20">
        <v>27648.02</v>
      </c>
      <c r="Y1653" s="20">
        <v>27648.02</v>
      </c>
      <c r="Z1653" s="20">
        <v>27648.02</v>
      </c>
      <c r="AA1653" s="20">
        <v>50896.02</v>
      </c>
      <c r="AB1653" s="20">
        <v>51198.84</v>
      </c>
      <c r="AC1653" s="20">
        <v>52092.9</v>
      </c>
      <c r="AD1653" s="20">
        <v>54847.13</v>
      </c>
      <c r="AE1653" s="20">
        <v>502177.17</v>
      </c>
      <c r="AF1653" s="20">
        <v>101531.92</v>
      </c>
      <c r="AG1653" s="20">
        <v>27999.09</v>
      </c>
      <c r="AH1653" s="20">
        <v>27999.09</v>
      </c>
      <c r="AI1653" s="20">
        <v>28277.97</v>
      </c>
      <c r="AJ1653" s="20">
        <v>28277.97</v>
      </c>
      <c r="AK1653" s="20">
        <v>28277.97</v>
      </c>
      <c r="AL1653" s="20">
        <v>28277.97</v>
      </c>
      <c r="AM1653" s="20">
        <v>28277.97</v>
      </c>
      <c r="AN1653" s="20">
        <v>474695.15</v>
      </c>
      <c r="AO1653" s="20">
        <v>518.9</v>
      </c>
    </row>
    <row r="1654" spans="1:41" ht="14.25" x14ac:dyDescent="0.2">
      <c r="A1654" s="2">
        <v>1508</v>
      </c>
      <c r="B1654" s="3" t="s">
        <v>267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</row>
    <row r="1655" spans="1:41" ht="28.5" x14ac:dyDescent="0.2">
      <c r="A1655" s="2">
        <v>150804</v>
      </c>
      <c r="B1655" s="4" t="s">
        <v>268</v>
      </c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</row>
    <row r="1656" spans="1:41" ht="28.5" x14ac:dyDescent="0.2">
      <c r="A1656" s="2">
        <v>150805</v>
      </c>
      <c r="B1656" s="4" t="s">
        <v>269</v>
      </c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</row>
    <row r="1657" spans="1:41" ht="14.25" x14ac:dyDescent="0.2">
      <c r="A1657" s="2">
        <v>150807</v>
      </c>
      <c r="B1657" s="3" t="s">
        <v>270</v>
      </c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</row>
    <row r="1658" spans="1:41" ht="28.5" x14ac:dyDescent="0.2">
      <c r="A1658" s="2">
        <v>15080711</v>
      </c>
      <c r="B1658" s="4" t="s">
        <v>271</v>
      </c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</row>
    <row r="1659" spans="1:41" ht="14.25" x14ac:dyDescent="0.2">
      <c r="A1659" s="2">
        <v>15080719</v>
      </c>
      <c r="B1659" s="3" t="s">
        <v>272</v>
      </c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</row>
    <row r="1660" spans="1:41" ht="14.25" x14ac:dyDescent="0.2">
      <c r="A1660" s="2">
        <v>1509</v>
      </c>
      <c r="B1660" s="3" t="s">
        <v>273</v>
      </c>
      <c r="C1660" s="20">
        <f t="shared" ref="C1660:AB1660" si="28">+C1669+C1670</f>
        <v>-136324.73000000001</v>
      </c>
      <c r="D1660" s="20">
        <f t="shared" si="28"/>
        <v>-136324.73000000001</v>
      </c>
      <c r="E1660" s="20">
        <f t="shared" si="28"/>
        <v>-136324.73000000001</v>
      </c>
      <c r="F1660" s="20">
        <f t="shared" si="28"/>
        <v>-136324.73000000001</v>
      </c>
      <c r="G1660" s="20">
        <f t="shared" si="28"/>
        <v>-136324.73000000001</v>
      </c>
      <c r="H1660" s="20">
        <f t="shared" si="28"/>
        <v>-136324.73000000001</v>
      </c>
      <c r="I1660" s="20">
        <f t="shared" si="28"/>
        <v>-136324.73000000001</v>
      </c>
      <c r="J1660" s="20">
        <f t="shared" si="28"/>
        <v>-136324.73000000001</v>
      </c>
      <c r="K1660" s="20">
        <f t="shared" si="28"/>
        <v>-368092</v>
      </c>
      <c r="L1660" s="20">
        <f t="shared" si="28"/>
        <v>-368092</v>
      </c>
      <c r="M1660" s="20">
        <f t="shared" si="28"/>
        <v>-368092</v>
      </c>
      <c r="N1660" s="20">
        <f t="shared" si="28"/>
        <v>-368092</v>
      </c>
      <c r="O1660" s="20">
        <f t="shared" si="28"/>
        <v>-368092</v>
      </c>
      <c r="P1660" s="20">
        <f t="shared" si="28"/>
        <v>-368092</v>
      </c>
      <c r="Q1660" s="20">
        <f t="shared" si="28"/>
        <v>-368092</v>
      </c>
      <c r="R1660" s="20">
        <f t="shared" si="28"/>
        <v>-368092</v>
      </c>
      <c r="S1660" s="20">
        <f t="shared" si="28"/>
        <v>-368092</v>
      </c>
      <c r="T1660" s="20">
        <f t="shared" si="28"/>
        <v>-368092</v>
      </c>
      <c r="U1660" s="20">
        <f t="shared" si="28"/>
        <v>-368092</v>
      </c>
      <c r="V1660" s="20">
        <f t="shared" si="28"/>
        <v>-368092</v>
      </c>
      <c r="W1660" s="20">
        <f t="shared" si="28"/>
        <v>-368092</v>
      </c>
      <c r="X1660" s="20">
        <f t="shared" si="28"/>
        <v>-368092</v>
      </c>
      <c r="Y1660" s="20">
        <f t="shared" si="28"/>
        <v>-368092</v>
      </c>
      <c r="Z1660" s="20">
        <f t="shared" si="28"/>
        <v>-368092</v>
      </c>
      <c r="AA1660" s="20">
        <f t="shared" si="28"/>
        <v>-368092</v>
      </c>
      <c r="AB1660" s="20">
        <f t="shared" si="28"/>
        <v>-368092</v>
      </c>
      <c r="AC1660" s="20">
        <f>+AC1669+AC1670</f>
        <v>-391393.95</v>
      </c>
      <c r="AD1660" s="20">
        <f t="shared" ref="AD1660:AO1660" si="29">+AD1669+AD1670</f>
        <v>-391393.95</v>
      </c>
      <c r="AE1660" s="20">
        <f t="shared" si="29"/>
        <v>-391393.95</v>
      </c>
      <c r="AF1660" s="20">
        <f t="shared" si="29"/>
        <v>-425437.53</v>
      </c>
      <c r="AG1660" s="20">
        <f t="shared" si="29"/>
        <v>-425437.53</v>
      </c>
      <c r="AH1660" s="20">
        <f t="shared" si="29"/>
        <v>-425437.53</v>
      </c>
      <c r="AI1660" s="20">
        <f t="shared" si="29"/>
        <v>-434333.32</v>
      </c>
      <c r="AJ1660" s="20">
        <f t="shared" si="29"/>
        <v>-434333.32</v>
      </c>
      <c r="AK1660" s="20">
        <f t="shared" si="29"/>
        <v>-434333.32</v>
      </c>
      <c r="AL1660" s="20">
        <f t="shared" si="29"/>
        <v>-457288.62</v>
      </c>
      <c r="AM1660" s="20">
        <f t="shared" si="29"/>
        <v>-457288.62</v>
      </c>
      <c r="AN1660" s="20">
        <f t="shared" si="29"/>
        <v>-457288.62</v>
      </c>
      <c r="AO1660" s="20">
        <f t="shared" si="29"/>
        <v>-481060.57</v>
      </c>
    </row>
    <row r="1661" spans="1:41" ht="28.5" x14ac:dyDescent="0.2">
      <c r="A1661" s="2">
        <v>150904</v>
      </c>
      <c r="B1661" s="4" t="s">
        <v>274</v>
      </c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/>
    </row>
    <row r="1662" spans="1:41" ht="28.5" x14ac:dyDescent="0.2">
      <c r="A1662" s="2">
        <v>150905</v>
      </c>
      <c r="B1662" s="4" t="s">
        <v>275</v>
      </c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1"/>
      <c r="AM1662" s="11"/>
      <c r="AN1662" s="11"/>
      <c r="AO1662" s="11"/>
    </row>
    <row r="1663" spans="1:41" ht="14.25" x14ac:dyDescent="0.2">
      <c r="A1663" s="2">
        <v>150907</v>
      </c>
      <c r="B1663" s="3" t="s">
        <v>276</v>
      </c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</row>
    <row r="1664" spans="1:41" ht="14.25" x14ac:dyDescent="0.2">
      <c r="A1664" s="2">
        <v>15090701</v>
      </c>
      <c r="B1664" s="3" t="s">
        <v>277</v>
      </c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</row>
    <row r="1665" spans="1:41" ht="14.25" x14ac:dyDescent="0.2">
      <c r="A1665" s="2">
        <v>15090702</v>
      </c>
      <c r="B1665" s="3" t="s">
        <v>278</v>
      </c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</row>
    <row r="1666" spans="1:41" ht="28.5" x14ac:dyDescent="0.2">
      <c r="A1666" s="2">
        <v>15090703</v>
      </c>
      <c r="B1666" s="4" t="s">
        <v>279</v>
      </c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  <c r="AM1666" s="11"/>
      <c r="AN1666" s="11"/>
      <c r="AO1666" s="11"/>
    </row>
    <row r="1667" spans="1:41" ht="28.5" x14ac:dyDescent="0.2">
      <c r="A1667" s="2">
        <v>15090711</v>
      </c>
      <c r="B1667" s="4" t="s">
        <v>280</v>
      </c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</row>
    <row r="1668" spans="1:41" ht="14.25" x14ac:dyDescent="0.2">
      <c r="A1668" s="2">
        <v>15090719</v>
      </c>
      <c r="B1668" s="3" t="s">
        <v>281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</row>
    <row r="1669" spans="1:41" s="15" customFormat="1" ht="14.25" x14ac:dyDescent="0.2">
      <c r="A1669" s="18" t="s">
        <v>1331</v>
      </c>
      <c r="B1669" s="19" t="s">
        <v>1332</v>
      </c>
      <c r="C1669" s="20">
        <v>-136324.73000000001</v>
      </c>
      <c r="D1669" s="20">
        <v>-136324.73000000001</v>
      </c>
      <c r="E1669" s="20">
        <v>-136324.73000000001</v>
      </c>
      <c r="F1669" s="20">
        <v>-136324.73000000001</v>
      </c>
      <c r="G1669" s="20">
        <v>-136324.73000000001</v>
      </c>
      <c r="H1669" s="20">
        <v>-136324.73000000001</v>
      </c>
      <c r="I1669" s="20">
        <v>-136324.73000000001</v>
      </c>
      <c r="J1669" s="20">
        <v>-136324.73000000001</v>
      </c>
      <c r="K1669" s="20">
        <v>-368092</v>
      </c>
      <c r="L1669" s="20">
        <v>-368092</v>
      </c>
      <c r="M1669" s="20">
        <v>-368092</v>
      </c>
      <c r="N1669" s="20">
        <v>-368092</v>
      </c>
      <c r="O1669" s="20">
        <v>-368092</v>
      </c>
      <c r="P1669" s="20">
        <v>-368092</v>
      </c>
      <c r="Q1669" s="20">
        <v>-368092</v>
      </c>
      <c r="R1669" s="20">
        <v>-368092</v>
      </c>
      <c r="S1669" s="20">
        <v>-368092</v>
      </c>
      <c r="T1669" s="20">
        <v>-368092</v>
      </c>
      <c r="U1669" s="20">
        <v>-368092</v>
      </c>
      <c r="V1669" s="20">
        <v>-368092</v>
      </c>
      <c r="W1669" s="20">
        <v>-368092</v>
      </c>
      <c r="X1669" s="20">
        <v>-368092</v>
      </c>
      <c r="Y1669" s="20">
        <v>-368092</v>
      </c>
      <c r="Z1669" s="20">
        <v>-368092</v>
      </c>
      <c r="AA1669" s="20">
        <v>-368092</v>
      </c>
      <c r="AB1669" s="20">
        <v>-368092</v>
      </c>
      <c r="AC1669" s="20">
        <v>-368092</v>
      </c>
      <c r="AD1669" s="20">
        <v>-368092</v>
      </c>
      <c r="AE1669" s="20">
        <v>-368092</v>
      </c>
      <c r="AF1669" s="20">
        <v>-368092</v>
      </c>
      <c r="AG1669" s="20">
        <v>-368092</v>
      </c>
      <c r="AH1669" s="20">
        <v>-368092</v>
      </c>
      <c r="AI1669" s="20">
        <v>-368092</v>
      </c>
      <c r="AJ1669" s="20">
        <v>-368092</v>
      </c>
      <c r="AK1669" s="20">
        <v>-368092</v>
      </c>
      <c r="AL1669" s="20">
        <v>-368092</v>
      </c>
      <c r="AM1669" s="20">
        <v>-368092</v>
      </c>
      <c r="AN1669" s="20">
        <v>-368092</v>
      </c>
      <c r="AO1669" s="20">
        <v>-368092</v>
      </c>
    </row>
    <row r="1670" spans="1:41" s="15" customFormat="1" ht="14.25" x14ac:dyDescent="0.2">
      <c r="A1670" s="18" t="s">
        <v>1333</v>
      </c>
      <c r="B1670" s="19" t="s">
        <v>1334</v>
      </c>
      <c r="C1670" s="20"/>
      <c r="D1670" s="20"/>
      <c r="E1670" s="20"/>
      <c r="F1670" s="20"/>
      <c r="G1670" s="20"/>
      <c r="H1670" s="20"/>
      <c r="I1670" s="20"/>
      <c r="J1670" s="20"/>
      <c r="K1670" s="20"/>
      <c r="L1670" s="20"/>
      <c r="M1670" s="20"/>
      <c r="N1670" s="20"/>
      <c r="O1670" s="20"/>
      <c r="P1670" s="20"/>
      <c r="Q1670" s="20"/>
      <c r="R1670" s="20"/>
      <c r="S1670" s="20"/>
      <c r="T1670" s="20"/>
      <c r="U1670" s="20"/>
      <c r="V1670" s="20"/>
      <c r="W1670" s="20"/>
      <c r="X1670" s="20"/>
      <c r="Y1670" s="20"/>
      <c r="Z1670" s="20"/>
      <c r="AA1670" s="20"/>
      <c r="AB1670" s="20"/>
      <c r="AC1670" s="20">
        <v>-23301.95</v>
      </c>
      <c r="AD1670" s="20">
        <v>-23301.95</v>
      </c>
      <c r="AE1670" s="20">
        <v>-23301.95</v>
      </c>
      <c r="AF1670" s="20">
        <v>-57345.53</v>
      </c>
      <c r="AG1670" s="20">
        <v>-57345.53</v>
      </c>
      <c r="AH1670" s="20">
        <v>-57345.53</v>
      </c>
      <c r="AI1670" s="20">
        <v>-66241.320000000007</v>
      </c>
      <c r="AJ1670" s="20">
        <v>-66241.320000000007</v>
      </c>
      <c r="AK1670" s="20">
        <v>-66241.320000000007</v>
      </c>
      <c r="AL1670" s="20">
        <v>-89196.62</v>
      </c>
      <c r="AM1670" s="20">
        <v>-89196.62</v>
      </c>
      <c r="AN1670" s="20">
        <v>-89196.62</v>
      </c>
      <c r="AO1670" s="20">
        <v>-112968.57</v>
      </c>
    </row>
    <row r="1671" spans="1:41" ht="28.5" x14ac:dyDescent="0.2">
      <c r="A1671" s="2">
        <v>16</v>
      </c>
      <c r="B1671" s="4" t="s">
        <v>282</v>
      </c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</row>
    <row r="1672" spans="1:41" ht="14.25" x14ac:dyDescent="0.2">
      <c r="A1672" s="2">
        <v>1601</v>
      </c>
      <c r="B1672" s="3" t="s">
        <v>283</v>
      </c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9"/>
    </row>
    <row r="1673" spans="1:41" ht="14.25" x14ac:dyDescent="0.2">
      <c r="A1673" s="2">
        <v>160101</v>
      </c>
      <c r="B1673" s="3" t="s">
        <v>284</v>
      </c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9"/>
    </row>
    <row r="1674" spans="1:41" ht="14.25" x14ac:dyDescent="0.2">
      <c r="A1674" s="2">
        <v>16010101</v>
      </c>
      <c r="B1674" s="3" t="s">
        <v>285</v>
      </c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9"/>
    </row>
    <row r="1675" spans="1:41" ht="14.25" x14ac:dyDescent="0.2">
      <c r="A1675" s="2">
        <v>16010102</v>
      </c>
      <c r="B1675" s="3" t="s">
        <v>286</v>
      </c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9"/>
    </row>
    <row r="1676" spans="1:41" ht="14.25" x14ac:dyDescent="0.2">
      <c r="A1676" s="2">
        <v>160102</v>
      </c>
      <c r="B1676" s="3" t="s">
        <v>287</v>
      </c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9"/>
    </row>
    <row r="1677" spans="1:41" ht="14.25" x14ac:dyDescent="0.2">
      <c r="A1677" s="2">
        <v>16010201</v>
      </c>
      <c r="B1677" s="3" t="s">
        <v>285</v>
      </c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</row>
    <row r="1678" spans="1:41" ht="14.25" x14ac:dyDescent="0.2">
      <c r="A1678" s="2">
        <v>16010202</v>
      </c>
      <c r="B1678" s="3" t="s">
        <v>288</v>
      </c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</row>
    <row r="1679" spans="1:41" ht="14.25" x14ac:dyDescent="0.2">
      <c r="A1679" s="2">
        <v>160109</v>
      </c>
      <c r="B1679" s="3" t="s">
        <v>289</v>
      </c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</row>
    <row r="1680" spans="1:41" ht="14.25" x14ac:dyDescent="0.2">
      <c r="A1680" s="2">
        <v>1602</v>
      </c>
      <c r="B1680" s="3" t="s">
        <v>290</v>
      </c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</row>
    <row r="1681" spans="1:41" ht="14.25" x14ac:dyDescent="0.2">
      <c r="A1681" s="2">
        <v>160201</v>
      </c>
      <c r="B1681" s="3" t="s">
        <v>291</v>
      </c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9"/>
    </row>
    <row r="1682" spans="1:41" ht="14.25" x14ac:dyDescent="0.2">
      <c r="A1682" s="2">
        <v>16020101</v>
      </c>
      <c r="B1682" s="3" t="s">
        <v>292</v>
      </c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9"/>
    </row>
    <row r="1683" spans="1:41" ht="14.25" x14ac:dyDescent="0.2">
      <c r="A1683" s="2">
        <v>16020102</v>
      </c>
      <c r="B1683" s="3" t="s">
        <v>293</v>
      </c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</row>
    <row r="1684" spans="1:41" ht="14.25" x14ac:dyDescent="0.2">
      <c r="A1684" s="2">
        <v>160202</v>
      </c>
      <c r="B1684" s="3" t="s">
        <v>294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9"/>
    </row>
    <row r="1685" spans="1:41" ht="14.25" x14ac:dyDescent="0.2">
      <c r="A1685" s="2">
        <v>16020201</v>
      </c>
      <c r="B1685" s="3" t="s">
        <v>295</v>
      </c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9"/>
    </row>
    <row r="1686" spans="1:41" ht="14.25" x14ac:dyDescent="0.2">
      <c r="A1686" s="2">
        <v>16020202</v>
      </c>
      <c r="B1686" s="3" t="s">
        <v>296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</row>
    <row r="1687" spans="1:41" ht="14.25" x14ac:dyDescent="0.2">
      <c r="A1687" s="2">
        <v>16020209</v>
      </c>
      <c r="B1687" s="3" t="s">
        <v>59</v>
      </c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</row>
    <row r="1688" spans="1:41" ht="14.25" x14ac:dyDescent="0.2">
      <c r="A1688" s="2">
        <v>160203</v>
      </c>
      <c r="B1688" s="3" t="s">
        <v>297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9"/>
    </row>
    <row r="1689" spans="1:41" ht="14.25" x14ac:dyDescent="0.2">
      <c r="A1689" s="2">
        <v>16020301</v>
      </c>
      <c r="B1689" s="3" t="s">
        <v>298</v>
      </c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9"/>
    </row>
    <row r="1690" spans="1:41" ht="14.25" x14ac:dyDescent="0.2">
      <c r="A1690" s="2">
        <v>16020302</v>
      </c>
      <c r="B1690" s="3" t="s">
        <v>299</v>
      </c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</row>
    <row r="1691" spans="1:41" ht="14.25" x14ac:dyDescent="0.2">
      <c r="A1691" s="2">
        <v>160204</v>
      </c>
      <c r="B1691" s="3" t="s">
        <v>300</v>
      </c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</row>
    <row r="1692" spans="1:41" ht="14.25" x14ac:dyDescent="0.2">
      <c r="A1692" s="2">
        <v>16020401</v>
      </c>
      <c r="B1692" s="3" t="s">
        <v>301</v>
      </c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</row>
    <row r="1693" spans="1:41" ht="14.25" x14ac:dyDescent="0.2">
      <c r="A1693" s="2">
        <v>16020402</v>
      </c>
      <c r="B1693" s="3" t="s">
        <v>302</v>
      </c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</row>
    <row r="1694" spans="1:41" ht="28.5" x14ac:dyDescent="0.2">
      <c r="A1694" s="2">
        <v>160205</v>
      </c>
      <c r="B1694" s="4" t="s">
        <v>303</v>
      </c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</row>
    <row r="1695" spans="1:41" ht="14.25" x14ac:dyDescent="0.2">
      <c r="A1695" s="2">
        <v>16020501</v>
      </c>
      <c r="B1695" s="3" t="s">
        <v>304</v>
      </c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</row>
    <row r="1696" spans="1:41" ht="14.25" x14ac:dyDescent="0.2">
      <c r="A1696" s="2">
        <v>16020502</v>
      </c>
      <c r="B1696" s="3" t="s">
        <v>305</v>
      </c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</row>
    <row r="1697" spans="1:41" x14ac:dyDescent="0.2">
      <c r="A1697" s="5">
        <v>160206</v>
      </c>
      <c r="B1697" s="6" t="s">
        <v>306</v>
      </c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</row>
    <row r="1698" spans="1:41" ht="14.25" x14ac:dyDescent="0.2">
      <c r="A1698" s="2">
        <v>160209</v>
      </c>
      <c r="B1698" s="3" t="s">
        <v>307</v>
      </c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</row>
    <row r="1699" spans="1:41" ht="14.25" x14ac:dyDescent="0.2">
      <c r="A1699" s="2">
        <v>1603</v>
      </c>
      <c r="B1699" s="3" t="s">
        <v>308</v>
      </c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</row>
    <row r="1700" spans="1:41" ht="14.25" x14ac:dyDescent="0.2">
      <c r="A1700" s="2">
        <v>160301</v>
      </c>
      <c r="B1700" s="3" t="s">
        <v>309</v>
      </c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</row>
    <row r="1701" spans="1:41" ht="14.25" x14ac:dyDescent="0.2">
      <c r="A1701" s="2">
        <v>160302</v>
      </c>
      <c r="B1701" s="3" t="s">
        <v>310</v>
      </c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</row>
    <row r="1702" spans="1:41" ht="14.25" x14ac:dyDescent="0.2">
      <c r="A1702" s="2">
        <v>160303</v>
      </c>
      <c r="B1702" s="3" t="s">
        <v>311</v>
      </c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9"/>
    </row>
    <row r="1703" spans="1:41" ht="14.25" x14ac:dyDescent="0.2">
      <c r="A1703" s="2">
        <v>160309</v>
      </c>
      <c r="B1703" s="3" t="s">
        <v>312</v>
      </c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</row>
    <row r="1704" spans="1:41" ht="42.75" x14ac:dyDescent="0.2">
      <c r="A1704" s="2">
        <v>1609</v>
      </c>
      <c r="B1704" s="4" t="s">
        <v>313</v>
      </c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  <c r="AM1704" s="11"/>
      <c r="AN1704" s="11"/>
      <c r="AO1704" s="11"/>
    </row>
    <row r="1705" spans="1:41" ht="14.25" x14ac:dyDescent="0.2">
      <c r="A1705" s="2">
        <v>160901</v>
      </c>
      <c r="B1705" s="3" t="s">
        <v>314</v>
      </c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</row>
    <row r="1706" spans="1:41" ht="14.25" x14ac:dyDescent="0.2">
      <c r="A1706" s="2">
        <v>160902</v>
      </c>
      <c r="B1706" s="3" t="s">
        <v>315</v>
      </c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</row>
    <row r="1707" spans="1:41" ht="14.25" x14ac:dyDescent="0.2">
      <c r="A1707" s="2">
        <v>160903</v>
      </c>
      <c r="B1707" s="3" t="s">
        <v>316</v>
      </c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</row>
    <row r="1708" spans="1:41" ht="14.25" x14ac:dyDescent="0.2">
      <c r="A1708" s="2">
        <v>17</v>
      </c>
      <c r="B1708" s="3" t="s">
        <v>317</v>
      </c>
      <c r="C1708" s="20">
        <f>+C1709</f>
        <v>4418915.91</v>
      </c>
      <c r="D1708" s="20">
        <f t="shared" ref="D1708:AO1708" si="30">+D1709</f>
        <v>4418915.91</v>
      </c>
      <c r="E1708" s="20">
        <f t="shared" si="30"/>
        <v>4418915.91</v>
      </c>
      <c r="F1708" s="20">
        <f t="shared" si="30"/>
        <v>4418915.91</v>
      </c>
      <c r="G1708" s="20">
        <f t="shared" si="30"/>
        <v>4418915.91</v>
      </c>
      <c r="H1708" s="20">
        <f t="shared" si="30"/>
        <v>4418915.91</v>
      </c>
      <c r="I1708" s="20">
        <f t="shared" si="30"/>
        <v>4418915.91</v>
      </c>
      <c r="J1708" s="20">
        <f t="shared" si="30"/>
        <v>4418915.91</v>
      </c>
      <c r="K1708" s="20">
        <f t="shared" si="30"/>
        <v>4418915.91</v>
      </c>
      <c r="L1708" s="20">
        <f t="shared" si="30"/>
        <v>4418915.91</v>
      </c>
      <c r="M1708" s="20">
        <f t="shared" si="30"/>
        <v>4418915.91</v>
      </c>
      <c r="N1708" s="20">
        <f t="shared" si="30"/>
        <v>4418915.91</v>
      </c>
      <c r="O1708" s="20">
        <f t="shared" si="30"/>
        <v>4418915.91</v>
      </c>
      <c r="P1708" s="20">
        <f t="shared" si="30"/>
        <v>4418915.91</v>
      </c>
      <c r="Q1708" s="20">
        <f t="shared" si="30"/>
        <v>4418915.91</v>
      </c>
      <c r="R1708" s="20">
        <f t="shared" si="30"/>
        <v>4418915.91</v>
      </c>
      <c r="S1708" s="20">
        <f t="shared" si="30"/>
        <v>4418915.91</v>
      </c>
      <c r="T1708" s="20">
        <f t="shared" si="30"/>
        <v>4418915.91</v>
      </c>
      <c r="U1708" s="20">
        <f t="shared" si="30"/>
        <v>4418915.91</v>
      </c>
      <c r="V1708" s="20">
        <f t="shared" si="30"/>
        <v>4418915.91</v>
      </c>
      <c r="W1708" s="20">
        <f t="shared" si="30"/>
        <v>4418915.91</v>
      </c>
      <c r="X1708" s="20">
        <f t="shared" si="30"/>
        <v>4418915.91</v>
      </c>
      <c r="Y1708" s="20">
        <f t="shared" si="30"/>
        <v>4418915.91</v>
      </c>
      <c r="Z1708" s="20">
        <f t="shared" si="30"/>
        <v>4418915.91</v>
      </c>
      <c r="AA1708" s="20">
        <f t="shared" si="30"/>
        <v>4418915.91</v>
      </c>
      <c r="AB1708" s="20">
        <f t="shared" si="30"/>
        <v>4418915.91</v>
      </c>
      <c r="AC1708" s="20">
        <f t="shared" si="30"/>
        <v>4418915.91</v>
      </c>
      <c r="AD1708" s="20">
        <f t="shared" si="30"/>
        <v>4418915.91</v>
      </c>
      <c r="AE1708" s="20">
        <f t="shared" si="30"/>
        <v>4418915.91</v>
      </c>
      <c r="AF1708" s="20">
        <f t="shared" si="30"/>
        <v>4418915.91</v>
      </c>
      <c r="AG1708" s="20">
        <f t="shared" si="30"/>
        <v>4418915.91</v>
      </c>
      <c r="AH1708" s="20">
        <f t="shared" si="30"/>
        <v>4418915.91</v>
      </c>
      <c r="AI1708" s="20">
        <f t="shared" si="30"/>
        <v>4418915.91</v>
      </c>
      <c r="AJ1708" s="20">
        <f t="shared" si="30"/>
        <v>4418915.91</v>
      </c>
      <c r="AK1708" s="20">
        <f t="shared" si="30"/>
        <v>4418915.91</v>
      </c>
      <c r="AL1708" s="20">
        <f t="shared" si="30"/>
        <v>4418915.91</v>
      </c>
      <c r="AM1708" s="20">
        <f t="shared" si="30"/>
        <v>4418915.91</v>
      </c>
      <c r="AN1708" s="20">
        <f t="shared" si="30"/>
        <v>4418915.91</v>
      </c>
      <c r="AO1708" s="20">
        <f t="shared" si="30"/>
        <v>14035699.33</v>
      </c>
    </row>
    <row r="1709" spans="1:41" ht="14.25" x14ac:dyDescent="0.2">
      <c r="A1709" s="2">
        <v>1701</v>
      </c>
      <c r="B1709" s="3" t="s">
        <v>318</v>
      </c>
      <c r="C1709" s="20">
        <f>+C1712+C1713+C1714</f>
        <v>4418915.91</v>
      </c>
      <c r="D1709" s="20">
        <f t="shared" ref="D1709:AO1709" si="31">+D1712+D1713+D1714</f>
        <v>4418915.91</v>
      </c>
      <c r="E1709" s="20">
        <f t="shared" si="31"/>
        <v>4418915.91</v>
      </c>
      <c r="F1709" s="20">
        <f t="shared" si="31"/>
        <v>4418915.91</v>
      </c>
      <c r="G1709" s="20">
        <f t="shared" si="31"/>
        <v>4418915.91</v>
      </c>
      <c r="H1709" s="20">
        <f t="shared" si="31"/>
        <v>4418915.91</v>
      </c>
      <c r="I1709" s="20">
        <f t="shared" si="31"/>
        <v>4418915.91</v>
      </c>
      <c r="J1709" s="20">
        <f t="shared" si="31"/>
        <v>4418915.91</v>
      </c>
      <c r="K1709" s="20">
        <f t="shared" si="31"/>
        <v>4418915.91</v>
      </c>
      <c r="L1709" s="20">
        <f t="shared" si="31"/>
        <v>4418915.91</v>
      </c>
      <c r="M1709" s="20">
        <f t="shared" si="31"/>
        <v>4418915.91</v>
      </c>
      <c r="N1709" s="20">
        <f t="shared" si="31"/>
        <v>4418915.91</v>
      </c>
      <c r="O1709" s="20">
        <f t="shared" si="31"/>
        <v>4418915.91</v>
      </c>
      <c r="P1709" s="20">
        <f t="shared" si="31"/>
        <v>4418915.91</v>
      </c>
      <c r="Q1709" s="20">
        <f t="shared" si="31"/>
        <v>4418915.91</v>
      </c>
      <c r="R1709" s="20">
        <f t="shared" si="31"/>
        <v>4418915.91</v>
      </c>
      <c r="S1709" s="20">
        <f t="shared" si="31"/>
        <v>4418915.91</v>
      </c>
      <c r="T1709" s="20">
        <f t="shared" si="31"/>
        <v>4418915.91</v>
      </c>
      <c r="U1709" s="20">
        <f t="shared" si="31"/>
        <v>4418915.91</v>
      </c>
      <c r="V1709" s="20">
        <f t="shared" si="31"/>
        <v>4418915.91</v>
      </c>
      <c r="W1709" s="20">
        <f t="shared" si="31"/>
        <v>4418915.91</v>
      </c>
      <c r="X1709" s="20">
        <f t="shared" si="31"/>
        <v>4418915.91</v>
      </c>
      <c r="Y1709" s="20">
        <f t="shared" si="31"/>
        <v>4418915.91</v>
      </c>
      <c r="Z1709" s="20">
        <f t="shared" si="31"/>
        <v>4418915.91</v>
      </c>
      <c r="AA1709" s="20">
        <f t="shared" si="31"/>
        <v>4418915.91</v>
      </c>
      <c r="AB1709" s="20">
        <f t="shared" si="31"/>
        <v>4418915.91</v>
      </c>
      <c r="AC1709" s="20">
        <f t="shared" si="31"/>
        <v>4418915.91</v>
      </c>
      <c r="AD1709" s="20">
        <f t="shared" si="31"/>
        <v>4418915.91</v>
      </c>
      <c r="AE1709" s="20">
        <f t="shared" si="31"/>
        <v>4418915.91</v>
      </c>
      <c r="AF1709" s="20">
        <f t="shared" si="31"/>
        <v>4418915.91</v>
      </c>
      <c r="AG1709" s="20">
        <f t="shared" si="31"/>
        <v>4418915.91</v>
      </c>
      <c r="AH1709" s="20">
        <f t="shared" si="31"/>
        <v>4418915.91</v>
      </c>
      <c r="AI1709" s="20">
        <f t="shared" si="31"/>
        <v>4418915.91</v>
      </c>
      <c r="AJ1709" s="20">
        <f t="shared" si="31"/>
        <v>4418915.91</v>
      </c>
      <c r="AK1709" s="20">
        <f t="shared" si="31"/>
        <v>4418915.91</v>
      </c>
      <c r="AL1709" s="20">
        <f t="shared" si="31"/>
        <v>4418915.91</v>
      </c>
      <c r="AM1709" s="20">
        <f t="shared" si="31"/>
        <v>4418915.91</v>
      </c>
      <c r="AN1709" s="20">
        <f t="shared" si="31"/>
        <v>4418915.91</v>
      </c>
      <c r="AO1709" s="20">
        <f t="shared" si="31"/>
        <v>14035699.33</v>
      </c>
    </row>
    <row r="1710" spans="1:41" ht="14.25" x14ac:dyDescent="0.2">
      <c r="A1710" s="2">
        <v>170101</v>
      </c>
      <c r="B1710" s="3" t="s">
        <v>319</v>
      </c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</row>
    <row r="1711" spans="1:41" ht="14.25" x14ac:dyDescent="0.2">
      <c r="A1711" s="2">
        <v>170102</v>
      </c>
      <c r="B1711" s="3" t="s">
        <v>320</v>
      </c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</row>
    <row r="1712" spans="1:41" s="15" customFormat="1" ht="14.25" x14ac:dyDescent="0.2">
      <c r="A1712" s="18" t="s">
        <v>1335</v>
      </c>
      <c r="B1712" s="19" t="s">
        <v>1336</v>
      </c>
      <c r="C1712" s="20">
        <v>4215729.83</v>
      </c>
      <c r="D1712" s="20">
        <v>4215729.83</v>
      </c>
      <c r="E1712" s="20">
        <v>4215729.83</v>
      </c>
      <c r="F1712" s="20">
        <v>4215729.83</v>
      </c>
      <c r="G1712" s="20">
        <v>4215729.83</v>
      </c>
      <c r="H1712" s="20">
        <v>4215729.83</v>
      </c>
      <c r="I1712" s="20">
        <v>4215729.83</v>
      </c>
      <c r="J1712" s="20">
        <v>4215729.83</v>
      </c>
      <c r="K1712" s="20">
        <v>4215729.83</v>
      </c>
      <c r="L1712" s="20">
        <v>4215729.83</v>
      </c>
      <c r="M1712" s="20">
        <v>4215729.83</v>
      </c>
      <c r="N1712" s="20">
        <v>4215729.83</v>
      </c>
      <c r="O1712" s="20">
        <v>4215729.83</v>
      </c>
      <c r="P1712" s="20">
        <v>4215729.83</v>
      </c>
      <c r="Q1712" s="20">
        <v>4215729.83</v>
      </c>
      <c r="R1712" s="20">
        <v>4215729.83</v>
      </c>
      <c r="S1712" s="20">
        <v>4215729.83</v>
      </c>
      <c r="T1712" s="20">
        <v>4215729.83</v>
      </c>
      <c r="U1712" s="20">
        <v>4215729.83</v>
      </c>
      <c r="V1712" s="20">
        <v>4215729.83</v>
      </c>
      <c r="W1712" s="20">
        <v>4215729.83</v>
      </c>
      <c r="X1712" s="20">
        <v>4215729.83</v>
      </c>
      <c r="Y1712" s="20">
        <v>4215729.83</v>
      </c>
      <c r="Z1712" s="20">
        <v>4215729.83</v>
      </c>
      <c r="AA1712" s="20">
        <v>4215729.83</v>
      </c>
      <c r="AB1712" s="20">
        <v>4215729.83</v>
      </c>
      <c r="AC1712" s="20">
        <v>4215729.83</v>
      </c>
      <c r="AD1712" s="20">
        <v>4215729.83</v>
      </c>
      <c r="AE1712" s="20">
        <v>4215729.83</v>
      </c>
      <c r="AF1712" s="20">
        <v>4215729.83</v>
      </c>
      <c r="AG1712" s="20">
        <v>4215729.83</v>
      </c>
      <c r="AH1712" s="20">
        <v>4215729.83</v>
      </c>
      <c r="AI1712" s="20">
        <v>4215729.83</v>
      </c>
      <c r="AJ1712" s="20">
        <v>4215729.83</v>
      </c>
      <c r="AK1712" s="20">
        <v>4215729.83</v>
      </c>
      <c r="AL1712" s="20">
        <v>4215729.83</v>
      </c>
      <c r="AM1712" s="20">
        <v>4215729.83</v>
      </c>
      <c r="AN1712" s="20">
        <v>4215729.83</v>
      </c>
      <c r="AO1712" s="20">
        <v>4507955.51</v>
      </c>
    </row>
    <row r="1713" spans="1:41" s="15" customFormat="1" ht="14.25" x14ac:dyDescent="0.2">
      <c r="A1713" s="18" t="s">
        <v>1337</v>
      </c>
      <c r="B1713" s="19" t="s">
        <v>1338</v>
      </c>
      <c r="C1713" s="20">
        <v>203186.08</v>
      </c>
      <c r="D1713" s="20">
        <v>203186.08</v>
      </c>
      <c r="E1713" s="20">
        <v>203186.08</v>
      </c>
      <c r="F1713" s="20">
        <v>203186.08</v>
      </c>
      <c r="G1713" s="20">
        <v>203186.08</v>
      </c>
      <c r="H1713" s="20">
        <v>203186.08</v>
      </c>
      <c r="I1713" s="20">
        <v>203186.08</v>
      </c>
      <c r="J1713" s="20">
        <v>203186.08</v>
      </c>
      <c r="K1713" s="20">
        <v>203186.08</v>
      </c>
      <c r="L1713" s="20">
        <v>203186.08</v>
      </c>
      <c r="M1713" s="20">
        <v>203186.08</v>
      </c>
      <c r="N1713" s="20">
        <v>203186.08</v>
      </c>
      <c r="O1713" s="20">
        <v>203186.08</v>
      </c>
      <c r="P1713" s="20">
        <v>203186.08</v>
      </c>
      <c r="Q1713" s="20">
        <v>203186.08</v>
      </c>
      <c r="R1713" s="20">
        <v>203186.08</v>
      </c>
      <c r="S1713" s="20">
        <v>203186.08</v>
      </c>
      <c r="T1713" s="20">
        <v>203186.08</v>
      </c>
      <c r="U1713" s="20">
        <v>203186.08</v>
      </c>
      <c r="V1713" s="20">
        <v>203186.08</v>
      </c>
      <c r="W1713" s="20">
        <v>203186.08</v>
      </c>
      <c r="X1713" s="20">
        <v>203186.08</v>
      </c>
      <c r="Y1713" s="20">
        <v>203186.08</v>
      </c>
      <c r="Z1713" s="20">
        <v>203186.08</v>
      </c>
      <c r="AA1713" s="20">
        <v>203186.08</v>
      </c>
      <c r="AB1713" s="20">
        <v>203186.08</v>
      </c>
      <c r="AC1713" s="20">
        <v>203186.08</v>
      </c>
      <c r="AD1713" s="20">
        <v>203186.08</v>
      </c>
      <c r="AE1713" s="20">
        <v>203186.08</v>
      </c>
      <c r="AF1713" s="20">
        <v>203186.08</v>
      </c>
      <c r="AG1713" s="20">
        <v>203186.08</v>
      </c>
      <c r="AH1713" s="20">
        <v>203186.08</v>
      </c>
      <c r="AI1713" s="20">
        <v>203186.08</v>
      </c>
      <c r="AJ1713" s="20">
        <v>203186.08</v>
      </c>
      <c r="AK1713" s="20">
        <v>203186.08</v>
      </c>
      <c r="AL1713" s="20">
        <v>203186.08</v>
      </c>
      <c r="AM1713" s="20">
        <v>203186.08</v>
      </c>
      <c r="AN1713" s="20">
        <v>203186.08</v>
      </c>
      <c r="AO1713" s="20">
        <v>203186.08</v>
      </c>
    </row>
    <row r="1714" spans="1:41" s="15" customFormat="1" ht="14.25" x14ac:dyDescent="0.2">
      <c r="A1714" s="18" t="s">
        <v>1339</v>
      </c>
      <c r="B1714" s="19" t="s">
        <v>1340</v>
      </c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0"/>
      <c r="S1714" s="20"/>
      <c r="T1714" s="20"/>
      <c r="U1714" s="20"/>
      <c r="V1714" s="20"/>
      <c r="W1714" s="20"/>
      <c r="X1714" s="20"/>
      <c r="Y1714" s="20"/>
      <c r="Z1714" s="20"/>
      <c r="AA1714" s="20"/>
      <c r="AB1714" s="20"/>
      <c r="AC1714" s="20"/>
      <c r="AD1714" s="20"/>
      <c r="AE1714" s="20"/>
      <c r="AF1714" s="20"/>
      <c r="AG1714" s="20"/>
      <c r="AH1714" s="20"/>
      <c r="AI1714" s="20"/>
      <c r="AJ1714" s="20"/>
      <c r="AK1714" s="20"/>
      <c r="AL1714" s="20"/>
      <c r="AM1714" s="20"/>
      <c r="AN1714" s="20"/>
      <c r="AO1714" s="20">
        <v>9324557.7400000002</v>
      </c>
    </row>
    <row r="1715" spans="1:41" ht="14.25" x14ac:dyDescent="0.2">
      <c r="A1715" s="2">
        <v>1702</v>
      </c>
      <c r="B1715" s="3" t="s">
        <v>321</v>
      </c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</row>
    <row r="1716" spans="1:41" ht="14.25" x14ac:dyDescent="0.2">
      <c r="A1716" s="2">
        <v>170201</v>
      </c>
      <c r="B1716" s="3" t="s">
        <v>319</v>
      </c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</row>
    <row r="1717" spans="1:41" ht="14.25" x14ac:dyDescent="0.2">
      <c r="A1717" s="2">
        <v>170202</v>
      </c>
      <c r="B1717" s="3" t="s">
        <v>320</v>
      </c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</row>
    <row r="1718" spans="1:41" ht="14.25" x14ac:dyDescent="0.2">
      <c r="A1718" s="2">
        <v>18</v>
      </c>
      <c r="B1718" s="3" t="s">
        <v>322</v>
      </c>
      <c r="C1718" s="20">
        <f t="shared" ref="C1718:AB1718" si="32">+C1719+C1737+C1749+C1771+C1789</f>
        <v>38632273.210000008</v>
      </c>
      <c r="D1718" s="20">
        <f t="shared" si="32"/>
        <v>38604199.200000003</v>
      </c>
      <c r="E1718" s="20">
        <f t="shared" si="32"/>
        <v>38583227.449999996</v>
      </c>
      <c r="F1718" s="20">
        <f t="shared" si="32"/>
        <v>38568766.329999998</v>
      </c>
      <c r="G1718" s="20">
        <f t="shared" si="32"/>
        <v>38568689.710000001</v>
      </c>
      <c r="H1718" s="20">
        <f t="shared" si="32"/>
        <v>38541121.860000007</v>
      </c>
      <c r="I1718" s="20">
        <f t="shared" si="32"/>
        <v>38508812.920000009</v>
      </c>
      <c r="J1718" s="20">
        <f t="shared" si="32"/>
        <v>38475590.45000001</v>
      </c>
      <c r="K1718" s="20">
        <f t="shared" si="32"/>
        <v>38444990.170000002</v>
      </c>
      <c r="L1718" s="20">
        <f t="shared" si="32"/>
        <v>38411283.969999999</v>
      </c>
      <c r="M1718" s="20">
        <f t="shared" si="32"/>
        <v>38378328.960000008</v>
      </c>
      <c r="N1718" s="20">
        <f t="shared" si="32"/>
        <v>38345275.299999997</v>
      </c>
      <c r="O1718" s="20">
        <f t="shared" si="32"/>
        <v>38343475.940000005</v>
      </c>
      <c r="P1718" s="20">
        <f t="shared" si="32"/>
        <v>38343644.369999997</v>
      </c>
      <c r="Q1718" s="20">
        <f t="shared" si="32"/>
        <v>38320778.119999997</v>
      </c>
      <c r="R1718" s="20">
        <f t="shared" si="32"/>
        <v>38302302.549999997</v>
      </c>
      <c r="S1718" s="20">
        <f t="shared" si="32"/>
        <v>38281793.920000009</v>
      </c>
      <c r="T1718" s="20">
        <f t="shared" si="32"/>
        <v>38259745.180000007</v>
      </c>
      <c r="U1718" s="20">
        <f t="shared" si="32"/>
        <v>38243411.130000003</v>
      </c>
      <c r="V1718" s="20">
        <f t="shared" si="32"/>
        <v>38223517.759999998</v>
      </c>
      <c r="W1718" s="20">
        <f t="shared" si="32"/>
        <v>38207854.120000005</v>
      </c>
      <c r="X1718" s="20">
        <f t="shared" si="32"/>
        <v>38223328.719999999</v>
      </c>
      <c r="Y1718" s="20">
        <f t="shared" si="32"/>
        <v>38223971.090000004</v>
      </c>
      <c r="Z1718" s="20">
        <f t="shared" si="32"/>
        <v>38165217.609999999</v>
      </c>
      <c r="AA1718" s="20">
        <f t="shared" si="32"/>
        <v>38165217.609999999</v>
      </c>
      <c r="AB1718" s="20">
        <f t="shared" si="32"/>
        <v>38169115.909999996</v>
      </c>
      <c r="AC1718" s="20">
        <f>+AC1719+AC1737+AC1749+AC1771+AC1789</f>
        <v>38100517.159999996</v>
      </c>
      <c r="AD1718" s="20">
        <f t="shared" ref="AD1718:AO1718" si="33">+AD1719+AD1737+AD1749+AD1771+AD1789</f>
        <v>38100517.159999996</v>
      </c>
      <c r="AE1718" s="20">
        <f t="shared" si="33"/>
        <v>38100517.159999996</v>
      </c>
      <c r="AF1718" s="20">
        <f t="shared" si="33"/>
        <v>38053246.5</v>
      </c>
      <c r="AG1718" s="20">
        <f t="shared" si="33"/>
        <v>38882078.180000007</v>
      </c>
      <c r="AH1718" s="20">
        <f t="shared" si="33"/>
        <v>38860537.390000001</v>
      </c>
      <c r="AI1718" s="20">
        <f t="shared" si="33"/>
        <v>38857778.029999994</v>
      </c>
      <c r="AJ1718" s="20">
        <f t="shared" si="33"/>
        <v>38880447.43</v>
      </c>
      <c r="AK1718" s="20">
        <f t="shared" si="33"/>
        <v>38859033.909999996</v>
      </c>
      <c r="AL1718" s="20">
        <f t="shared" si="33"/>
        <v>38840379.319999993</v>
      </c>
      <c r="AM1718" s="20">
        <f t="shared" si="33"/>
        <v>38824283.469999999</v>
      </c>
      <c r="AN1718" s="20">
        <f t="shared" si="33"/>
        <v>38805309.879999995</v>
      </c>
      <c r="AO1718" s="20">
        <f t="shared" si="33"/>
        <v>29586294.560000002</v>
      </c>
    </row>
    <row r="1719" spans="1:41" ht="14.25" x14ac:dyDescent="0.2">
      <c r="A1719" s="2">
        <v>1801</v>
      </c>
      <c r="B1719" s="3" t="s">
        <v>323</v>
      </c>
      <c r="C1719" s="20">
        <f>+C1720</f>
        <v>17795564.040000003</v>
      </c>
      <c r="D1719" s="20">
        <f t="shared" ref="D1719:AO1719" si="34">+D1720</f>
        <v>17795564.040000003</v>
      </c>
      <c r="E1719" s="20">
        <f t="shared" si="34"/>
        <v>17795564.040000003</v>
      </c>
      <c r="F1719" s="20">
        <f t="shared" si="34"/>
        <v>17795564.040000003</v>
      </c>
      <c r="G1719" s="20">
        <f t="shared" si="34"/>
        <v>17795564.040000003</v>
      </c>
      <c r="H1719" s="20">
        <f t="shared" si="34"/>
        <v>17795564.040000003</v>
      </c>
      <c r="I1719" s="20">
        <f t="shared" si="34"/>
        <v>17795564.040000003</v>
      </c>
      <c r="J1719" s="20">
        <f t="shared" si="34"/>
        <v>17795564.040000003</v>
      </c>
      <c r="K1719" s="20">
        <f t="shared" si="34"/>
        <v>17795564.040000003</v>
      </c>
      <c r="L1719" s="20">
        <f t="shared" si="34"/>
        <v>17795564.040000003</v>
      </c>
      <c r="M1719" s="20">
        <f t="shared" si="34"/>
        <v>17795564.040000003</v>
      </c>
      <c r="N1719" s="20">
        <f t="shared" si="34"/>
        <v>17795564.040000003</v>
      </c>
      <c r="O1719" s="20">
        <f t="shared" si="34"/>
        <v>17795564.040000003</v>
      </c>
      <c r="P1719" s="20">
        <f t="shared" si="34"/>
        <v>17795564.040000003</v>
      </c>
      <c r="Q1719" s="20">
        <f t="shared" si="34"/>
        <v>17795564.040000003</v>
      </c>
      <c r="R1719" s="20">
        <f t="shared" si="34"/>
        <v>17795564.040000003</v>
      </c>
      <c r="S1719" s="20">
        <f t="shared" si="34"/>
        <v>17795564.040000003</v>
      </c>
      <c r="T1719" s="20">
        <f t="shared" si="34"/>
        <v>17795564.040000003</v>
      </c>
      <c r="U1719" s="20">
        <f t="shared" si="34"/>
        <v>17795564.040000003</v>
      </c>
      <c r="V1719" s="20">
        <f t="shared" si="34"/>
        <v>17795564.040000003</v>
      </c>
      <c r="W1719" s="20">
        <f t="shared" si="34"/>
        <v>17795564.040000003</v>
      </c>
      <c r="X1719" s="20">
        <f t="shared" si="34"/>
        <v>17795564.040000003</v>
      </c>
      <c r="Y1719" s="20">
        <f t="shared" si="34"/>
        <v>17795564.040000003</v>
      </c>
      <c r="Z1719" s="20">
        <f t="shared" si="34"/>
        <v>17795564.040000003</v>
      </c>
      <c r="AA1719" s="20">
        <f t="shared" si="34"/>
        <v>17795564.040000003</v>
      </c>
      <c r="AB1719" s="20">
        <f t="shared" si="34"/>
        <v>17795564.040000003</v>
      </c>
      <c r="AC1719" s="20">
        <f t="shared" si="34"/>
        <v>17795564.040000003</v>
      </c>
      <c r="AD1719" s="20">
        <f t="shared" si="34"/>
        <v>17795564.040000003</v>
      </c>
      <c r="AE1719" s="20">
        <f t="shared" si="34"/>
        <v>17795564.040000003</v>
      </c>
      <c r="AF1719" s="20">
        <f t="shared" si="34"/>
        <v>17795564.040000003</v>
      </c>
      <c r="AG1719" s="20">
        <f t="shared" si="34"/>
        <v>18643766.629999999</v>
      </c>
      <c r="AH1719" s="20">
        <f t="shared" si="34"/>
        <v>18643766.629999999</v>
      </c>
      <c r="AI1719" s="20">
        <f t="shared" si="34"/>
        <v>18643766.629999999</v>
      </c>
      <c r="AJ1719" s="20">
        <f t="shared" si="34"/>
        <v>18643766.629999999</v>
      </c>
      <c r="AK1719" s="20">
        <f t="shared" si="34"/>
        <v>18643766.629999999</v>
      </c>
      <c r="AL1719" s="20">
        <f t="shared" si="34"/>
        <v>18643766.629999999</v>
      </c>
      <c r="AM1719" s="20">
        <f t="shared" si="34"/>
        <v>18643766.629999999</v>
      </c>
      <c r="AN1719" s="20">
        <f t="shared" si="34"/>
        <v>18643766.629999999</v>
      </c>
      <c r="AO1719" s="20">
        <f t="shared" si="34"/>
        <v>18159334.259999998</v>
      </c>
    </row>
    <row r="1720" spans="1:41" ht="14.25" x14ac:dyDescent="0.2">
      <c r="A1720" s="2">
        <v>180101</v>
      </c>
      <c r="B1720" s="3" t="s">
        <v>298</v>
      </c>
      <c r="C1720" s="20">
        <f>SUM(C1721:C1736)</f>
        <v>17795564.040000003</v>
      </c>
      <c r="D1720" s="20">
        <f t="shared" ref="D1720:AO1720" si="35">SUM(D1721:D1736)</f>
        <v>17795564.040000003</v>
      </c>
      <c r="E1720" s="20">
        <f t="shared" si="35"/>
        <v>17795564.040000003</v>
      </c>
      <c r="F1720" s="20">
        <f t="shared" si="35"/>
        <v>17795564.040000003</v>
      </c>
      <c r="G1720" s="20">
        <f t="shared" si="35"/>
        <v>17795564.040000003</v>
      </c>
      <c r="H1720" s="20">
        <f t="shared" si="35"/>
        <v>17795564.040000003</v>
      </c>
      <c r="I1720" s="20">
        <f t="shared" si="35"/>
        <v>17795564.040000003</v>
      </c>
      <c r="J1720" s="20">
        <f t="shared" si="35"/>
        <v>17795564.040000003</v>
      </c>
      <c r="K1720" s="20">
        <f t="shared" si="35"/>
        <v>17795564.040000003</v>
      </c>
      <c r="L1720" s="20">
        <f t="shared" si="35"/>
        <v>17795564.040000003</v>
      </c>
      <c r="M1720" s="20">
        <f t="shared" si="35"/>
        <v>17795564.040000003</v>
      </c>
      <c r="N1720" s="20">
        <f t="shared" si="35"/>
        <v>17795564.040000003</v>
      </c>
      <c r="O1720" s="20">
        <f t="shared" si="35"/>
        <v>17795564.040000003</v>
      </c>
      <c r="P1720" s="20">
        <f t="shared" si="35"/>
        <v>17795564.040000003</v>
      </c>
      <c r="Q1720" s="20">
        <f t="shared" si="35"/>
        <v>17795564.040000003</v>
      </c>
      <c r="R1720" s="20">
        <f t="shared" si="35"/>
        <v>17795564.040000003</v>
      </c>
      <c r="S1720" s="20">
        <f t="shared" si="35"/>
        <v>17795564.040000003</v>
      </c>
      <c r="T1720" s="20">
        <f t="shared" si="35"/>
        <v>17795564.040000003</v>
      </c>
      <c r="U1720" s="20">
        <f t="shared" si="35"/>
        <v>17795564.040000003</v>
      </c>
      <c r="V1720" s="20">
        <f t="shared" si="35"/>
        <v>17795564.040000003</v>
      </c>
      <c r="W1720" s="20">
        <f t="shared" si="35"/>
        <v>17795564.040000003</v>
      </c>
      <c r="X1720" s="20">
        <f t="shared" si="35"/>
        <v>17795564.040000003</v>
      </c>
      <c r="Y1720" s="20">
        <f t="shared" si="35"/>
        <v>17795564.040000003</v>
      </c>
      <c r="Z1720" s="20">
        <f t="shared" si="35"/>
        <v>17795564.040000003</v>
      </c>
      <c r="AA1720" s="20">
        <f t="shared" si="35"/>
        <v>17795564.040000003</v>
      </c>
      <c r="AB1720" s="20">
        <f t="shared" si="35"/>
        <v>17795564.040000003</v>
      </c>
      <c r="AC1720" s="20">
        <f t="shared" si="35"/>
        <v>17795564.040000003</v>
      </c>
      <c r="AD1720" s="20">
        <f t="shared" si="35"/>
        <v>17795564.040000003</v>
      </c>
      <c r="AE1720" s="20">
        <f t="shared" si="35"/>
        <v>17795564.040000003</v>
      </c>
      <c r="AF1720" s="20">
        <f t="shared" si="35"/>
        <v>17795564.040000003</v>
      </c>
      <c r="AG1720" s="20">
        <f t="shared" si="35"/>
        <v>18643766.629999999</v>
      </c>
      <c r="AH1720" s="20">
        <f t="shared" si="35"/>
        <v>18643766.629999999</v>
      </c>
      <c r="AI1720" s="20">
        <f t="shared" si="35"/>
        <v>18643766.629999999</v>
      </c>
      <c r="AJ1720" s="20">
        <f t="shared" si="35"/>
        <v>18643766.629999999</v>
      </c>
      <c r="AK1720" s="20">
        <f t="shared" si="35"/>
        <v>18643766.629999999</v>
      </c>
      <c r="AL1720" s="20">
        <f t="shared" si="35"/>
        <v>18643766.629999999</v>
      </c>
      <c r="AM1720" s="20">
        <f t="shared" si="35"/>
        <v>18643766.629999999</v>
      </c>
      <c r="AN1720" s="20">
        <f t="shared" si="35"/>
        <v>18643766.629999999</v>
      </c>
      <c r="AO1720" s="20">
        <f t="shared" si="35"/>
        <v>18159334.259999998</v>
      </c>
    </row>
    <row r="1721" spans="1:41" s="15" customFormat="1" ht="14.25" x14ac:dyDescent="0.2">
      <c r="A1721" s="18" t="s">
        <v>1341</v>
      </c>
      <c r="B1721" s="19" t="s">
        <v>1342</v>
      </c>
      <c r="C1721" s="20">
        <v>4823891.4400000004</v>
      </c>
      <c r="D1721" s="20">
        <v>4823891.4400000004</v>
      </c>
      <c r="E1721" s="20">
        <v>4823891.4400000004</v>
      </c>
      <c r="F1721" s="20">
        <v>4823891.4400000004</v>
      </c>
      <c r="G1721" s="20">
        <v>4823891.4400000004</v>
      </c>
      <c r="H1721" s="20">
        <v>4823891.4400000004</v>
      </c>
      <c r="I1721" s="20">
        <v>4823891.4400000004</v>
      </c>
      <c r="J1721" s="20">
        <v>4823891.4400000004</v>
      </c>
      <c r="K1721" s="20">
        <v>4823891.4400000004</v>
      </c>
      <c r="L1721" s="20">
        <v>4823891.4400000004</v>
      </c>
      <c r="M1721" s="20">
        <v>4823891.4400000004</v>
      </c>
      <c r="N1721" s="20">
        <v>4823891.4400000004</v>
      </c>
      <c r="O1721" s="20">
        <v>4823891.4400000004</v>
      </c>
      <c r="P1721" s="20">
        <v>4823891.4400000004</v>
      </c>
      <c r="Q1721" s="20">
        <v>4823891.4400000004</v>
      </c>
      <c r="R1721" s="20">
        <v>4823891.4400000004</v>
      </c>
      <c r="S1721" s="20">
        <v>4823891.4400000004</v>
      </c>
      <c r="T1721" s="20">
        <v>4823891.4400000004</v>
      </c>
      <c r="U1721" s="20">
        <v>4823891.4400000004</v>
      </c>
      <c r="V1721" s="20">
        <v>4823891.4400000004</v>
      </c>
      <c r="W1721" s="20">
        <v>4823891.4400000004</v>
      </c>
      <c r="X1721" s="20">
        <v>4823891.4400000004</v>
      </c>
      <c r="Y1721" s="20">
        <v>4823891.4400000004</v>
      </c>
      <c r="Z1721" s="20">
        <v>4823891.4400000004</v>
      </c>
      <c r="AA1721" s="20">
        <v>4823891.4400000004</v>
      </c>
      <c r="AB1721" s="20">
        <v>4823891.4400000004</v>
      </c>
      <c r="AC1721" s="20">
        <v>4823891.4400000004</v>
      </c>
      <c r="AD1721" s="20">
        <v>4823891.4400000004</v>
      </c>
      <c r="AE1721" s="20">
        <v>4823891.4400000004</v>
      </c>
      <c r="AF1721" s="20">
        <v>4823891.4400000004</v>
      </c>
      <c r="AG1721" s="20">
        <v>4823891.4400000004</v>
      </c>
      <c r="AH1721" s="20">
        <v>4823891.4400000004</v>
      </c>
      <c r="AI1721" s="20">
        <v>4823891.4400000004</v>
      </c>
      <c r="AJ1721" s="20">
        <v>4823891.4400000004</v>
      </c>
      <c r="AK1721" s="20">
        <v>4823891.4400000004</v>
      </c>
      <c r="AL1721" s="20">
        <v>4823891.4400000004</v>
      </c>
      <c r="AM1721" s="20">
        <v>4823891.4400000004</v>
      </c>
      <c r="AN1721" s="20">
        <v>4823891.4400000004</v>
      </c>
      <c r="AO1721" s="20">
        <v>4823891.4400000004</v>
      </c>
    </row>
    <row r="1722" spans="1:41" s="15" customFormat="1" ht="14.25" x14ac:dyDescent="0.2">
      <c r="A1722" s="18" t="s">
        <v>1343</v>
      </c>
      <c r="B1722" s="19" t="s">
        <v>1344</v>
      </c>
      <c r="C1722" s="20">
        <v>5134366.2699999996</v>
      </c>
      <c r="D1722" s="20">
        <v>5134366.2699999996</v>
      </c>
      <c r="E1722" s="20">
        <v>5134366.2699999996</v>
      </c>
      <c r="F1722" s="20">
        <v>5134366.2699999996</v>
      </c>
      <c r="G1722" s="20">
        <v>5134366.2699999996</v>
      </c>
      <c r="H1722" s="20">
        <v>5134366.2699999996</v>
      </c>
      <c r="I1722" s="20">
        <v>5134366.2699999996</v>
      </c>
      <c r="J1722" s="20">
        <v>5134366.2699999996</v>
      </c>
      <c r="K1722" s="20">
        <v>5134366.2699999996</v>
      </c>
      <c r="L1722" s="20">
        <v>5134366.2699999996</v>
      </c>
      <c r="M1722" s="20">
        <v>5134366.2699999996</v>
      </c>
      <c r="N1722" s="20">
        <v>5134366.2699999996</v>
      </c>
      <c r="O1722" s="20">
        <v>5134366.2699999996</v>
      </c>
      <c r="P1722" s="20">
        <v>5134366.2699999996</v>
      </c>
      <c r="Q1722" s="20">
        <v>5134366.2699999996</v>
      </c>
      <c r="R1722" s="20">
        <v>5134366.2699999996</v>
      </c>
      <c r="S1722" s="20">
        <v>5134366.2699999996</v>
      </c>
      <c r="T1722" s="20">
        <v>5134366.2699999996</v>
      </c>
      <c r="U1722" s="20">
        <v>5134366.2699999996</v>
      </c>
      <c r="V1722" s="20">
        <v>5134366.2699999996</v>
      </c>
      <c r="W1722" s="20">
        <v>5134366.2699999996</v>
      </c>
      <c r="X1722" s="20">
        <v>5134366.2699999996</v>
      </c>
      <c r="Y1722" s="20">
        <v>5134366.2699999996</v>
      </c>
      <c r="Z1722" s="20">
        <v>5134366.2699999996</v>
      </c>
      <c r="AA1722" s="20">
        <v>5134366.2699999996</v>
      </c>
      <c r="AB1722" s="20">
        <v>5134366.2699999996</v>
      </c>
      <c r="AC1722" s="20">
        <v>5134366.2699999996</v>
      </c>
      <c r="AD1722" s="20">
        <v>5134366.2699999996</v>
      </c>
      <c r="AE1722" s="20">
        <v>5134366.2699999996</v>
      </c>
      <c r="AF1722" s="20">
        <v>5134366.2699999996</v>
      </c>
      <c r="AG1722" s="20">
        <v>5134366.2699999996</v>
      </c>
      <c r="AH1722" s="20">
        <v>5134366.2699999996</v>
      </c>
      <c r="AI1722" s="20">
        <v>5134366.2699999996</v>
      </c>
      <c r="AJ1722" s="20">
        <v>5134366.2699999996</v>
      </c>
      <c r="AK1722" s="20">
        <v>5134366.2699999996</v>
      </c>
      <c r="AL1722" s="20">
        <v>5134366.2699999996</v>
      </c>
      <c r="AM1722" s="20">
        <v>5134366.2699999996</v>
      </c>
      <c r="AN1722" s="20">
        <v>5134366.2699999996</v>
      </c>
      <c r="AO1722" s="20">
        <v>5134366.2699999996</v>
      </c>
    </row>
    <row r="1723" spans="1:41" s="15" customFormat="1" ht="14.25" x14ac:dyDescent="0.2">
      <c r="A1723" s="18" t="s">
        <v>1345</v>
      </c>
      <c r="B1723" s="19" t="s">
        <v>1346</v>
      </c>
      <c r="C1723" s="20">
        <v>344115</v>
      </c>
      <c r="D1723" s="20">
        <v>344115</v>
      </c>
      <c r="E1723" s="20">
        <v>344115</v>
      </c>
      <c r="F1723" s="20">
        <v>344115</v>
      </c>
      <c r="G1723" s="20">
        <v>344115</v>
      </c>
      <c r="H1723" s="20">
        <v>344115</v>
      </c>
      <c r="I1723" s="20">
        <v>344115</v>
      </c>
      <c r="J1723" s="20">
        <v>344115</v>
      </c>
      <c r="K1723" s="20">
        <v>344115</v>
      </c>
      <c r="L1723" s="20">
        <v>344115</v>
      </c>
      <c r="M1723" s="20">
        <v>344115</v>
      </c>
      <c r="N1723" s="20">
        <v>344115</v>
      </c>
      <c r="O1723" s="20">
        <v>344115</v>
      </c>
      <c r="P1723" s="20">
        <v>344115</v>
      </c>
      <c r="Q1723" s="20">
        <v>344115</v>
      </c>
      <c r="R1723" s="20">
        <v>344115</v>
      </c>
      <c r="S1723" s="20">
        <v>344115</v>
      </c>
      <c r="T1723" s="20">
        <v>344115</v>
      </c>
      <c r="U1723" s="20">
        <v>344115</v>
      </c>
      <c r="V1723" s="20">
        <v>344115</v>
      </c>
      <c r="W1723" s="20">
        <v>344115</v>
      </c>
      <c r="X1723" s="20">
        <v>344115</v>
      </c>
      <c r="Y1723" s="20">
        <v>344115</v>
      </c>
      <c r="Z1723" s="20">
        <v>344115</v>
      </c>
      <c r="AA1723" s="20">
        <v>344115</v>
      </c>
      <c r="AB1723" s="20">
        <v>344115</v>
      </c>
      <c r="AC1723" s="20">
        <v>344115</v>
      </c>
      <c r="AD1723" s="20">
        <v>344115</v>
      </c>
      <c r="AE1723" s="20">
        <v>344115</v>
      </c>
      <c r="AF1723" s="20">
        <v>344115</v>
      </c>
      <c r="AG1723" s="20">
        <v>344115</v>
      </c>
      <c r="AH1723" s="20">
        <v>344115</v>
      </c>
      <c r="AI1723" s="20">
        <v>344115</v>
      </c>
      <c r="AJ1723" s="20">
        <v>344115</v>
      </c>
      <c r="AK1723" s="20">
        <v>344115</v>
      </c>
      <c r="AL1723" s="20">
        <v>344115</v>
      </c>
      <c r="AM1723" s="20">
        <v>344115</v>
      </c>
      <c r="AN1723" s="20">
        <v>344115</v>
      </c>
      <c r="AO1723" s="20">
        <v>344115</v>
      </c>
    </row>
    <row r="1724" spans="1:41" s="15" customFormat="1" ht="14.25" x14ac:dyDescent="0.2">
      <c r="A1724" s="18" t="s">
        <v>1347</v>
      </c>
      <c r="B1724" s="19" t="s">
        <v>1348</v>
      </c>
      <c r="C1724" s="20">
        <v>432692.75</v>
      </c>
      <c r="D1724" s="20">
        <v>432692.75</v>
      </c>
      <c r="E1724" s="20">
        <v>432692.75</v>
      </c>
      <c r="F1724" s="20">
        <v>432692.75</v>
      </c>
      <c r="G1724" s="20">
        <v>432692.75</v>
      </c>
      <c r="H1724" s="20">
        <v>432692.75</v>
      </c>
      <c r="I1724" s="20">
        <v>432692.75</v>
      </c>
      <c r="J1724" s="20">
        <v>432692.75</v>
      </c>
      <c r="K1724" s="20">
        <v>432692.75</v>
      </c>
      <c r="L1724" s="20">
        <v>432692.75</v>
      </c>
      <c r="M1724" s="20">
        <v>432692.75</v>
      </c>
      <c r="N1724" s="20">
        <v>432692.75</v>
      </c>
      <c r="O1724" s="20">
        <v>432692.75</v>
      </c>
      <c r="P1724" s="20">
        <v>432692.75</v>
      </c>
      <c r="Q1724" s="20">
        <v>432692.75</v>
      </c>
      <c r="R1724" s="20">
        <v>432692.75</v>
      </c>
      <c r="S1724" s="20">
        <v>432692.75</v>
      </c>
      <c r="T1724" s="20">
        <v>432692.75</v>
      </c>
      <c r="U1724" s="20">
        <v>432692.75</v>
      </c>
      <c r="V1724" s="20">
        <v>432692.75</v>
      </c>
      <c r="W1724" s="20">
        <v>432692.75</v>
      </c>
      <c r="X1724" s="20">
        <v>432692.75</v>
      </c>
      <c r="Y1724" s="20">
        <v>432692.75</v>
      </c>
      <c r="Z1724" s="20">
        <v>432692.75</v>
      </c>
      <c r="AA1724" s="20">
        <v>432692.75</v>
      </c>
      <c r="AB1724" s="20">
        <v>432692.75</v>
      </c>
      <c r="AC1724" s="20">
        <v>432692.75</v>
      </c>
      <c r="AD1724" s="20">
        <v>432692.75</v>
      </c>
      <c r="AE1724" s="20">
        <v>432692.75</v>
      </c>
      <c r="AF1724" s="20">
        <v>432692.75</v>
      </c>
      <c r="AG1724" s="20">
        <v>432692.75</v>
      </c>
      <c r="AH1724" s="20">
        <v>432692.75</v>
      </c>
      <c r="AI1724" s="20">
        <v>432692.75</v>
      </c>
      <c r="AJ1724" s="20">
        <v>432692.75</v>
      </c>
      <c r="AK1724" s="20">
        <v>432692.75</v>
      </c>
      <c r="AL1724" s="20">
        <v>432692.75</v>
      </c>
      <c r="AM1724" s="20">
        <v>432692.75</v>
      </c>
      <c r="AN1724" s="20">
        <v>432692.75</v>
      </c>
      <c r="AO1724" s="20">
        <v>432692.75</v>
      </c>
    </row>
    <row r="1725" spans="1:41" s="15" customFormat="1" ht="14.25" x14ac:dyDescent="0.2">
      <c r="A1725" s="18" t="s">
        <v>1349</v>
      </c>
      <c r="B1725" s="19" t="s">
        <v>1350</v>
      </c>
      <c r="C1725" s="20">
        <v>616596.09</v>
      </c>
      <c r="D1725" s="20">
        <v>616596.09</v>
      </c>
      <c r="E1725" s="20">
        <v>616596.09</v>
      </c>
      <c r="F1725" s="20">
        <v>616596.09</v>
      </c>
      <c r="G1725" s="20">
        <v>616596.09</v>
      </c>
      <c r="H1725" s="20">
        <v>616596.09</v>
      </c>
      <c r="I1725" s="20">
        <v>616596.09</v>
      </c>
      <c r="J1725" s="20">
        <v>616596.09</v>
      </c>
      <c r="K1725" s="20">
        <v>616596.09</v>
      </c>
      <c r="L1725" s="20">
        <v>616596.09</v>
      </c>
      <c r="M1725" s="20">
        <v>616596.09</v>
      </c>
      <c r="N1725" s="20">
        <v>616596.09</v>
      </c>
      <c r="O1725" s="20">
        <v>616596.09</v>
      </c>
      <c r="P1725" s="20">
        <v>616596.09</v>
      </c>
      <c r="Q1725" s="20">
        <v>616596.09</v>
      </c>
      <c r="R1725" s="20">
        <v>616596.09</v>
      </c>
      <c r="S1725" s="20">
        <v>616596.09</v>
      </c>
      <c r="T1725" s="20">
        <v>616596.09</v>
      </c>
      <c r="U1725" s="20">
        <v>616596.09</v>
      </c>
      <c r="V1725" s="20">
        <v>616596.09</v>
      </c>
      <c r="W1725" s="20">
        <v>616596.09</v>
      </c>
      <c r="X1725" s="20">
        <v>616596.09</v>
      </c>
      <c r="Y1725" s="20">
        <v>616596.09</v>
      </c>
      <c r="Z1725" s="20">
        <v>616596.09</v>
      </c>
      <c r="AA1725" s="20">
        <v>616596.09</v>
      </c>
      <c r="AB1725" s="20">
        <v>616596.09</v>
      </c>
      <c r="AC1725" s="20">
        <v>616596.09</v>
      </c>
      <c r="AD1725" s="20">
        <v>616596.09</v>
      </c>
      <c r="AE1725" s="20">
        <v>616596.09</v>
      </c>
      <c r="AF1725" s="20">
        <v>616596.09</v>
      </c>
      <c r="AG1725" s="20">
        <v>616596.09</v>
      </c>
      <c r="AH1725" s="20">
        <v>616596.09</v>
      </c>
      <c r="AI1725" s="20">
        <v>616596.09</v>
      </c>
      <c r="AJ1725" s="20">
        <v>616596.09</v>
      </c>
      <c r="AK1725" s="20">
        <v>616596.09</v>
      </c>
      <c r="AL1725" s="20">
        <v>616596.09</v>
      </c>
      <c r="AM1725" s="20">
        <v>616596.09</v>
      </c>
      <c r="AN1725" s="20">
        <v>616596.09</v>
      </c>
      <c r="AO1725" s="20">
        <v>616596.09</v>
      </c>
    </row>
    <row r="1726" spans="1:41" s="15" customFormat="1" ht="14.25" x14ac:dyDescent="0.2">
      <c r="A1726" s="18" t="s">
        <v>1351</v>
      </c>
      <c r="B1726" s="19" t="s">
        <v>1352</v>
      </c>
      <c r="C1726" s="20">
        <v>97515.82</v>
      </c>
      <c r="D1726" s="20">
        <v>97515.82</v>
      </c>
      <c r="E1726" s="20">
        <v>97515.82</v>
      </c>
      <c r="F1726" s="20">
        <v>97515.82</v>
      </c>
      <c r="G1726" s="20">
        <v>97515.82</v>
      </c>
      <c r="H1726" s="20">
        <v>97515.82</v>
      </c>
      <c r="I1726" s="20">
        <v>97515.82</v>
      </c>
      <c r="J1726" s="20">
        <v>97515.82</v>
      </c>
      <c r="K1726" s="20">
        <v>97515.82</v>
      </c>
      <c r="L1726" s="20">
        <v>97515.82</v>
      </c>
      <c r="M1726" s="20">
        <v>97515.82</v>
      </c>
      <c r="N1726" s="20">
        <v>97515.82</v>
      </c>
      <c r="O1726" s="20">
        <v>97515.82</v>
      </c>
      <c r="P1726" s="20">
        <v>97515.82</v>
      </c>
      <c r="Q1726" s="20">
        <v>97515.82</v>
      </c>
      <c r="R1726" s="20">
        <v>97515.82</v>
      </c>
      <c r="S1726" s="20">
        <v>97515.82</v>
      </c>
      <c r="T1726" s="20">
        <v>97515.82</v>
      </c>
      <c r="U1726" s="20">
        <v>97515.82</v>
      </c>
      <c r="V1726" s="20">
        <v>97515.82</v>
      </c>
      <c r="W1726" s="20">
        <v>97515.82</v>
      </c>
      <c r="X1726" s="20">
        <v>97515.82</v>
      </c>
      <c r="Y1726" s="20">
        <v>97515.82</v>
      </c>
      <c r="Z1726" s="20">
        <v>97515.82</v>
      </c>
      <c r="AA1726" s="20">
        <v>97515.82</v>
      </c>
      <c r="AB1726" s="20">
        <v>97515.82</v>
      </c>
      <c r="AC1726" s="20">
        <v>97515.82</v>
      </c>
      <c r="AD1726" s="20">
        <v>97515.82</v>
      </c>
      <c r="AE1726" s="20">
        <v>97515.82</v>
      </c>
      <c r="AF1726" s="20">
        <v>97515.82</v>
      </c>
      <c r="AG1726" s="20">
        <v>97515.82</v>
      </c>
      <c r="AH1726" s="20">
        <v>97515.82</v>
      </c>
      <c r="AI1726" s="20">
        <v>97515.82</v>
      </c>
      <c r="AJ1726" s="20">
        <v>97515.82</v>
      </c>
      <c r="AK1726" s="20">
        <v>97515.82</v>
      </c>
      <c r="AL1726" s="20">
        <v>97515.82</v>
      </c>
      <c r="AM1726" s="20">
        <v>97515.82</v>
      </c>
      <c r="AN1726" s="20">
        <v>97515.82</v>
      </c>
      <c r="AO1726" s="20">
        <v>97515.82</v>
      </c>
    </row>
    <row r="1727" spans="1:41" s="15" customFormat="1" ht="14.25" x14ac:dyDescent="0.2">
      <c r="A1727" s="18" t="s">
        <v>1353</v>
      </c>
      <c r="B1727" s="19" t="s">
        <v>1354</v>
      </c>
      <c r="C1727" s="20">
        <v>484432.37</v>
      </c>
      <c r="D1727" s="20">
        <v>484432.37</v>
      </c>
      <c r="E1727" s="20">
        <v>484432.37</v>
      </c>
      <c r="F1727" s="20">
        <v>484432.37</v>
      </c>
      <c r="G1727" s="20">
        <v>484432.37</v>
      </c>
      <c r="H1727" s="20">
        <v>484432.37</v>
      </c>
      <c r="I1727" s="20">
        <v>484432.37</v>
      </c>
      <c r="J1727" s="20">
        <v>484432.37</v>
      </c>
      <c r="K1727" s="20">
        <v>484432.37</v>
      </c>
      <c r="L1727" s="20">
        <v>484432.37</v>
      </c>
      <c r="M1727" s="20">
        <v>484432.37</v>
      </c>
      <c r="N1727" s="20">
        <v>484432.37</v>
      </c>
      <c r="O1727" s="20">
        <v>484432.37</v>
      </c>
      <c r="P1727" s="20">
        <v>484432.37</v>
      </c>
      <c r="Q1727" s="20">
        <v>484432.37</v>
      </c>
      <c r="R1727" s="20">
        <v>484432.37</v>
      </c>
      <c r="S1727" s="20">
        <v>484432.37</v>
      </c>
      <c r="T1727" s="20">
        <v>484432.37</v>
      </c>
      <c r="U1727" s="20">
        <v>484432.37</v>
      </c>
      <c r="V1727" s="20">
        <v>484432.37</v>
      </c>
      <c r="W1727" s="20">
        <v>484432.37</v>
      </c>
      <c r="X1727" s="20">
        <v>484432.37</v>
      </c>
      <c r="Y1727" s="20">
        <v>484432.37</v>
      </c>
      <c r="Z1727" s="20">
        <v>484432.37</v>
      </c>
      <c r="AA1727" s="20">
        <v>484432.37</v>
      </c>
      <c r="AB1727" s="20">
        <v>484432.37</v>
      </c>
      <c r="AC1727" s="20">
        <v>484432.37</v>
      </c>
      <c r="AD1727" s="20">
        <v>484432.37</v>
      </c>
      <c r="AE1727" s="20">
        <v>484432.37</v>
      </c>
      <c r="AF1727" s="20">
        <v>484432.37</v>
      </c>
      <c r="AG1727" s="20">
        <v>484432.37</v>
      </c>
      <c r="AH1727" s="20">
        <v>484432.37</v>
      </c>
      <c r="AI1727" s="20">
        <v>484432.37</v>
      </c>
      <c r="AJ1727" s="20">
        <v>484432.37</v>
      </c>
      <c r="AK1727" s="20">
        <v>484432.37</v>
      </c>
      <c r="AL1727" s="20">
        <v>484432.37</v>
      </c>
      <c r="AM1727" s="20">
        <v>484432.37</v>
      </c>
      <c r="AN1727" s="20">
        <v>484432.37</v>
      </c>
      <c r="AO1727" s="20">
        <v>0</v>
      </c>
    </row>
    <row r="1728" spans="1:41" s="15" customFormat="1" ht="14.25" x14ac:dyDescent="0.2">
      <c r="A1728" s="18" t="s">
        <v>1355</v>
      </c>
      <c r="B1728" s="19" t="s">
        <v>1356</v>
      </c>
      <c r="C1728" s="20">
        <v>563885.81000000006</v>
      </c>
      <c r="D1728" s="20">
        <v>563885.81000000006</v>
      </c>
      <c r="E1728" s="20">
        <v>563885.81000000006</v>
      </c>
      <c r="F1728" s="20">
        <v>563885.81000000006</v>
      </c>
      <c r="G1728" s="20">
        <v>563885.81000000006</v>
      </c>
      <c r="H1728" s="20">
        <v>563885.81000000006</v>
      </c>
      <c r="I1728" s="20">
        <v>563885.81000000006</v>
      </c>
      <c r="J1728" s="20">
        <v>563885.81000000006</v>
      </c>
      <c r="K1728" s="20">
        <v>563885.81000000006</v>
      </c>
      <c r="L1728" s="20">
        <v>563885.81000000006</v>
      </c>
      <c r="M1728" s="20">
        <v>563885.81000000006</v>
      </c>
      <c r="N1728" s="20">
        <v>563885.81000000006</v>
      </c>
      <c r="O1728" s="20">
        <v>563885.81000000006</v>
      </c>
      <c r="P1728" s="20">
        <v>563885.81000000006</v>
      </c>
      <c r="Q1728" s="20">
        <v>563885.81000000006</v>
      </c>
      <c r="R1728" s="20">
        <v>563885.81000000006</v>
      </c>
      <c r="S1728" s="20">
        <v>563885.81000000006</v>
      </c>
      <c r="T1728" s="20">
        <v>563885.81000000006</v>
      </c>
      <c r="U1728" s="20">
        <v>563885.81000000006</v>
      </c>
      <c r="V1728" s="20">
        <v>563885.81000000006</v>
      </c>
      <c r="W1728" s="20">
        <v>563885.81000000006</v>
      </c>
      <c r="X1728" s="20">
        <v>563885.81000000006</v>
      </c>
      <c r="Y1728" s="20">
        <v>563885.81000000006</v>
      </c>
      <c r="Z1728" s="20">
        <v>563885.81000000006</v>
      </c>
      <c r="AA1728" s="20">
        <v>563885.81000000006</v>
      </c>
      <c r="AB1728" s="20">
        <v>563885.81000000006</v>
      </c>
      <c r="AC1728" s="20">
        <v>563885.81000000006</v>
      </c>
      <c r="AD1728" s="20">
        <v>563885.81000000006</v>
      </c>
      <c r="AE1728" s="20">
        <v>563885.81000000006</v>
      </c>
      <c r="AF1728" s="20">
        <v>563885.81000000006</v>
      </c>
      <c r="AG1728" s="20">
        <v>563885.81000000006</v>
      </c>
      <c r="AH1728" s="20">
        <v>563885.81000000006</v>
      </c>
      <c r="AI1728" s="20">
        <v>563885.81000000006</v>
      </c>
      <c r="AJ1728" s="20">
        <v>563885.81000000006</v>
      </c>
      <c r="AK1728" s="20">
        <v>563885.81000000006</v>
      </c>
      <c r="AL1728" s="20">
        <v>563885.81000000006</v>
      </c>
      <c r="AM1728" s="20">
        <v>563885.81000000006</v>
      </c>
      <c r="AN1728" s="20">
        <v>563885.81000000006</v>
      </c>
      <c r="AO1728" s="20">
        <v>563885.81000000006</v>
      </c>
    </row>
    <row r="1729" spans="1:41" s="15" customFormat="1" ht="14.25" x14ac:dyDescent="0.2">
      <c r="A1729" s="18" t="s">
        <v>1357</v>
      </c>
      <c r="B1729" s="19" t="s">
        <v>1358</v>
      </c>
      <c r="C1729" s="20">
        <v>3272951.71</v>
      </c>
      <c r="D1729" s="20">
        <v>3272951.71</v>
      </c>
      <c r="E1729" s="20">
        <v>3272951.71</v>
      </c>
      <c r="F1729" s="20">
        <v>3272951.71</v>
      </c>
      <c r="G1729" s="20">
        <v>3272951.71</v>
      </c>
      <c r="H1729" s="20">
        <v>3272951.71</v>
      </c>
      <c r="I1729" s="20">
        <v>3272951.71</v>
      </c>
      <c r="J1729" s="20">
        <v>3272951.71</v>
      </c>
      <c r="K1729" s="20">
        <v>3272951.71</v>
      </c>
      <c r="L1729" s="20">
        <v>3272951.71</v>
      </c>
      <c r="M1729" s="20">
        <v>3272951.71</v>
      </c>
      <c r="N1729" s="20">
        <v>3272951.71</v>
      </c>
      <c r="O1729" s="20">
        <v>3272951.71</v>
      </c>
      <c r="P1729" s="20">
        <v>3272951.71</v>
      </c>
      <c r="Q1729" s="20">
        <v>3272951.71</v>
      </c>
      <c r="R1729" s="20">
        <v>3272951.71</v>
      </c>
      <c r="S1729" s="20">
        <v>3272951.71</v>
      </c>
      <c r="T1729" s="20">
        <v>3272951.71</v>
      </c>
      <c r="U1729" s="20">
        <v>3272951.71</v>
      </c>
      <c r="V1729" s="20">
        <v>3272951.71</v>
      </c>
      <c r="W1729" s="20">
        <v>3272951.71</v>
      </c>
      <c r="X1729" s="20">
        <v>3272951.71</v>
      </c>
      <c r="Y1729" s="20">
        <v>3272951.71</v>
      </c>
      <c r="Z1729" s="20">
        <v>3272951.71</v>
      </c>
      <c r="AA1729" s="20">
        <v>3272951.71</v>
      </c>
      <c r="AB1729" s="20">
        <v>3272951.71</v>
      </c>
      <c r="AC1729" s="20">
        <v>3272951.71</v>
      </c>
      <c r="AD1729" s="20">
        <v>3272951.71</v>
      </c>
      <c r="AE1729" s="20">
        <v>3272951.71</v>
      </c>
      <c r="AF1729" s="20">
        <v>3272951.71</v>
      </c>
      <c r="AG1729" s="20">
        <v>3272951.71</v>
      </c>
      <c r="AH1729" s="20">
        <v>3272951.71</v>
      </c>
      <c r="AI1729" s="20">
        <v>3272951.71</v>
      </c>
      <c r="AJ1729" s="20">
        <v>3272951.71</v>
      </c>
      <c r="AK1729" s="20">
        <v>3272951.71</v>
      </c>
      <c r="AL1729" s="20">
        <v>3272951.71</v>
      </c>
      <c r="AM1729" s="20">
        <v>3272951.71</v>
      </c>
      <c r="AN1729" s="20">
        <v>3272951.71</v>
      </c>
      <c r="AO1729" s="20">
        <v>3272951.71</v>
      </c>
    </row>
    <row r="1730" spans="1:41" s="15" customFormat="1" ht="14.25" x14ac:dyDescent="0.2">
      <c r="A1730" s="18" t="s">
        <v>1359</v>
      </c>
      <c r="B1730" s="19" t="s">
        <v>1360</v>
      </c>
      <c r="C1730" s="20">
        <v>2025116.78</v>
      </c>
      <c r="D1730" s="20">
        <v>2025116.78</v>
      </c>
      <c r="E1730" s="20">
        <v>2025116.78</v>
      </c>
      <c r="F1730" s="20">
        <v>2025116.78</v>
      </c>
      <c r="G1730" s="20">
        <v>2025116.78</v>
      </c>
      <c r="H1730" s="20">
        <v>2025116.78</v>
      </c>
      <c r="I1730" s="20">
        <v>2025116.78</v>
      </c>
      <c r="J1730" s="20">
        <v>2025116.78</v>
      </c>
      <c r="K1730" s="20">
        <v>2025116.78</v>
      </c>
      <c r="L1730" s="20">
        <v>2025116.78</v>
      </c>
      <c r="M1730" s="20">
        <v>2025116.78</v>
      </c>
      <c r="N1730" s="20">
        <v>2025116.78</v>
      </c>
      <c r="O1730" s="20">
        <v>2025116.78</v>
      </c>
      <c r="P1730" s="20">
        <v>2025116.78</v>
      </c>
      <c r="Q1730" s="20">
        <v>2025116.78</v>
      </c>
      <c r="R1730" s="20">
        <v>2025116.78</v>
      </c>
      <c r="S1730" s="20">
        <v>2025116.78</v>
      </c>
      <c r="T1730" s="20">
        <v>2025116.78</v>
      </c>
      <c r="U1730" s="20">
        <v>2025116.78</v>
      </c>
      <c r="V1730" s="20">
        <v>2025116.78</v>
      </c>
      <c r="W1730" s="20">
        <v>2025116.78</v>
      </c>
      <c r="X1730" s="20">
        <v>2025116.78</v>
      </c>
      <c r="Y1730" s="20">
        <v>2025116.78</v>
      </c>
      <c r="Z1730" s="20">
        <v>2025116.78</v>
      </c>
      <c r="AA1730" s="20">
        <v>2025116.78</v>
      </c>
      <c r="AB1730" s="20">
        <v>2025116.78</v>
      </c>
      <c r="AC1730" s="20">
        <v>2025116.78</v>
      </c>
      <c r="AD1730" s="20">
        <v>2025116.78</v>
      </c>
      <c r="AE1730" s="20">
        <v>2025116.78</v>
      </c>
      <c r="AF1730" s="20">
        <v>2025116.78</v>
      </c>
      <c r="AG1730" s="20">
        <v>2025116.78</v>
      </c>
      <c r="AH1730" s="20">
        <v>2025116.78</v>
      </c>
      <c r="AI1730" s="20">
        <v>2025116.78</v>
      </c>
      <c r="AJ1730" s="20">
        <v>2025116.78</v>
      </c>
      <c r="AK1730" s="20">
        <v>2025116.78</v>
      </c>
      <c r="AL1730" s="20">
        <v>2025116.78</v>
      </c>
      <c r="AM1730" s="20">
        <v>2025116.78</v>
      </c>
      <c r="AN1730" s="20">
        <v>2025116.78</v>
      </c>
      <c r="AO1730" s="20">
        <v>2025116.78</v>
      </c>
    </row>
    <row r="1731" spans="1:41" s="15" customFormat="1" ht="14.25" x14ac:dyDescent="0.2">
      <c r="A1731" s="18" t="s">
        <v>1361</v>
      </c>
      <c r="B1731" s="19" t="s">
        <v>1362</v>
      </c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  <c r="Q1731" s="20"/>
      <c r="R1731" s="20"/>
      <c r="S1731" s="20"/>
      <c r="T1731" s="20"/>
      <c r="U1731" s="20"/>
      <c r="V1731" s="20"/>
      <c r="W1731" s="20"/>
      <c r="X1731" s="20"/>
      <c r="Y1731" s="20"/>
      <c r="Z1731" s="20"/>
      <c r="AA1731" s="20"/>
      <c r="AB1731" s="20"/>
      <c r="AC1731" s="20"/>
      <c r="AD1731" s="20"/>
      <c r="AE1731" s="20"/>
      <c r="AF1731" s="20"/>
      <c r="AG1731" s="20">
        <v>138146.26999999999</v>
      </c>
      <c r="AH1731" s="20">
        <v>138146.26999999999</v>
      </c>
      <c r="AI1731" s="20">
        <v>138146.26999999999</v>
      </c>
      <c r="AJ1731" s="20">
        <v>138146.26999999999</v>
      </c>
      <c r="AK1731" s="20">
        <v>138146.26999999999</v>
      </c>
      <c r="AL1731" s="20">
        <v>138146.26999999999</v>
      </c>
      <c r="AM1731" s="20">
        <v>138146.26999999999</v>
      </c>
      <c r="AN1731" s="20">
        <v>138146.26999999999</v>
      </c>
      <c r="AO1731" s="20">
        <v>138146.26999999999</v>
      </c>
    </row>
    <row r="1732" spans="1:41" s="15" customFormat="1" ht="14.25" x14ac:dyDescent="0.2">
      <c r="A1732" s="18" t="s">
        <v>1363</v>
      </c>
      <c r="B1732" s="19" t="s">
        <v>1364</v>
      </c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 s="20"/>
      <c r="O1732" s="20"/>
      <c r="P1732" s="20"/>
      <c r="Q1732" s="20"/>
      <c r="R1732" s="20"/>
      <c r="S1732" s="20"/>
      <c r="T1732" s="20"/>
      <c r="U1732" s="20"/>
      <c r="V1732" s="20"/>
      <c r="W1732" s="20"/>
      <c r="X1732" s="20"/>
      <c r="Y1732" s="20"/>
      <c r="Z1732" s="20"/>
      <c r="AA1732" s="20"/>
      <c r="AB1732" s="20"/>
      <c r="AC1732" s="20"/>
      <c r="AD1732" s="20"/>
      <c r="AE1732" s="20"/>
      <c r="AF1732" s="20"/>
      <c r="AG1732" s="20">
        <v>157768.29</v>
      </c>
      <c r="AH1732" s="20">
        <v>157768.29</v>
      </c>
      <c r="AI1732" s="20">
        <v>157768.29</v>
      </c>
      <c r="AJ1732" s="20">
        <v>157768.29</v>
      </c>
      <c r="AK1732" s="20">
        <v>157768.29</v>
      </c>
      <c r="AL1732" s="20">
        <v>157768.29</v>
      </c>
      <c r="AM1732" s="20">
        <v>157768.29</v>
      </c>
      <c r="AN1732" s="20">
        <v>157768.29</v>
      </c>
      <c r="AO1732" s="20">
        <v>157768.29</v>
      </c>
    </row>
    <row r="1733" spans="1:41" s="15" customFormat="1" ht="14.25" x14ac:dyDescent="0.2">
      <c r="A1733" s="18" t="s">
        <v>1365</v>
      </c>
      <c r="B1733" s="19" t="s">
        <v>1366</v>
      </c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  <c r="N1733" s="20"/>
      <c r="O1733" s="20"/>
      <c r="P1733" s="20"/>
      <c r="Q1733" s="20"/>
      <c r="R1733" s="20"/>
      <c r="S1733" s="20"/>
      <c r="T1733" s="20"/>
      <c r="U1733" s="20"/>
      <c r="V1733" s="20"/>
      <c r="W1733" s="20"/>
      <c r="X1733" s="20"/>
      <c r="Y1733" s="20"/>
      <c r="Z1733" s="20"/>
      <c r="AA1733" s="20"/>
      <c r="AB1733" s="20"/>
      <c r="AC1733" s="20"/>
      <c r="AD1733" s="20"/>
      <c r="AE1733" s="20"/>
      <c r="AF1733" s="20"/>
      <c r="AG1733" s="20">
        <v>157768.29</v>
      </c>
      <c r="AH1733" s="20">
        <v>157768.29</v>
      </c>
      <c r="AI1733" s="20">
        <v>157768.29</v>
      </c>
      <c r="AJ1733" s="20">
        <v>157768.29</v>
      </c>
      <c r="AK1733" s="20">
        <v>157768.29</v>
      </c>
      <c r="AL1733" s="20">
        <v>157768.29</v>
      </c>
      <c r="AM1733" s="20">
        <v>157768.29</v>
      </c>
      <c r="AN1733" s="20">
        <v>157768.29</v>
      </c>
      <c r="AO1733" s="20">
        <v>157768.29</v>
      </c>
    </row>
    <row r="1734" spans="1:41" s="15" customFormat="1" ht="14.25" x14ac:dyDescent="0.2">
      <c r="A1734" s="18" t="s">
        <v>1367</v>
      </c>
      <c r="B1734" s="19" t="s">
        <v>1368</v>
      </c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  <c r="N1734" s="20"/>
      <c r="O1734" s="20"/>
      <c r="P1734" s="20"/>
      <c r="Q1734" s="20"/>
      <c r="R1734" s="20"/>
      <c r="S1734" s="20"/>
      <c r="T1734" s="20"/>
      <c r="U1734" s="20"/>
      <c r="V1734" s="20"/>
      <c r="W1734" s="20"/>
      <c r="X1734" s="20"/>
      <c r="Y1734" s="20"/>
      <c r="Z1734" s="20"/>
      <c r="AA1734" s="20"/>
      <c r="AB1734" s="20"/>
      <c r="AC1734" s="20"/>
      <c r="AD1734" s="20"/>
      <c r="AE1734" s="20"/>
      <c r="AF1734" s="20"/>
      <c r="AG1734" s="20">
        <v>128186.73</v>
      </c>
      <c r="AH1734" s="20">
        <v>128186.73</v>
      </c>
      <c r="AI1734" s="20">
        <v>128186.73</v>
      </c>
      <c r="AJ1734" s="20">
        <v>128186.73</v>
      </c>
      <c r="AK1734" s="20">
        <v>128186.73</v>
      </c>
      <c r="AL1734" s="20">
        <v>128186.73</v>
      </c>
      <c r="AM1734" s="20">
        <v>128186.73</v>
      </c>
      <c r="AN1734" s="20">
        <v>128186.73</v>
      </c>
      <c r="AO1734" s="20">
        <v>128186.73</v>
      </c>
    </row>
    <row r="1735" spans="1:41" s="15" customFormat="1" ht="14.25" x14ac:dyDescent="0.2">
      <c r="A1735" s="18" t="s">
        <v>1369</v>
      </c>
      <c r="B1735" s="19" t="s">
        <v>1370</v>
      </c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  <c r="N1735" s="20"/>
      <c r="O1735" s="20"/>
      <c r="P1735" s="20"/>
      <c r="Q1735" s="20"/>
      <c r="R1735" s="20"/>
      <c r="S1735" s="20"/>
      <c r="T1735" s="20"/>
      <c r="U1735" s="20"/>
      <c r="V1735" s="20"/>
      <c r="W1735" s="20"/>
      <c r="X1735" s="20"/>
      <c r="Y1735" s="20"/>
      <c r="Z1735" s="20"/>
      <c r="AA1735" s="20"/>
      <c r="AB1735" s="20"/>
      <c r="AC1735" s="20"/>
      <c r="AD1735" s="20"/>
      <c r="AE1735" s="20"/>
      <c r="AF1735" s="20"/>
      <c r="AG1735" s="20">
        <v>138146.26999999999</v>
      </c>
      <c r="AH1735" s="20">
        <v>138146.26999999999</v>
      </c>
      <c r="AI1735" s="20">
        <v>138146.26999999999</v>
      </c>
      <c r="AJ1735" s="20">
        <v>138146.26999999999</v>
      </c>
      <c r="AK1735" s="20">
        <v>138146.26999999999</v>
      </c>
      <c r="AL1735" s="20">
        <v>138146.26999999999</v>
      </c>
      <c r="AM1735" s="20">
        <v>138146.26999999999</v>
      </c>
      <c r="AN1735" s="20">
        <v>138146.26999999999</v>
      </c>
      <c r="AO1735" s="20">
        <v>138146.26999999999</v>
      </c>
    </row>
    <row r="1736" spans="1:41" s="15" customFormat="1" ht="14.25" x14ac:dyDescent="0.2">
      <c r="A1736" s="18" t="s">
        <v>1371</v>
      </c>
      <c r="B1736" s="19" t="s">
        <v>1372</v>
      </c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  <c r="N1736" s="20"/>
      <c r="O1736" s="20"/>
      <c r="P1736" s="20"/>
      <c r="Q1736" s="20"/>
      <c r="R1736" s="20"/>
      <c r="S1736" s="20"/>
      <c r="T1736" s="20"/>
      <c r="U1736" s="20"/>
      <c r="V1736" s="20"/>
      <c r="W1736" s="20"/>
      <c r="X1736" s="20"/>
      <c r="Y1736" s="20"/>
      <c r="Z1736" s="20"/>
      <c r="AA1736" s="20"/>
      <c r="AB1736" s="20"/>
      <c r="AC1736" s="20"/>
      <c r="AD1736" s="20"/>
      <c r="AE1736" s="20"/>
      <c r="AF1736" s="20"/>
      <c r="AG1736" s="20">
        <v>128186.74</v>
      </c>
      <c r="AH1736" s="20">
        <v>128186.74</v>
      </c>
      <c r="AI1736" s="20">
        <v>128186.74</v>
      </c>
      <c r="AJ1736" s="20">
        <v>128186.74</v>
      </c>
      <c r="AK1736" s="20">
        <v>128186.74</v>
      </c>
      <c r="AL1736" s="20">
        <v>128186.74</v>
      </c>
      <c r="AM1736" s="20">
        <v>128186.74</v>
      </c>
      <c r="AN1736" s="20">
        <v>128186.74</v>
      </c>
      <c r="AO1736" s="20">
        <v>128186.74</v>
      </c>
    </row>
    <row r="1737" spans="1:41" ht="14.25" x14ac:dyDescent="0.2">
      <c r="A1737" s="2">
        <v>1802</v>
      </c>
      <c r="B1737" s="3" t="s">
        <v>324</v>
      </c>
      <c r="C1737" s="20">
        <f>+C1738+C1746</f>
        <v>4831373.1100000003</v>
      </c>
      <c r="D1737" s="20">
        <f t="shared" ref="D1737:AO1737" si="36">+D1738+D1746</f>
        <v>4831373.1100000003</v>
      </c>
      <c r="E1737" s="20">
        <f t="shared" si="36"/>
        <v>4831373.1100000003</v>
      </c>
      <c r="F1737" s="20">
        <f t="shared" si="36"/>
        <v>4831373.1100000003</v>
      </c>
      <c r="G1737" s="20">
        <f t="shared" si="36"/>
        <v>4831373.1100000003</v>
      </c>
      <c r="H1737" s="20">
        <f t="shared" si="36"/>
        <v>4831373.1100000003</v>
      </c>
      <c r="I1737" s="20">
        <f t="shared" si="36"/>
        <v>4831373.1100000003</v>
      </c>
      <c r="J1737" s="20">
        <f t="shared" si="36"/>
        <v>4831373.1100000003</v>
      </c>
      <c r="K1737" s="20">
        <f t="shared" si="36"/>
        <v>4831373.1100000003</v>
      </c>
      <c r="L1737" s="20">
        <f t="shared" si="36"/>
        <v>4831373.1100000003</v>
      </c>
      <c r="M1737" s="20">
        <f t="shared" si="36"/>
        <v>4831373.1100000003</v>
      </c>
      <c r="N1737" s="20">
        <f t="shared" si="36"/>
        <v>4831373.1100000003</v>
      </c>
      <c r="O1737" s="20">
        <f t="shared" si="36"/>
        <v>4831373.1100000003</v>
      </c>
      <c r="P1737" s="20">
        <f t="shared" si="36"/>
        <v>4831373.1100000003</v>
      </c>
      <c r="Q1737" s="20">
        <f t="shared" si="36"/>
        <v>4831373.1100000003</v>
      </c>
      <c r="R1737" s="20">
        <f t="shared" si="36"/>
        <v>4831373.1100000003</v>
      </c>
      <c r="S1737" s="20">
        <f t="shared" si="36"/>
        <v>4831373.1100000003</v>
      </c>
      <c r="T1737" s="20">
        <f t="shared" si="36"/>
        <v>4831373.1100000003</v>
      </c>
      <c r="U1737" s="20">
        <f t="shared" si="36"/>
        <v>4831373.1100000003</v>
      </c>
      <c r="V1737" s="20">
        <f t="shared" si="36"/>
        <v>4831373.1100000003</v>
      </c>
      <c r="W1737" s="20">
        <f t="shared" si="36"/>
        <v>4831373.1100000003</v>
      </c>
      <c r="X1737" s="20">
        <f t="shared" si="36"/>
        <v>4831373.1100000003</v>
      </c>
      <c r="Y1737" s="20">
        <f t="shared" si="36"/>
        <v>4831373.1100000003</v>
      </c>
      <c r="Z1737" s="20">
        <f t="shared" si="36"/>
        <v>4831373.1100000003</v>
      </c>
      <c r="AA1737" s="20">
        <f t="shared" si="36"/>
        <v>4831373.1100000003</v>
      </c>
      <c r="AB1737" s="20">
        <f t="shared" si="36"/>
        <v>4831373.1100000003</v>
      </c>
      <c r="AC1737" s="20">
        <f t="shared" si="36"/>
        <v>4831373.1100000003</v>
      </c>
      <c r="AD1737" s="20">
        <f t="shared" si="36"/>
        <v>4831373.1100000003</v>
      </c>
      <c r="AE1737" s="20">
        <f t="shared" si="36"/>
        <v>4831373.1100000003</v>
      </c>
      <c r="AF1737" s="20">
        <f t="shared" si="36"/>
        <v>4831373.1100000003</v>
      </c>
      <c r="AG1737" s="20">
        <f t="shared" si="36"/>
        <v>4831373.1100000003</v>
      </c>
      <c r="AH1737" s="20">
        <f t="shared" si="36"/>
        <v>4831373.1100000003</v>
      </c>
      <c r="AI1737" s="20">
        <f t="shared" si="36"/>
        <v>4831373.1100000003</v>
      </c>
      <c r="AJ1737" s="20">
        <f t="shared" si="36"/>
        <v>4831373.1100000003</v>
      </c>
      <c r="AK1737" s="20">
        <f t="shared" si="36"/>
        <v>4831373.1100000003</v>
      </c>
      <c r="AL1737" s="20">
        <f t="shared" si="36"/>
        <v>4831373.1100000003</v>
      </c>
      <c r="AM1737" s="20">
        <f t="shared" si="36"/>
        <v>4831373.1100000003</v>
      </c>
      <c r="AN1737" s="20">
        <f t="shared" si="36"/>
        <v>4831373.1100000003</v>
      </c>
      <c r="AO1737" s="20">
        <f t="shared" si="36"/>
        <v>4479222.07</v>
      </c>
    </row>
    <row r="1738" spans="1:41" ht="14.25" x14ac:dyDescent="0.2">
      <c r="A1738" s="2">
        <v>180201</v>
      </c>
      <c r="B1738" s="3" t="s">
        <v>325</v>
      </c>
      <c r="C1738" s="20">
        <f>SUM(C1739:C1745)</f>
        <v>4589065.17</v>
      </c>
      <c r="D1738" s="20">
        <f t="shared" ref="D1738:AO1738" si="37">SUM(D1739:D1745)</f>
        <v>4589065.17</v>
      </c>
      <c r="E1738" s="20">
        <f t="shared" si="37"/>
        <v>4589065.17</v>
      </c>
      <c r="F1738" s="20">
        <f t="shared" si="37"/>
        <v>4589065.17</v>
      </c>
      <c r="G1738" s="20">
        <f t="shared" si="37"/>
        <v>4589065.17</v>
      </c>
      <c r="H1738" s="20">
        <f t="shared" si="37"/>
        <v>4589065.17</v>
      </c>
      <c r="I1738" s="20">
        <f t="shared" si="37"/>
        <v>4589065.17</v>
      </c>
      <c r="J1738" s="20">
        <f t="shared" si="37"/>
        <v>4589065.17</v>
      </c>
      <c r="K1738" s="20">
        <f t="shared" si="37"/>
        <v>4589065.17</v>
      </c>
      <c r="L1738" s="20">
        <f t="shared" si="37"/>
        <v>4589065.17</v>
      </c>
      <c r="M1738" s="20">
        <f t="shared" si="37"/>
        <v>4589065.17</v>
      </c>
      <c r="N1738" s="20">
        <f t="shared" si="37"/>
        <v>4589065.17</v>
      </c>
      <c r="O1738" s="20">
        <f t="shared" si="37"/>
        <v>4589065.17</v>
      </c>
      <c r="P1738" s="20">
        <f t="shared" si="37"/>
        <v>4589065.17</v>
      </c>
      <c r="Q1738" s="20">
        <f t="shared" si="37"/>
        <v>4589065.17</v>
      </c>
      <c r="R1738" s="20">
        <f t="shared" si="37"/>
        <v>4589065.17</v>
      </c>
      <c r="S1738" s="20">
        <f t="shared" si="37"/>
        <v>4589065.17</v>
      </c>
      <c r="T1738" s="20">
        <f t="shared" si="37"/>
        <v>4589065.17</v>
      </c>
      <c r="U1738" s="20">
        <f t="shared" si="37"/>
        <v>4589065.17</v>
      </c>
      <c r="V1738" s="20">
        <f t="shared" si="37"/>
        <v>4589065.17</v>
      </c>
      <c r="W1738" s="20">
        <f t="shared" si="37"/>
        <v>4589065.17</v>
      </c>
      <c r="X1738" s="20">
        <f t="shared" si="37"/>
        <v>4589065.17</v>
      </c>
      <c r="Y1738" s="20">
        <f t="shared" si="37"/>
        <v>4589065.17</v>
      </c>
      <c r="Z1738" s="20">
        <f t="shared" si="37"/>
        <v>4589065.17</v>
      </c>
      <c r="AA1738" s="20">
        <f t="shared" si="37"/>
        <v>4589065.17</v>
      </c>
      <c r="AB1738" s="20">
        <f t="shared" si="37"/>
        <v>4589065.17</v>
      </c>
      <c r="AC1738" s="20">
        <f t="shared" si="37"/>
        <v>4589065.17</v>
      </c>
      <c r="AD1738" s="20">
        <f t="shared" si="37"/>
        <v>4589065.17</v>
      </c>
      <c r="AE1738" s="20">
        <f t="shared" si="37"/>
        <v>4589065.17</v>
      </c>
      <c r="AF1738" s="20">
        <f t="shared" si="37"/>
        <v>4589065.17</v>
      </c>
      <c r="AG1738" s="20">
        <f t="shared" si="37"/>
        <v>4589065.17</v>
      </c>
      <c r="AH1738" s="20">
        <f t="shared" si="37"/>
        <v>4589065.17</v>
      </c>
      <c r="AI1738" s="20">
        <f t="shared" si="37"/>
        <v>4589065.17</v>
      </c>
      <c r="AJ1738" s="20">
        <f t="shared" si="37"/>
        <v>4589065.17</v>
      </c>
      <c r="AK1738" s="20">
        <f t="shared" si="37"/>
        <v>4589065.17</v>
      </c>
      <c r="AL1738" s="20">
        <f t="shared" si="37"/>
        <v>4589065.17</v>
      </c>
      <c r="AM1738" s="20">
        <f t="shared" si="37"/>
        <v>4589065.17</v>
      </c>
      <c r="AN1738" s="20">
        <f t="shared" si="37"/>
        <v>4589065.17</v>
      </c>
      <c r="AO1738" s="20">
        <f t="shared" si="37"/>
        <v>4236914.13</v>
      </c>
    </row>
    <row r="1739" spans="1:41" s="15" customFormat="1" ht="14.25" x14ac:dyDescent="0.2">
      <c r="A1739" s="18" t="s">
        <v>1373</v>
      </c>
      <c r="B1739" s="19" t="s">
        <v>1374</v>
      </c>
      <c r="C1739" s="20">
        <v>104413.59</v>
      </c>
      <c r="D1739" s="20">
        <v>104413.59</v>
      </c>
      <c r="E1739" s="20">
        <v>104413.59</v>
      </c>
      <c r="F1739" s="20">
        <v>104413.59</v>
      </c>
      <c r="G1739" s="20">
        <v>104413.59</v>
      </c>
      <c r="H1739" s="20">
        <v>104413.59</v>
      </c>
      <c r="I1739" s="20">
        <v>104413.59</v>
      </c>
      <c r="J1739" s="20">
        <v>104413.59</v>
      </c>
      <c r="K1739" s="20">
        <v>104413.59</v>
      </c>
      <c r="L1739" s="20">
        <v>104413.59</v>
      </c>
      <c r="M1739" s="20">
        <v>104413.59</v>
      </c>
      <c r="N1739" s="20">
        <v>104413.59</v>
      </c>
      <c r="O1739" s="20">
        <v>104413.59</v>
      </c>
      <c r="P1739" s="20">
        <v>104413.59</v>
      </c>
      <c r="Q1739" s="20">
        <v>104413.59</v>
      </c>
      <c r="R1739" s="20">
        <v>104413.59</v>
      </c>
      <c r="S1739" s="20">
        <v>104413.59</v>
      </c>
      <c r="T1739" s="20">
        <v>104413.59</v>
      </c>
      <c r="U1739" s="20">
        <v>104413.59</v>
      </c>
      <c r="V1739" s="20">
        <v>104413.59</v>
      </c>
      <c r="W1739" s="20">
        <v>104413.59</v>
      </c>
      <c r="X1739" s="20">
        <v>104413.59</v>
      </c>
      <c r="Y1739" s="20">
        <v>104413.59</v>
      </c>
      <c r="Z1739" s="20">
        <v>104413.59</v>
      </c>
      <c r="AA1739" s="20">
        <v>104413.59</v>
      </c>
      <c r="AB1739" s="20">
        <v>104413.59</v>
      </c>
      <c r="AC1739" s="20">
        <v>104413.59</v>
      </c>
      <c r="AD1739" s="20">
        <v>104413.59</v>
      </c>
      <c r="AE1739" s="20">
        <v>104413.59</v>
      </c>
      <c r="AF1739" s="20">
        <v>104413.59</v>
      </c>
      <c r="AG1739" s="20">
        <v>104413.59</v>
      </c>
      <c r="AH1739" s="20">
        <v>104413.59</v>
      </c>
      <c r="AI1739" s="20">
        <v>104413.59</v>
      </c>
      <c r="AJ1739" s="20">
        <v>104413.59</v>
      </c>
      <c r="AK1739" s="20">
        <v>104413.59</v>
      </c>
      <c r="AL1739" s="20">
        <v>104413.59</v>
      </c>
      <c r="AM1739" s="20">
        <v>104413.59</v>
      </c>
      <c r="AN1739" s="20">
        <v>104413.59</v>
      </c>
      <c r="AO1739" s="20">
        <v>104413.59</v>
      </c>
    </row>
    <row r="1740" spans="1:41" s="15" customFormat="1" ht="14.25" x14ac:dyDescent="0.2">
      <c r="A1740" s="18" t="s">
        <v>1375</v>
      </c>
      <c r="B1740" s="19" t="s">
        <v>1376</v>
      </c>
      <c r="C1740" s="20">
        <v>3141584.63</v>
      </c>
      <c r="D1740" s="20">
        <v>3141584.63</v>
      </c>
      <c r="E1740" s="20">
        <v>3141584.63</v>
      </c>
      <c r="F1740" s="20">
        <v>3141584.63</v>
      </c>
      <c r="G1740" s="20">
        <v>3141584.63</v>
      </c>
      <c r="H1740" s="20">
        <v>3141584.63</v>
      </c>
      <c r="I1740" s="20">
        <v>3141584.63</v>
      </c>
      <c r="J1740" s="20">
        <v>3141584.63</v>
      </c>
      <c r="K1740" s="20">
        <v>3141584.63</v>
      </c>
      <c r="L1740" s="20">
        <v>3141584.63</v>
      </c>
      <c r="M1740" s="20">
        <v>3141584.63</v>
      </c>
      <c r="N1740" s="20">
        <v>3141584.63</v>
      </c>
      <c r="O1740" s="20">
        <v>3141584.63</v>
      </c>
      <c r="P1740" s="20">
        <v>3141584.63</v>
      </c>
      <c r="Q1740" s="20">
        <v>3141584.63</v>
      </c>
      <c r="R1740" s="20">
        <v>3141584.63</v>
      </c>
      <c r="S1740" s="20">
        <v>3141584.63</v>
      </c>
      <c r="T1740" s="20">
        <v>3141584.63</v>
      </c>
      <c r="U1740" s="20">
        <v>3141584.63</v>
      </c>
      <c r="V1740" s="20">
        <v>3141584.63</v>
      </c>
      <c r="W1740" s="20">
        <v>3141584.63</v>
      </c>
      <c r="X1740" s="20">
        <v>3141584.63</v>
      </c>
      <c r="Y1740" s="20">
        <v>3141584.63</v>
      </c>
      <c r="Z1740" s="20">
        <v>3141584.63</v>
      </c>
      <c r="AA1740" s="20">
        <v>3141584.63</v>
      </c>
      <c r="AB1740" s="20">
        <v>3141584.63</v>
      </c>
      <c r="AC1740" s="20">
        <v>3141584.63</v>
      </c>
      <c r="AD1740" s="20">
        <v>3141584.63</v>
      </c>
      <c r="AE1740" s="20">
        <v>3141584.63</v>
      </c>
      <c r="AF1740" s="20">
        <v>3141584.63</v>
      </c>
      <c r="AG1740" s="20">
        <v>3141584.63</v>
      </c>
      <c r="AH1740" s="20">
        <v>3141584.63</v>
      </c>
      <c r="AI1740" s="20">
        <v>3141584.63</v>
      </c>
      <c r="AJ1740" s="20">
        <v>3141584.63</v>
      </c>
      <c r="AK1740" s="20">
        <v>3141584.63</v>
      </c>
      <c r="AL1740" s="20">
        <v>3141584.63</v>
      </c>
      <c r="AM1740" s="20">
        <v>3141584.63</v>
      </c>
      <c r="AN1740" s="20">
        <v>3141584.63</v>
      </c>
      <c r="AO1740" s="20">
        <v>3141584.63</v>
      </c>
    </row>
    <row r="1741" spans="1:41" s="15" customFormat="1" ht="14.25" x14ac:dyDescent="0.2">
      <c r="A1741" s="18" t="s">
        <v>1377</v>
      </c>
      <c r="B1741" s="19" t="s">
        <v>1378</v>
      </c>
      <c r="C1741" s="20">
        <v>197179.75</v>
      </c>
      <c r="D1741" s="20">
        <v>197179.75</v>
      </c>
      <c r="E1741" s="20">
        <v>197179.75</v>
      </c>
      <c r="F1741" s="20">
        <v>197179.75</v>
      </c>
      <c r="G1741" s="20">
        <v>197179.75</v>
      </c>
      <c r="H1741" s="20">
        <v>197179.75</v>
      </c>
      <c r="I1741" s="20">
        <v>197179.75</v>
      </c>
      <c r="J1741" s="20">
        <v>197179.75</v>
      </c>
      <c r="K1741" s="20">
        <v>197179.75</v>
      </c>
      <c r="L1741" s="20">
        <v>197179.75</v>
      </c>
      <c r="M1741" s="20">
        <v>197179.75</v>
      </c>
      <c r="N1741" s="20">
        <v>197179.75</v>
      </c>
      <c r="O1741" s="20">
        <v>197179.75</v>
      </c>
      <c r="P1741" s="20">
        <v>197179.75</v>
      </c>
      <c r="Q1741" s="20">
        <v>197179.75</v>
      </c>
      <c r="R1741" s="20">
        <v>197179.75</v>
      </c>
      <c r="S1741" s="20">
        <v>197179.75</v>
      </c>
      <c r="T1741" s="20">
        <v>197179.75</v>
      </c>
      <c r="U1741" s="20">
        <v>197179.75</v>
      </c>
      <c r="V1741" s="20">
        <v>197179.75</v>
      </c>
      <c r="W1741" s="20">
        <v>197179.75</v>
      </c>
      <c r="X1741" s="20">
        <v>197179.75</v>
      </c>
      <c r="Y1741" s="20">
        <v>197179.75</v>
      </c>
      <c r="Z1741" s="20">
        <v>197179.75</v>
      </c>
      <c r="AA1741" s="20">
        <v>197179.75</v>
      </c>
      <c r="AB1741" s="20">
        <v>197179.75</v>
      </c>
      <c r="AC1741" s="20">
        <v>197179.75</v>
      </c>
      <c r="AD1741" s="20">
        <v>197179.75</v>
      </c>
      <c r="AE1741" s="20">
        <v>197179.75</v>
      </c>
      <c r="AF1741" s="20">
        <v>197179.75</v>
      </c>
      <c r="AG1741" s="20">
        <v>197179.75</v>
      </c>
      <c r="AH1741" s="20">
        <v>197179.75</v>
      </c>
      <c r="AI1741" s="20">
        <v>197179.75</v>
      </c>
      <c r="AJ1741" s="20">
        <v>197179.75</v>
      </c>
      <c r="AK1741" s="20">
        <v>197179.75</v>
      </c>
      <c r="AL1741" s="20">
        <v>197179.75</v>
      </c>
      <c r="AM1741" s="20">
        <v>197179.75</v>
      </c>
      <c r="AN1741" s="20">
        <v>197179.75</v>
      </c>
      <c r="AO1741" s="20">
        <v>197179.75</v>
      </c>
    </row>
    <row r="1742" spans="1:41" s="15" customFormat="1" ht="14.25" x14ac:dyDescent="0.2">
      <c r="A1742" s="18" t="s">
        <v>1379</v>
      </c>
      <c r="B1742" s="19" t="s">
        <v>1380</v>
      </c>
      <c r="C1742" s="20">
        <v>227901.05</v>
      </c>
      <c r="D1742" s="20">
        <v>227901.05</v>
      </c>
      <c r="E1742" s="20">
        <v>227901.05</v>
      </c>
      <c r="F1742" s="20">
        <v>227901.05</v>
      </c>
      <c r="G1742" s="20">
        <v>227901.05</v>
      </c>
      <c r="H1742" s="20">
        <v>227901.05</v>
      </c>
      <c r="I1742" s="20">
        <v>227901.05</v>
      </c>
      <c r="J1742" s="20">
        <v>227901.05</v>
      </c>
      <c r="K1742" s="20">
        <v>227901.05</v>
      </c>
      <c r="L1742" s="20">
        <v>227901.05</v>
      </c>
      <c r="M1742" s="20">
        <v>227901.05</v>
      </c>
      <c r="N1742" s="20">
        <v>227901.05</v>
      </c>
      <c r="O1742" s="20">
        <v>227901.05</v>
      </c>
      <c r="P1742" s="20">
        <v>227901.05</v>
      </c>
      <c r="Q1742" s="20">
        <v>227901.05</v>
      </c>
      <c r="R1742" s="20">
        <v>227901.05</v>
      </c>
      <c r="S1742" s="20">
        <v>227901.05</v>
      </c>
      <c r="T1742" s="20">
        <v>227901.05</v>
      </c>
      <c r="U1742" s="20">
        <v>227901.05</v>
      </c>
      <c r="V1742" s="20">
        <v>227901.05</v>
      </c>
      <c r="W1742" s="20">
        <v>227901.05</v>
      </c>
      <c r="X1742" s="20">
        <v>227901.05</v>
      </c>
      <c r="Y1742" s="20">
        <v>227901.05</v>
      </c>
      <c r="Z1742" s="20">
        <v>227901.05</v>
      </c>
      <c r="AA1742" s="20">
        <v>227901.05</v>
      </c>
      <c r="AB1742" s="20">
        <v>227901.05</v>
      </c>
      <c r="AC1742" s="20">
        <v>227901.05</v>
      </c>
      <c r="AD1742" s="20">
        <v>227901.05</v>
      </c>
      <c r="AE1742" s="20">
        <v>227901.05</v>
      </c>
      <c r="AF1742" s="20">
        <v>227901.05</v>
      </c>
      <c r="AG1742" s="20">
        <v>227901.05</v>
      </c>
      <c r="AH1742" s="20">
        <v>227901.05</v>
      </c>
      <c r="AI1742" s="20">
        <v>227901.05</v>
      </c>
      <c r="AJ1742" s="20">
        <v>227901.05</v>
      </c>
      <c r="AK1742" s="20">
        <v>227901.05</v>
      </c>
      <c r="AL1742" s="20">
        <v>227901.05</v>
      </c>
      <c r="AM1742" s="20">
        <v>227901.05</v>
      </c>
      <c r="AN1742" s="20">
        <v>227901.05</v>
      </c>
      <c r="AO1742" s="20">
        <v>227901.05</v>
      </c>
    </row>
    <row r="1743" spans="1:41" s="15" customFormat="1" ht="14.25" x14ac:dyDescent="0.2">
      <c r="A1743" s="18" t="s">
        <v>1381</v>
      </c>
      <c r="B1743" s="19" t="s">
        <v>1382</v>
      </c>
      <c r="C1743" s="20">
        <v>207548.83</v>
      </c>
      <c r="D1743" s="20">
        <v>207548.83</v>
      </c>
      <c r="E1743" s="20">
        <v>207548.83</v>
      </c>
      <c r="F1743" s="20">
        <v>207548.83</v>
      </c>
      <c r="G1743" s="20">
        <v>207548.83</v>
      </c>
      <c r="H1743" s="20">
        <v>207548.83</v>
      </c>
      <c r="I1743" s="20">
        <v>207548.83</v>
      </c>
      <c r="J1743" s="20">
        <v>207548.83</v>
      </c>
      <c r="K1743" s="20">
        <v>207548.83</v>
      </c>
      <c r="L1743" s="20">
        <v>207548.83</v>
      </c>
      <c r="M1743" s="20">
        <v>207548.83</v>
      </c>
      <c r="N1743" s="20">
        <v>207548.83</v>
      </c>
      <c r="O1743" s="20">
        <v>207548.83</v>
      </c>
      <c r="P1743" s="20">
        <v>207548.83</v>
      </c>
      <c r="Q1743" s="20">
        <v>207548.83</v>
      </c>
      <c r="R1743" s="20">
        <v>207548.83</v>
      </c>
      <c r="S1743" s="20">
        <v>207548.83</v>
      </c>
      <c r="T1743" s="20">
        <v>207548.83</v>
      </c>
      <c r="U1743" s="20">
        <v>207548.83</v>
      </c>
      <c r="V1743" s="20">
        <v>207548.83</v>
      </c>
      <c r="W1743" s="20">
        <v>207548.83</v>
      </c>
      <c r="X1743" s="20">
        <v>207548.83</v>
      </c>
      <c r="Y1743" s="20">
        <v>207548.83</v>
      </c>
      <c r="Z1743" s="20">
        <v>207548.83</v>
      </c>
      <c r="AA1743" s="20">
        <v>207548.83</v>
      </c>
      <c r="AB1743" s="20">
        <v>207548.83</v>
      </c>
      <c r="AC1743" s="20">
        <v>207548.83</v>
      </c>
      <c r="AD1743" s="20">
        <v>207548.83</v>
      </c>
      <c r="AE1743" s="20">
        <v>207548.83</v>
      </c>
      <c r="AF1743" s="20">
        <v>207548.83</v>
      </c>
      <c r="AG1743" s="20">
        <v>207548.83</v>
      </c>
      <c r="AH1743" s="20">
        <v>207548.83</v>
      </c>
      <c r="AI1743" s="20">
        <v>207548.83</v>
      </c>
      <c r="AJ1743" s="20">
        <v>207548.83</v>
      </c>
      <c r="AK1743" s="20">
        <v>207548.83</v>
      </c>
      <c r="AL1743" s="20">
        <v>207548.83</v>
      </c>
      <c r="AM1743" s="20">
        <v>207548.83</v>
      </c>
      <c r="AN1743" s="20">
        <v>207548.83</v>
      </c>
      <c r="AO1743" s="20">
        <v>207548.83</v>
      </c>
    </row>
    <row r="1744" spans="1:41" s="15" customFormat="1" ht="14.25" x14ac:dyDescent="0.2">
      <c r="A1744" s="18" t="s">
        <v>1383</v>
      </c>
      <c r="B1744" s="19" t="s">
        <v>1384</v>
      </c>
      <c r="C1744" s="20">
        <v>358286.28</v>
      </c>
      <c r="D1744" s="20">
        <v>358286.28</v>
      </c>
      <c r="E1744" s="20">
        <v>358286.28</v>
      </c>
      <c r="F1744" s="20">
        <v>358286.28</v>
      </c>
      <c r="G1744" s="20">
        <v>358286.28</v>
      </c>
      <c r="H1744" s="20">
        <v>358286.28</v>
      </c>
      <c r="I1744" s="20">
        <v>358286.28</v>
      </c>
      <c r="J1744" s="20">
        <v>358286.28</v>
      </c>
      <c r="K1744" s="20">
        <v>358286.28</v>
      </c>
      <c r="L1744" s="20">
        <v>358286.28</v>
      </c>
      <c r="M1744" s="20">
        <v>358286.28</v>
      </c>
      <c r="N1744" s="20">
        <v>358286.28</v>
      </c>
      <c r="O1744" s="20">
        <v>358286.28</v>
      </c>
      <c r="P1744" s="20">
        <v>358286.28</v>
      </c>
      <c r="Q1744" s="20">
        <v>358286.28</v>
      </c>
      <c r="R1744" s="20">
        <v>358286.28</v>
      </c>
      <c r="S1744" s="20">
        <v>358286.28</v>
      </c>
      <c r="T1744" s="20">
        <v>358286.28</v>
      </c>
      <c r="U1744" s="20">
        <v>358286.28</v>
      </c>
      <c r="V1744" s="20">
        <v>358286.28</v>
      </c>
      <c r="W1744" s="20">
        <v>358286.28</v>
      </c>
      <c r="X1744" s="20">
        <v>358286.28</v>
      </c>
      <c r="Y1744" s="20">
        <v>358286.28</v>
      </c>
      <c r="Z1744" s="20">
        <v>358286.28</v>
      </c>
      <c r="AA1744" s="20">
        <v>358286.28</v>
      </c>
      <c r="AB1744" s="20">
        <v>358286.28</v>
      </c>
      <c r="AC1744" s="20">
        <v>358286.28</v>
      </c>
      <c r="AD1744" s="20">
        <v>358286.28</v>
      </c>
      <c r="AE1744" s="20">
        <v>358286.28</v>
      </c>
      <c r="AF1744" s="20">
        <v>358286.28</v>
      </c>
      <c r="AG1744" s="20">
        <v>358286.28</v>
      </c>
      <c r="AH1744" s="20">
        <v>358286.28</v>
      </c>
      <c r="AI1744" s="20">
        <v>358286.28</v>
      </c>
      <c r="AJ1744" s="20">
        <v>358286.28</v>
      </c>
      <c r="AK1744" s="20">
        <v>358286.28</v>
      </c>
      <c r="AL1744" s="20">
        <v>358286.28</v>
      </c>
      <c r="AM1744" s="20">
        <v>358286.28</v>
      </c>
      <c r="AN1744" s="20">
        <v>358286.28</v>
      </c>
      <c r="AO1744" s="20">
        <v>358286.28</v>
      </c>
    </row>
    <row r="1745" spans="1:41" s="15" customFormat="1" ht="14.25" x14ac:dyDescent="0.2">
      <c r="A1745" s="18" t="s">
        <v>1385</v>
      </c>
      <c r="B1745" s="19" t="s">
        <v>1386</v>
      </c>
      <c r="C1745" s="20">
        <v>352151.03999999998</v>
      </c>
      <c r="D1745" s="20">
        <v>352151.03999999998</v>
      </c>
      <c r="E1745" s="20">
        <v>352151.03999999998</v>
      </c>
      <c r="F1745" s="20">
        <v>352151.03999999998</v>
      </c>
      <c r="G1745" s="20">
        <v>352151.03999999998</v>
      </c>
      <c r="H1745" s="20">
        <v>352151.03999999998</v>
      </c>
      <c r="I1745" s="20">
        <v>352151.03999999998</v>
      </c>
      <c r="J1745" s="20">
        <v>352151.03999999998</v>
      </c>
      <c r="K1745" s="20">
        <v>352151.03999999998</v>
      </c>
      <c r="L1745" s="20">
        <v>352151.03999999998</v>
      </c>
      <c r="M1745" s="20">
        <v>352151.03999999998</v>
      </c>
      <c r="N1745" s="20">
        <v>352151.03999999998</v>
      </c>
      <c r="O1745" s="20">
        <v>352151.03999999998</v>
      </c>
      <c r="P1745" s="20">
        <v>352151.03999999998</v>
      </c>
      <c r="Q1745" s="20">
        <v>352151.03999999998</v>
      </c>
      <c r="R1745" s="20">
        <v>352151.03999999998</v>
      </c>
      <c r="S1745" s="20">
        <v>352151.03999999998</v>
      </c>
      <c r="T1745" s="20">
        <v>352151.03999999998</v>
      </c>
      <c r="U1745" s="20">
        <v>352151.03999999998</v>
      </c>
      <c r="V1745" s="20">
        <v>352151.03999999998</v>
      </c>
      <c r="W1745" s="20">
        <v>352151.03999999998</v>
      </c>
      <c r="X1745" s="20">
        <v>352151.03999999998</v>
      </c>
      <c r="Y1745" s="20">
        <v>352151.03999999998</v>
      </c>
      <c r="Z1745" s="20">
        <v>352151.03999999998</v>
      </c>
      <c r="AA1745" s="20">
        <v>352151.03999999998</v>
      </c>
      <c r="AB1745" s="20">
        <v>352151.03999999998</v>
      </c>
      <c r="AC1745" s="20">
        <v>352151.03999999998</v>
      </c>
      <c r="AD1745" s="20">
        <v>352151.03999999998</v>
      </c>
      <c r="AE1745" s="20">
        <v>352151.03999999998</v>
      </c>
      <c r="AF1745" s="20">
        <v>352151.03999999998</v>
      </c>
      <c r="AG1745" s="20">
        <v>352151.03999999998</v>
      </c>
      <c r="AH1745" s="20">
        <v>352151.03999999998</v>
      </c>
      <c r="AI1745" s="20">
        <v>352151.03999999998</v>
      </c>
      <c r="AJ1745" s="20">
        <v>352151.03999999998</v>
      </c>
      <c r="AK1745" s="20">
        <v>352151.03999999998</v>
      </c>
      <c r="AL1745" s="20">
        <v>352151.03999999998</v>
      </c>
      <c r="AM1745" s="20">
        <v>352151.03999999998</v>
      </c>
      <c r="AN1745" s="20">
        <v>352151.03999999998</v>
      </c>
      <c r="AO1745" s="20">
        <v>0</v>
      </c>
    </row>
    <row r="1746" spans="1:41" ht="14.25" x14ac:dyDescent="0.2">
      <c r="A1746" s="2">
        <v>180202</v>
      </c>
      <c r="B1746" s="3" t="s">
        <v>326</v>
      </c>
      <c r="C1746" s="20">
        <f>SUM(C1747:C1748)</f>
        <v>242307.94</v>
      </c>
      <c r="D1746" s="20">
        <f t="shared" ref="D1746:AO1746" si="38">SUM(D1747:D1748)</f>
        <v>242307.94</v>
      </c>
      <c r="E1746" s="20">
        <f t="shared" si="38"/>
        <v>242307.94</v>
      </c>
      <c r="F1746" s="20">
        <f t="shared" si="38"/>
        <v>242307.94</v>
      </c>
      <c r="G1746" s="20">
        <f t="shared" si="38"/>
        <v>242307.94</v>
      </c>
      <c r="H1746" s="20">
        <f t="shared" si="38"/>
        <v>242307.94</v>
      </c>
      <c r="I1746" s="20">
        <f t="shared" si="38"/>
        <v>242307.94</v>
      </c>
      <c r="J1746" s="20">
        <f t="shared" si="38"/>
        <v>242307.94</v>
      </c>
      <c r="K1746" s="20">
        <f t="shared" si="38"/>
        <v>242307.94</v>
      </c>
      <c r="L1746" s="20">
        <f t="shared" si="38"/>
        <v>242307.94</v>
      </c>
      <c r="M1746" s="20">
        <f t="shared" si="38"/>
        <v>242307.94</v>
      </c>
      <c r="N1746" s="20">
        <f t="shared" si="38"/>
        <v>242307.94</v>
      </c>
      <c r="O1746" s="20">
        <f t="shared" si="38"/>
        <v>242307.94</v>
      </c>
      <c r="P1746" s="20">
        <f t="shared" si="38"/>
        <v>242307.94</v>
      </c>
      <c r="Q1746" s="20">
        <f t="shared" si="38"/>
        <v>242307.94</v>
      </c>
      <c r="R1746" s="20">
        <f t="shared" si="38"/>
        <v>242307.94</v>
      </c>
      <c r="S1746" s="20">
        <f t="shared" si="38"/>
        <v>242307.94</v>
      </c>
      <c r="T1746" s="20">
        <f t="shared" si="38"/>
        <v>242307.94</v>
      </c>
      <c r="U1746" s="20">
        <f t="shared" si="38"/>
        <v>242307.94</v>
      </c>
      <c r="V1746" s="20">
        <f t="shared" si="38"/>
        <v>242307.94</v>
      </c>
      <c r="W1746" s="20">
        <f t="shared" si="38"/>
        <v>242307.94</v>
      </c>
      <c r="X1746" s="20">
        <f t="shared" si="38"/>
        <v>242307.94</v>
      </c>
      <c r="Y1746" s="20">
        <f t="shared" si="38"/>
        <v>242307.94</v>
      </c>
      <c r="Z1746" s="20">
        <f t="shared" si="38"/>
        <v>242307.94</v>
      </c>
      <c r="AA1746" s="20">
        <f t="shared" si="38"/>
        <v>242307.94</v>
      </c>
      <c r="AB1746" s="20">
        <f t="shared" si="38"/>
        <v>242307.94</v>
      </c>
      <c r="AC1746" s="20">
        <f t="shared" si="38"/>
        <v>242307.94</v>
      </c>
      <c r="AD1746" s="20">
        <f t="shared" si="38"/>
        <v>242307.94</v>
      </c>
      <c r="AE1746" s="20">
        <f t="shared" si="38"/>
        <v>242307.94</v>
      </c>
      <c r="AF1746" s="20">
        <f t="shared" si="38"/>
        <v>242307.94</v>
      </c>
      <c r="AG1746" s="20">
        <f t="shared" si="38"/>
        <v>242307.94</v>
      </c>
      <c r="AH1746" s="20">
        <f t="shared" si="38"/>
        <v>242307.94</v>
      </c>
      <c r="AI1746" s="20">
        <f t="shared" si="38"/>
        <v>242307.94</v>
      </c>
      <c r="AJ1746" s="20">
        <f t="shared" si="38"/>
        <v>242307.94</v>
      </c>
      <c r="AK1746" s="20">
        <f t="shared" si="38"/>
        <v>242307.94</v>
      </c>
      <c r="AL1746" s="20">
        <f t="shared" si="38"/>
        <v>242307.94</v>
      </c>
      <c r="AM1746" s="20">
        <f t="shared" si="38"/>
        <v>242307.94</v>
      </c>
      <c r="AN1746" s="20">
        <f t="shared" si="38"/>
        <v>242307.94</v>
      </c>
      <c r="AO1746" s="20">
        <f t="shared" si="38"/>
        <v>242307.94</v>
      </c>
    </row>
    <row r="1747" spans="1:41" s="15" customFormat="1" ht="14.25" x14ac:dyDescent="0.2">
      <c r="A1747" s="18" t="s">
        <v>1387</v>
      </c>
      <c r="B1747" s="19" t="s">
        <v>1388</v>
      </c>
      <c r="C1747" s="20">
        <v>121377.33</v>
      </c>
      <c r="D1747" s="20">
        <v>121377.33</v>
      </c>
      <c r="E1747" s="20">
        <v>121377.33</v>
      </c>
      <c r="F1747" s="20">
        <v>121377.33</v>
      </c>
      <c r="G1747" s="20">
        <v>121377.33</v>
      </c>
      <c r="H1747" s="20">
        <v>121377.33</v>
      </c>
      <c r="I1747" s="20">
        <v>121377.33</v>
      </c>
      <c r="J1747" s="20">
        <v>121377.33</v>
      </c>
      <c r="K1747" s="20">
        <v>121377.33</v>
      </c>
      <c r="L1747" s="20">
        <v>121377.33</v>
      </c>
      <c r="M1747" s="20">
        <v>121377.33</v>
      </c>
      <c r="N1747" s="20">
        <v>121377.33</v>
      </c>
      <c r="O1747" s="20">
        <v>121377.33</v>
      </c>
      <c r="P1747" s="20">
        <v>121377.33</v>
      </c>
      <c r="Q1747" s="20">
        <v>121377.33</v>
      </c>
      <c r="R1747" s="20">
        <v>121377.33</v>
      </c>
      <c r="S1747" s="20">
        <v>121377.33</v>
      </c>
      <c r="T1747" s="20">
        <v>121377.33</v>
      </c>
      <c r="U1747" s="20">
        <v>121377.33</v>
      </c>
      <c r="V1747" s="20">
        <v>121377.33</v>
      </c>
      <c r="W1747" s="20">
        <v>121377.33</v>
      </c>
      <c r="X1747" s="20">
        <v>121377.33</v>
      </c>
      <c r="Y1747" s="20">
        <v>121377.33</v>
      </c>
      <c r="Z1747" s="20">
        <v>121377.33</v>
      </c>
      <c r="AA1747" s="20">
        <v>121377.33</v>
      </c>
      <c r="AB1747" s="20">
        <v>121377.33</v>
      </c>
      <c r="AC1747" s="20">
        <v>121377.33</v>
      </c>
      <c r="AD1747" s="20">
        <v>121377.33</v>
      </c>
      <c r="AE1747" s="20">
        <v>121377.33</v>
      </c>
      <c r="AF1747" s="20">
        <v>121377.33</v>
      </c>
      <c r="AG1747" s="20">
        <v>121377.33</v>
      </c>
      <c r="AH1747" s="20">
        <v>121377.33</v>
      </c>
      <c r="AI1747" s="20">
        <v>121377.33</v>
      </c>
      <c r="AJ1747" s="20">
        <v>121377.33</v>
      </c>
      <c r="AK1747" s="20">
        <v>121377.33</v>
      </c>
      <c r="AL1747" s="20">
        <v>121377.33</v>
      </c>
      <c r="AM1747" s="20">
        <v>121377.33</v>
      </c>
      <c r="AN1747" s="20">
        <v>121377.33</v>
      </c>
      <c r="AO1747" s="20">
        <v>121377.33</v>
      </c>
    </row>
    <row r="1748" spans="1:41" s="15" customFormat="1" ht="14.25" x14ac:dyDescent="0.2">
      <c r="A1748" s="18" t="s">
        <v>1389</v>
      </c>
      <c r="B1748" s="19" t="s">
        <v>1390</v>
      </c>
      <c r="C1748" s="20">
        <v>120930.61</v>
      </c>
      <c r="D1748" s="20">
        <v>120930.61</v>
      </c>
      <c r="E1748" s="20">
        <v>120930.61</v>
      </c>
      <c r="F1748" s="20">
        <v>120930.61</v>
      </c>
      <c r="G1748" s="20">
        <v>120930.61</v>
      </c>
      <c r="H1748" s="20">
        <v>120930.61</v>
      </c>
      <c r="I1748" s="20">
        <v>120930.61</v>
      </c>
      <c r="J1748" s="20">
        <v>120930.61</v>
      </c>
      <c r="K1748" s="20">
        <v>120930.61</v>
      </c>
      <c r="L1748" s="20">
        <v>120930.61</v>
      </c>
      <c r="M1748" s="20">
        <v>120930.61</v>
      </c>
      <c r="N1748" s="20">
        <v>120930.61</v>
      </c>
      <c r="O1748" s="20">
        <v>120930.61</v>
      </c>
      <c r="P1748" s="20">
        <v>120930.61</v>
      </c>
      <c r="Q1748" s="20">
        <v>120930.61</v>
      </c>
      <c r="R1748" s="20">
        <v>120930.61</v>
      </c>
      <c r="S1748" s="20">
        <v>120930.61</v>
      </c>
      <c r="T1748" s="20">
        <v>120930.61</v>
      </c>
      <c r="U1748" s="20">
        <v>120930.61</v>
      </c>
      <c r="V1748" s="20">
        <v>120930.61</v>
      </c>
      <c r="W1748" s="20">
        <v>120930.61</v>
      </c>
      <c r="X1748" s="20">
        <v>120930.61</v>
      </c>
      <c r="Y1748" s="20">
        <v>120930.61</v>
      </c>
      <c r="Z1748" s="20">
        <v>120930.61</v>
      </c>
      <c r="AA1748" s="20">
        <v>120930.61</v>
      </c>
      <c r="AB1748" s="20">
        <v>120930.61</v>
      </c>
      <c r="AC1748" s="20">
        <v>120930.61</v>
      </c>
      <c r="AD1748" s="20">
        <v>120930.61</v>
      </c>
      <c r="AE1748" s="20">
        <v>120930.61</v>
      </c>
      <c r="AF1748" s="20">
        <v>120930.61</v>
      </c>
      <c r="AG1748" s="20">
        <v>120930.61</v>
      </c>
      <c r="AH1748" s="20">
        <v>120930.61</v>
      </c>
      <c r="AI1748" s="20">
        <v>120930.61</v>
      </c>
      <c r="AJ1748" s="20">
        <v>120930.61</v>
      </c>
      <c r="AK1748" s="20">
        <v>120930.61</v>
      </c>
      <c r="AL1748" s="20">
        <v>120930.61</v>
      </c>
      <c r="AM1748" s="20">
        <v>120930.61</v>
      </c>
      <c r="AN1748" s="20">
        <v>120930.61</v>
      </c>
      <c r="AO1748" s="20">
        <v>120930.61</v>
      </c>
    </row>
    <row r="1749" spans="1:41" s="15" customFormat="1" ht="14.25" x14ac:dyDescent="0.2">
      <c r="A1749" s="18">
        <v>1803</v>
      </c>
      <c r="B1749" s="19" t="s">
        <v>327</v>
      </c>
      <c r="C1749" s="20">
        <f t="shared" ref="C1749:AB1749" si="39">+C1751+C1753+C1755+C1756+C1757+C1758+C1759+C1760+C1761</f>
        <v>2912425.5200000005</v>
      </c>
      <c r="D1749" s="20">
        <f t="shared" si="39"/>
        <v>2914266.1100000003</v>
      </c>
      <c r="E1749" s="20">
        <f t="shared" si="39"/>
        <v>2926430.7</v>
      </c>
      <c r="F1749" s="20">
        <f t="shared" si="39"/>
        <v>2937383.62</v>
      </c>
      <c r="G1749" s="20">
        <f t="shared" si="39"/>
        <v>2944818.3700000006</v>
      </c>
      <c r="H1749" s="20">
        <f t="shared" si="39"/>
        <v>2949800.5800000005</v>
      </c>
      <c r="I1749" s="20">
        <f t="shared" si="39"/>
        <v>2951173.8000000003</v>
      </c>
      <c r="J1749" s="20">
        <f t="shared" si="39"/>
        <v>2951639.0500000003</v>
      </c>
      <c r="K1749" s="20">
        <f t="shared" si="39"/>
        <v>2953656.0000000005</v>
      </c>
      <c r="L1749" s="20">
        <f t="shared" si="39"/>
        <v>2953656.0000000005</v>
      </c>
      <c r="M1749" s="20">
        <f t="shared" si="39"/>
        <v>2954407.1900000004</v>
      </c>
      <c r="N1749" s="20">
        <f t="shared" si="39"/>
        <v>2955059.7300000004</v>
      </c>
      <c r="O1749" s="20">
        <f t="shared" si="39"/>
        <v>2956750.41</v>
      </c>
      <c r="P1749" s="20">
        <f t="shared" si="39"/>
        <v>2978375.8400000008</v>
      </c>
      <c r="Q1749" s="20">
        <f t="shared" si="39"/>
        <v>2978375.8400000008</v>
      </c>
      <c r="R1749" s="20">
        <f t="shared" si="39"/>
        <v>2981914.8400000008</v>
      </c>
      <c r="S1749" s="20">
        <f t="shared" si="39"/>
        <v>2984180.9400000004</v>
      </c>
      <c r="T1749" s="20">
        <f t="shared" si="39"/>
        <v>2984180.9400000004</v>
      </c>
      <c r="U1749" s="20">
        <f t="shared" si="39"/>
        <v>2990621.62</v>
      </c>
      <c r="V1749" s="20">
        <f t="shared" si="39"/>
        <v>2993502.98</v>
      </c>
      <c r="W1749" s="20">
        <f t="shared" si="39"/>
        <v>2999888.08</v>
      </c>
      <c r="X1749" s="20">
        <f t="shared" si="39"/>
        <v>3015362.6799999997</v>
      </c>
      <c r="Y1749" s="20">
        <f t="shared" si="39"/>
        <v>3016005.05</v>
      </c>
      <c r="Z1749" s="20">
        <f t="shared" si="39"/>
        <v>3025184.43</v>
      </c>
      <c r="AA1749" s="20">
        <f t="shared" si="39"/>
        <v>3025184.43</v>
      </c>
      <c r="AB1749" s="20">
        <f t="shared" si="39"/>
        <v>3029082.73</v>
      </c>
      <c r="AC1749" s="20">
        <f>+AC1751+AC1753+AC1755+AC1756+AC1757+AC1758+AC1759+AC1760+AC1761</f>
        <v>3029082.73</v>
      </c>
      <c r="AD1749" s="20">
        <f t="shared" ref="AD1749:AO1749" si="40">+AD1751+AD1753+AD1755+AD1756+AD1757+AD1758+AD1759+AD1760+AD1761</f>
        <v>3029082.73</v>
      </c>
      <c r="AE1749" s="20">
        <f t="shared" si="40"/>
        <v>3029082.73</v>
      </c>
      <c r="AF1749" s="20">
        <f t="shared" si="40"/>
        <v>3042408.4799999995</v>
      </c>
      <c r="AG1749" s="20">
        <f t="shared" si="40"/>
        <v>3044658.4799999995</v>
      </c>
      <c r="AH1749" s="20">
        <f t="shared" si="40"/>
        <v>3044658.4799999995</v>
      </c>
      <c r="AI1749" s="20">
        <f t="shared" si="40"/>
        <v>3062630.5199999996</v>
      </c>
      <c r="AJ1749" s="20">
        <f t="shared" si="40"/>
        <v>3107241.68</v>
      </c>
      <c r="AK1749" s="20">
        <f t="shared" si="40"/>
        <v>3107241.68</v>
      </c>
      <c r="AL1749" s="20">
        <f t="shared" si="40"/>
        <v>3110547.2700000005</v>
      </c>
      <c r="AM1749" s="20">
        <f t="shared" si="40"/>
        <v>3116309.9800000004</v>
      </c>
      <c r="AN1749" s="20">
        <f t="shared" si="40"/>
        <v>3117029.47</v>
      </c>
      <c r="AO1749" s="20">
        <f t="shared" si="40"/>
        <v>3119195.42</v>
      </c>
    </row>
    <row r="1750" spans="1:41" s="15" customFormat="1" ht="14.25" x14ac:dyDescent="0.2">
      <c r="A1750" s="18">
        <v>180301</v>
      </c>
      <c r="B1750" s="19" t="s">
        <v>301</v>
      </c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  <c r="S1750" s="20"/>
      <c r="T1750" s="20"/>
      <c r="U1750" s="20"/>
      <c r="V1750" s="20"/>
      <c r="W1750" s="20"/>
      <c r="X1750" s="20"/>
      <c r="Y1750" s="20"/>
      <c r="Z1750" s="20"/>
      <c r="AA1750" s="20"/>
      <c r="AB1750" s="20"/>
      <c r="AC1750" s="20"/>
      <c r="AD1750" s="20"/>
      <c r="AE1750" s="20"/>
      <c r="AF1750" s="20"/>
      <c r="AG1750" s="20"/>
      <c r="AH1750" s="20"/>
      <c r="AI1750" s="20"/>
      <c r="AJ1750" s="20"/>
      <c r="AK1750" s="20"/>
      <c r="AL1750" s="20"/>
      <c r="AM1750" s="20"/>
      <c r="AN1750" s="20"/>
      <c r="AO1750" s="20"/>
    </row>
    <row r="1751" spans="1:41" s="15" customFormat="1" ht="14.25" x14ac:dyDescent="0.2">
      <c r="A1751" s="18" t="s">
        <v>1391</v>
      </c>
      <c r="B1751" s="19" t="s">
        <v>1392</v>
      </c>
      <c r="C1751" s="20">
        <v>712213.31</v>
      </c>
      <c r="D1751" s="20">
        <v>712213.31</v>
      </c>
      <c r="E1751" s="20">
        <v>712213.31</v>
      </c>
      <c r="F1751" s="20">
        <v>712459.67</v>
      </c>
      <c r="G1751" s="20">
        <v>712459.67</v>
      </c>
      <c r="H1751" s="20">
        <v>712459.67</v>
      </c>
      <c r="I1751" s="20">
        <v>713832.89</v>
      </c>
      <c r="J1751" s="20">
        <v>713832.89</v>
      </c>
      <c r="K1751" s="20">
        <v>715849.84</v>
      </c>
      <c r="L1751" s="20">
        <v>715849.84</v>
      </c>
      <c r="M1751" s="20">
        <v>715849.84</v>
      </c>
      <c r="N1751" s="20">
        <v>715849.84</v>
      </c>
      <c r="O1751" s="20">
        <v>715849.84</v>
      </c>
      <c r="P1751" s="20">
        <v>716443.06</v>
      </c>
      <c r="Q1751" s="20">
        <v>716443.06</v>
      </c>
      <c r="R1751" s="20">
        <v>716443.06</v>
      </c>
      <c r="S1751" s="20">
        <v>716443.06</v>
      </c>
      <c r="T1751" s="20">
        <v>716443.06</v>
      </c>
      <c r="U1751" s="20">
        <v>722883.74</v>
      </c>
      <c r="V1751" s="20">
        <v>722883.74</v>
      </c>
      <c r="W1751" s="20">
        <v>722883.74</v>
      </c>
      <c r="X1751" s="20">
        <v>722883.74</v>
      </c>
      <c r="Y1751" s="20">
        <v>722883.74</v>
      </c>
      <c r="Z1751" s="20">
        <v>722883.74</v>
      </c>
      <c r="AA1751" s="20">
        <v>722883.74</v>
      </c>
      <c r="AB1751" s="20">
        <v>722883.74</v>
      </c>
      <c r="AC1751" s="20">
        <v>722883.74</v>
      </c>
      <c r="AD1751" s="20">
        <v>722883.74</v>
      </c>
      <c r="AE1751" s="20">
        <v>722883.74</v>
      </c>
      <c r="AF1751" s="20">
        <v>722883.74</v>
      </c>
      <c r="AG1751" s="20">
        <v>725133.74</v>
      </c>
      <c r="AH1751" s="20">
        <v>725133.74</v>
      </c>
      <c r="AI1751" s="20">
        <v>725133.74</v>
      </c>
      <c r="AJ1751" s="20">
        <v>730295.52</v>
      </c>
      <c r="AK1751" s="20">
        <v>730295.52</v>
      </c>
      <c r="AL1751" s="20">
        <v>732965.52</v>
      </c>
      <c r="AM1751" s="20">
        <v>732965.52</v>
      </c>
      <c r="AN1751" s="20">
        <v>732965.52</v>
      </c>
      <c r="AO1751" s="20">
        <v>732965.52</v>
      </c>
    </row>
    <row r="1752" spans="1:41" s="15" customFormat="1" ht="14.25" x14ac:dyDescent="0.2">
      <c r="A1752" s="18">
        <v>180302</v>
      </c>
      <c r="B1752" s="19" t="s">
        <v>328</v>
      </c>
      <c r="C1752" s="20"/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  <c r="N1752" s="20"/>
      <c r="O1752" s="20"/>
      <c r="P1752" s="20"/>
      <c r="Q1752" s="20"/>
      <c r="R1752" s="20"/>
      <c r="S1752" s="20"/>
      <c r="T1752" s="20"/>
      <c r="U1752" s="20"/>
      <c r="V1752" s="20"/>
      <c r="W1752" s="20"/>
      <c r="X1752" s="20"/>
      <c r="Y1752" s="20"/>
      <c r="Z1752" s="20"/>
      <c r="AA1752" s="20"/>
      <c r="AB1752" s="20"/>
      <c r="AC1752" s="20"/>
      <c r="AD1752" s="20"/>
      <c r="AE1752" s="20"/>
      <c r="AF1752" s="20"/>
      <c r="AG1752" s="20"/>
      <c r="AH1752" s="20"/>
      <c r="AI1752" s="20"/>
      <c r="AJ1752" s="20"/>
      <c r="AK1752" s="20"/>
      <c r="AL1752" s="20"/>
      <c r="AM1752" s="20"/>
      <c r="AN1752" s="20"/>
      <c r="AO1752" s="20"/>
    </row>
    <row r="1753" spans="1:41" s="15" customFormat="1" ht="14.25" x14ac:dyDescent="0.2">
      <c r="A1753" s="18" t="s">
        <v>1393</v>
      </c>
      <c r="B1753" s="19" t="s">
        <v>1394</v>
      </c>
      <c r="C1753" s="20">
        <v>1003586.95</v>
      </c>
      <c r="D1753" s="20">
        <v>1003586.95</v>
      </c>
      <c r="E1753" s="20">
        <v>1006558.32</v>
      </c>
      <c r="F1753" s="20">
        <v>1010087.13</v>
      </c>
      <c r="G1753" s="20">
        <v>1012172.73</v>
      </c>
      <c r="H1753" s="20">
        <v>1015884.6</v>
      </c>
      <c r="I1753" s="20">
        <v>1015884.6</v>
      </c>
      <c r="J1753" s="20">
        <v>1015884.6</v>
      </c>
      <c r="K1753" s="20">
        <v>1015884.6</v>
      </c>
      <c r="L1753" s="20">
        <v>1015884.6</v>
      </c>
      <c r="M1753" s="20">
        <v>1016144.6</v>
      </c>
      <c r="N1753" s="20">
        <v>1016144.6</v>
      </c>
      <c r="O1753" s="20">
        <v>1018195.45</v>
      </c>
      <c r="P1753" s="20">
        <v>1035592.41</v>
      </c>
      <c r="Q1753" s="20">
        <v>1035592.41</v>
      </c>
      <c r="R1753" s="20">
        <v>1037478.87</v>
      </c>
      <c r="S1753" s="20">
        <v>1037478.87</v>
      </c>
      <c r="T1753" s="20">
        <v>1037478.87</v>
      </c>
      <c r="U1753" s="20">
        <v>1037478.87</v>
      </c>
      <c r="V1753" s="20">
        <v>1040360.23</v>
      </c>
      <c r="W1753" s="20">
        <v>1043546.33</v>
      </c>
      <c r="X1753" s="20">
        <v>1043546.33</v>
      </c>
      <c r="Y1753" s="20">
        <v>1044188.7</v>
      </c>
      <c r="Z1753" s="20">
        <v>1045871.75</v>
      </c>
      <c r="AA1753" s="20">
        <v>1045871.75</v>
      </c>
      <c r="AB1753" s="20">
        <v>1045871.75</v>
      </c>
      <c r="AC1753" s="20">
        <v>1045871.75</v>
      </c>
      <c r="AD1753" s="20">
        <v>1045871.75</v>
      </c>
      <c r="AE1753" s="20">
        <v>1045871.75</v>
      </c>
      <c r="AF1753" s="20">
        <v>1047372.6</v>
      </c>
      <c r="AG1753" s="20">
        <v>1047372.6</v>
      </c>
      <c r="AH1753" s="20">
        <v>1047372.6</v>
      </c>
      <c r="AI1753" s="20">
        <v>1064497.18</v>
      </c>
      <c r="AJ1753" s="20">
        <v>1100243.17</v>
      </c>
      <c r="AK1753" s="20">
        <v>1100243.17</v>
      </c>
      <c r="AL1753" s="20">
        <v>1100878.76</v>
      </c>
      <c r="AM1753" s="20">
        <v>1106641.47</v>
      </c>
      <c r="AN1753" s="20">
        <v>1107360.96</v>
      </c>
      <c r="AO1753" s="20">
        <v>1108259.96</v>
      </c>
    </row>
    <row r="1754" spans="1:41" s="15" customFormat="1" ht="14.25" x14ac:dyDescent="0.2">
      <c r="A1754" s="18">
        <v>180309</v>
      </c>
      <c r="B1754" s="19" t="s">
        <v>329</v>
      </c>
      <c r="C1754" s="20"/>
      <c r="D1754" s="20"/>
      <c r="E1754" s="20"/>
      <c r="F1754" s="20"/>
      <c r="G1754" s="20"/>
      <c r="H1754" s="20"/>
      <c r="I1754" s="20"/>
      <c r="J1754" s="20"/>
      <c r="K1754" s="20"/>
      <c r="L1754" s="20"/>
      <c r="M1754" s="20"/>
      <c r="N1754" s="20"/>
      <c r="O1754" s="20"/>
      <c r="P1754" s="20"/>
      <c r="Q1754" s="20"/>
      <c r="R1754" s="20"/>
      <c r="S1754" s="20"/>
      <c r="T1754" s="20"/>
      <c r="U1754" s="20"/>
      <c r="V1754" s="20"/>
      <c r="W1754" s="20"/>
      <c r="X1754" s="20"/>
      <c r="Y1754" s="20"/>
      <c r="Z1754" s="20"/>
      <c r="AA1754" s="20"/>
      <c r="AB1754" s="20"/>
      <c r="AC1754" s="20"/>
      <c r="AD1754" s="20"/>
      <c r="AE1754" s="20"/>
      <c r="AF1754" s="20"/>
      <c r="AG1754" s="20"/>
      <c r="AH1754" s="20"/>
      <c r="AI1754" s="20"/>
      <c r="AJ1754" s="20"/>
      <c r="AK1754" s="20"/>
      <c r="AL1754" s="20"/>
      <c r="AM1754" s="20"/>
      <c r="AN1754" s="20"/>
      <c r="AO1754" s="20"/>
    </row>
    <row r="1755" spans="1:41" s="15" customFormat="1" ht="14.25" x14ac:dyDescent="0.2">
      <c r="A1755" s="18" t="s">
        <v>1395</v>
      </c>
      <c r="B1755" s="19" t="s">
        <v>1396</v>
      </c>
      <c r="C1755" s="20">
        <v>58768.99</v>
      </c>
      <c r="D1755" s="20">
        <v>58768.99</v>
      </c>
      <c r="E1755" s="20">
        <v>67108.820000000007</v>
      </c>
      <c r="F1755" s="20">
        <v>67108.820000000007</v>
      </c>
      <c r="G1755" s="20">
        <v>67108.820000000007</v>
      </c>
      <c r="H1755" s="20">
        <v>67108.820000000007</v>
      </c>
      <c r="I1755" s="20">
        <v>67108.820000000007</v>
      </c>
      <c r="J1755" s="20">
        <v>67108.820000000007</v>
      </c>
      <c r="K1755" s="20">
        <v>67108.820000000007</v>
      </c>
      <c r="L1755" s="20">
        <v>67108.820000000007</v>
      </c>
      <c r="M1755" s="20">
        <v>67380.009999999995</v>
      </c>
      <c r="N1755" s="20">
        <v>67380.009999999995</v>
      </c>
      <c r="O1755" s="20">
        <v>67380.009999999995</v>
      </c>
      <c r="P1755" s="20">
        <v>67380.009999999995</v>
      </c>
      <c r="Q1755" s="20">
        <v>67380.009999999995</v>
      </c>
      <c r="R1755" s="20">
        <v>67380.009999999995</v>
      </c>
      <c r="S1755" s="20">
        <v>67380.009999999995</v>
      </c>
      <c r="T1755" s="20">
        <v>67380.009999999995</v>
      </c>
      <c r="U1755" s="20">
        <v>67380.009999999995</v>
      </c>
      <c r="V1755" s="20">
        <v>67380.009999999995</v>
      </c>
      <c r="W1755" s="20">
        <v>67380.009999999995</v>
      </c>
      <c r="X1755" s="20">
        <v>81080.88</v>
      </c>
      <c r="Y1755" s="20">
        <v>81080.88</v>
      </c>
      <c r="Z1755" s="20">
        <v>81080.88</v>
      </c>
      <c r="AA1755" s="20">
        <v>81080.88</v>
      </c>
      <c r="AB1755" s="20">
        <v>81080.88</v>
      </c>
      <c r="AC1755" s="20">
        <v>81080.88</v>
      </c>
      <c r="AD1755" s="20">
        <v>81080.88</v>
      </c>
      <c r="AE1755" s="20">
        <v>81080.88</v>
      </c>
      <c r="AF1755" s="20">
        <v>81080.88</v>
      </c>
      <c r="AG1755" s="20">
        <v>81080.88</v>
      </c>
      <c r="AH1755" s="20">
        <v>81080.88</v>
      </c>
      <c r="AI1755" s="20">
        <v>81080.88</v>
      </c>
      <c r="AJ1755" s="20">
        <v>81080.88</v>
      </c>
      <c r="AK1755" s="20">
        <v>81080.88</v>
      </c>
      <c r="AL1755" s="20">
        <v>81080.88</v>
      </c>
      <c r="AM1755" s="20">
        <v>81080.88</v>
      </c>
      <c r="AN1755" s="20">
        <v>81080.88</v>
      </c>
      <c r="AO1755" s="20">
        <v>81080.88</v>
      </c>
    </row>
    <row r="1756" spans="1:41" s="15" customFormat="1" ht="14.25" x14ac:dyDescent="0.2">
      <c r="A1756" s="18" t="s">
        <v>1397</v>
      </c>
      <c r="B1756" s="19" t="s">
        <v>1398</v>
      </c>
      <c r="C1756" s="20">
        <v>485293.59</v>
      </c>
      <c r="D1756" s="20">
        <v>485293.59</v>
      </c>
      <c r="E1756" s="20">
        <v>485293.59</v>
      </c>
      <c r="F1756" s="20">
        <v>485293.59</v>
      </c>
      <c r="G1756" s="20">
        <v>485293.59</v>
      </c>
      <c r="H1756" s="20">
        <v>485293.59</v>
      </c>
      <c r="I1756" s="20">
        <v>485293.59</v>
      </c>
      <c r="J1756" s="20">
        <v>485293.59</v>
      </c>
      <c r="K1756" s="20">
        <v>485293.59</v>
      </c>
      <c r="L1756" s="20">
        <v>485293.59</v>
      </c>
      <c r="M1756" s="20">
        <v>485293.59</v>
      </c>
      <c r="N1756" s="20">
        <v>485293.59</v>
      </c>
      <c r="O1756" s="20">
        <v>485293.59</v>
      </c>
      <c r="P1756" s="20">
        <v>485293.59</v>
      </c>
      <c r="Q1756" s="20">
        <v>485293.59</v>
      </c>
      <c r="R1756" s="20">
        <v>485293.59</v>
      </c>
      <c r="S1756" s="20">
        <v>485293.59</v>
      </c>
      <c r="T1756" s="20">
        <v>485293.59</v>
      </c>
      <c r="U1756" s="20">
        <v>485293.59</v>
      </c>
      <c r="V1756" s="20">
        <v>485293.59</v>
      </c>
      <c r="W1756" s="20">
        <v>485293.59</v>
      </c>
      <c r="X1756" s="20">
        <v>485293.59</v>
      </c>
      <c r="Y1756" s="20">
        <v>485293.59</v>
      </c>
      <c r="Z1756" s="20">
        <v>485293.59</v>
      </c>
      <c r="AA1756" s="20">
        <v>485293.59</v>
      </c>
      <c r="AB1756" s="20">
        <v>485293.59</v>
      </c>
      <c r="AC1756" s="20">
        <v>485293.59</v>
      </c>
      <c r="AD1756" s="20">
        <v>485293.59</v>
      </c>
      <c r="AE1756" s="20">
        <v>485293.59</v>
      </c>
      <c r="AF1756" s="20">
        <v>485293.59</v>
      </c>
      <c r="AG1756" s="20">
        <v>485293.59</v>
      </c>
      <c r="AH1756" s="20">
        <v>485293.59</v>
      </c>
      <c r="AI1756" s="20">
        <v>485293.59</v>
      </c>
      <c r="AJ1756" s="20">
        <v>487090.2</v>
      </c>
      <c r="AK1756" s="20">
        <v>487090.2</v>
      </c>
      <c r="AL1756" s="20">
        <v>487090.2</v>
      </c>
      <c r="AM1756" s="20">
        <v>487090.2</v>
      </c>
      <c r="AN1756" s="20">
        <v>487090.2</v>
      </c>
      <c r="AO1756" s="20">
        <v>487090.2</v>
      </c>
    </row>
    <row r="1757" spans="1:41" s="15" customFormat="1" ht="14.25" x14ac:dyDescent="0.2">
      <c r="A1757" s="18" t="s">
        <v>1399</v>
      </c>
      <c r="B1757" s="19" t="s">
        <v>1400</v>
      </c>
      <c r="C1757" s="20">
        <v>153397.5</v>
      </c>
      <c r="D1757" s="20">
        <v>153397.5</v>
      </c>
      <c r="E1757" s="20">
        <v>153397.5</v>
      </c>
      <c r="F1757" s="20">
        <v>153879.70000000001</v>
      </c>
      <c r="G1757" s="20">
        <v>153879.70000000001</v>
      </c>
      <c r="H1757" s="20">
        <v>153879.70000000001</v>
      </c>
      <c r="I1757" s="20">
        <v>153879.70000000001</v>
      </c>
      <c r="J1757" s="20">
        <v>153879.70000000001</v>
      </c>
      <c r="K1757" s="20">
        <v>153879.70000000001</v>
      </c>
      <c r="L1757" s="20">
        <v>153879.70000000001</v>
      </c>
      <c r="M1757" s="20">
        <v>154099.70000000001</v>
      </c>
      <c r="N1757" s="20">
        <v>154099.70000000001</v>
      </c>
      <c r="O1757" s="20">
        <v>154099.70000000001</v>
      </c>
      <c r="P1757" s="20">
        <v>154099.70000000001</v>
      </c>
      <c r="Q1757" s="20">
        <v>154099.70000000001</v>
      </c>
      <c r="R1757" s="20">
        <v>154099.70000000001</v>
      </c>
      <c r="S1757" s="20">
        <v>154099.70000000001</v>
      </c>
      <c r="T1757" s="20">
        <v>154099.70000000001</v>
      </c>
      <c r="U1757" s="20">
        <v>154099.70000000001</v>
      </c>
      <c r="V1757" s="20">
        <v>154099.70000000001</v>
      </c>
      <c r="W1757" s="20">
        <v>154099.70000000001</v>
      </c>
      <c r="X1757" s="20">
        <v>154099.70000000001</v>
      </c>
      <c r="Y1757" s="20">
        <v>154099.70000000001</v>
      </c>
      <c r="Z1757" s="20">
        <v>154099.70000000001</v>
      </c>
      <c r="AA1757" s="20">
        <v>154099.70000000001</v>
      </c>
      <c r="AB1757" s="20">
        <v>154099.70000000001</v>
      </c>
      <c r="AC1757" s="20">
        <v>154099.70000000001</v>
      </c>
      <c r="AD1757" s="20">
        <v>154099.70000000001</v>
      </c>
      <c r="AE1757" s="20">
        <v>154099.70000000001</v>
      </c>
      <c r="AF1757" s="20">
        <v>154099.70000000001</v>
      </c>
      <c r="AG1757" s="20">
        <v>154099.70000000001</v>
      </c>
      <c r="AH1757" s="20">
        <v>154099.70000000001</v>
      </c>
      <c r="AI1757" s="20">
        <v>154099.70000000001</v>
      </c>
      <c r="AJ1757" s="20">
        <v>154099.70000000001</v>
      </c>
      <c r="AK1757" s="20">
        <v>154099.70000000001</v>
      </c>
      <c r="AL1757" s="20">
        <v>154099.70000000001</v>
      </c>
      <c r="AM1757" s="20">
        <v>154099.70000000001</v>
      </c>
      <c r="AN1757" s="20">
        <v>154099.70000000001</v>
      </c>
      <c r="AO1757" s="20">
        <v>154099.70000000001</v>
      </c>
    </row>
    <row r="1758" spans="1:41" s="15" customFormat="1" ht="14.25" x14ac:dyDescent="0.2">
      <c r="A1758" s="18" t="s">
        <v>1401</v>
      </c>
      <c r="B1758" s="19" t="s">
        <v>1402</v>
      </c>
      <c r="C1758" s="20">
        <v>346882.43</v>
      </c>
      <c r="D1758" s="20">
        <v>347799.29</v>
      </c>
      <c r="E1758" s="20">
        <v>348349.29</v>
      </c>
      <c r="F1758" s="20">
        <v>354452.47</v>
      </c>
      <c r="G1758" s="20">
        <v>359801.62</v>
      </c>
      <c r="H1758" s="20">
        <v>360436.37</v>
      </c>
      <c r="I1758" s="20">
        <v>360436.37</v>
      </c>
      <c r="J1758" s="20">
        <v>360901.62</v>
      </c>
      <c r="K1758" s="20">
        <v>360901.62</v>
      </c>
      <c r="L1758" s="20">
        <v>360901.62</v>
      </c>
      <c r="M1758" s="20">
        <v>360901.62</v>
      </c>
      <c r="N1758" s="20">
        <v>361554.16</v>
      </c>
      <c r="O1758" s="20">
        <v>361193.99</v>
      </c>
      <c r="P1758" s="20">
        <v>364829.24</v>
      </c>
      <c r="Q1758" s="20">
        <v>364829.24</v>
      </c>
      <c r="R1758" s="20">
        <v>364829.24</v>
      </c>
      <c r="S1758" s="20">
        <v>367095.34</v>
      </c>
      <c r="T1758" s="20">
        <v>367095.34</v>
      </c>
      <c r="U1758" s="20">
        <v>367095.34</v>
      </c>
      <c r="V1758" s="20">
        <v>367095.34</v>
      </c>
      <c r="W1758" s="20">
        <v>370294.34</v>
      </c>
      <c r="X1758" s="20">
        <v>372068.07</v>
      </c>
      <c r="Y1758" s="20">
        <v>372068.07</v>
      </c>
      <c r="Z1758" s="20">
        <v>379564.4</v>
      </c>
      <c r="AA1758" s="20">
        <v>379564.4</v>
      </c>
      <c r="AB1758" s="20">
        <v>379564.4</v>
      </c>
      <c r="AC1758" s="20">
        <v>379564.4</v>
      </c>
      <c r="AD1758" s="20">
        <v>379564.4</v>
      </c>
      <c r="AE1758" s="20">
        <v>379564.4</v>
      </c>
      <c r="AF1758" s="20">
        <v>381980.4</v>
      </c>
      <c r="AG1758" s="20">
        <v>381980.4</v>
      </c>
      <c r="AH1758" s="20">
        <v>381980.4</v>
      </c>
      <c r="AI1758" s="20">
        <v>382827.86</v>
      </c>
      <c r="AJ1758" s="20">
        <v>384734.64</v>
      </c>
      <c r="AK1758" s="20">
        <v>384734.64</v>
      </c>
      <c r="AL1758" s="20">
        <v>384734.64</v>
      </c>
      <c r="AM1758" s="20">
        <v>384734.64</v>
      </c>
      <c r="AN1758" s="20">
        <v>384734.64</v>
      </c>
      <c r="AO1758" s="20">
        <v>384734.64</v>
      </c>
    </row>
    <row r="1759" spans="1:41" s="15" customFormat="1" ht="14.25" x14ac:dyDescent="0.2">
      <c r="A1759" s="18" t="s">
        <v>1403</v>
      </c>
      <c r="B1759" s="19" t="s">
        <v>1404</v>
      </c>
      <c r="C1759" s="20">
        <v>129477.74</v>
      </c>
      <c r="D1759" s="20">
        <v>129477.74</v>
      </c>
      <c r="E1759" s="20">
        <v>129477.74</v>
      </c>
      <c r="F1759" s="20">
        <v>129477.74</v>
      </c>
      <c r="G1759" s="20">
        <v>129477.74</v>
      </c>
      <c r="H1759" s="20">
        <v>130113.33</v>
      </c>
      <c r="I1759" s="20">
        <v>130113.33</v>
      </c>
      <c r="J1759" s="20">
        <v>130113.33</v>
      </c>
      <c r="K1759" s="20">
        <v>130113.33</v>
      </c>
      <c r="L1759" s="20">
        <v>130113.33</v>
      </c>
      <c r="M1759" s="20">
        <v>130113.33</v>
      </c>
      <c r="N1759" s="20">
        <v>130113.33</v>
      </c>
      <c r="O1759" s="20">
        <v>130113.33</v>
      </c>
      <c r="P1759" s="20">
        <v>130113.33</v>
      </c>
      <c r="Q1759" s="20">
        <v>130113.33</v>
      </c>
      <c r="R1759" s="20">
        <v>130113.33</v>
      </c>
      <c r="S1759" s="20">
        <v>130113.33</v>
      </c>
      <c r="T1759" s="20">
        <v>130113.33</v>
      </c>
      <c r="U1759" s="20">
        <v>130113.33</v>
      </c>
      <c r="V1759" s="20">
        <v>130113.33</v>
      </c>
      <c r="W1759" s="20">
        <v>130113.33</v>
      </c>
      <c r="X1759" s="20">
        <v>130113.33</v>
      </c>
      <c r="Y1759" s="20">
        <v>130113.33</v>
      </c>
      <c r="Z1759" s="20">
        <v>130113.33</v>
      </c>
      <c r="AA1759" s="20">
        <v>130113.33</v>
      </c>
      <c r="AB1759" s="20">
        <v>130113.33</v>
      </c>
      <c r="AC1759" s="20">
        <v>130113.33</v>
      </c>
      <c r="AD1759" s="20">
        <v>130113.33</v>
      </c>
      <c r="AE1759" s="20">
        <v>130113.33</v>
      </c>
      <c r="AF1759" s="20">
        <v>139522.23000000001</v>
      </c>
      <c r="AG1759" s="20">
        <v>139522.23000000001</v>
      </c>
      <c r="AH1759" s="20">
        <v>139522.23000000001</v>
      </c>
      <c r="AI1759" s="20">
        <v>139522.23000000001</v>
      </c>
      <c r="AJ1759" s="20">
        <v>139522.23000000001</v>
      </c>
      <c r="AK1759" s="20">
        <v>139522.23000000001</v>
      </c>
      <c r="AL1759" s="20">
        <v>139522.23000000001</v>
      </c>
      <c r="AM1759" s="20">
        <v>139522.23000000001</v>
      </c>
      <c r="AN1759" s="20">
        <v>139522.23000000001</v>
      </c>
      <c r="AO1759" s="20">
        <v>139522.23000000001</v>
      </c>
    </row>
    <row r="1760" spans="1:41" s="15" customFormat="1" ht="14.25" x14ac:dyDescent="0.2">
      <c r="A1760" s="18" t="s">
        <v>1405</v>
      </c>
      <c r="B1760" s="19" t="s">
        <v>1406</v>
      </c>
      <c r="C1760" s="20">
        <v>2990.68</v>
      </c>
      <c r="D1760" s="20">
        <v>3914.41</v>
      </c>
      <c r="E1760" s="20">
        <v>4217.8</v>
      </c>
      <c r="F1760" s="20">
        <v>4217.8</v>
      </c>
      <c r="G1760" s="20">
        <v>4217.8</v>
      </c>
      <c r="H1760" s="20">
        <v>4217.8</v>
      </c>
      <c r="I1760" s="20">
        <v>4217.8</v>
      </c>
      <c r="J1760" s="20">
        <v>4217.8</v>
      </c>
      <c r="K1760" s="20">
        <v>4217.8</v>
      </c>
      <c r="L1760" s="20">
        <v>4217.8</v>
      </c>
      <c r="M1760" s="20">
        <v>4217.8</v>
      </c>
      <c r="N1760" s="20">
        <v>4217.8</v>
      </c>
      <c r="O1760" s="20">
        <v>4217.8</v>
      </c>
      <c r="P1760" s="20">
        <v>4217.8</v>
      </c>
      <c r="Q1760" s="20">
        <v>4217.8</v>
      </c>
      <c r="R1760" s="20">
        <v>5870.34</v>
      </c>
      <c r="S1760" s="20">
        <v>5870.34</v>
      </c>
      <c r="T1760" s="20">
        <v>5870.34</v>
      </c>
      <c r="U1760" s="20">
        <v>5870.34</v>
      </c>
      <c r="V1760" s="20">
        <v>5870.34</v>
      </c>
      <c r="W1760" s="20">
        <v>5870.34</v>
      </c>
      <c r="X1760" s="20">
        <v>5870.34</v>
      </c>
      <c r="Y1760" s="20">
        <v>5870.34</v>
      </c>
      <c r="Z1760" s="20">
        <v>5870.34</v>
      </c>
      <c r="AA1760" s="20">
        <v>5870.34</v>
      </c>
      <c r="AB1760" s="20">
        <v>5870.34</v>
      </c>
      <c r="AC1760" s="20">
        <v>5870.34</v>
      </c>
      <c r="AD1760" s="20">
        <v>5870.34</v>
      </c>
      <c r="AE1760" s="20">
        <v>5870.34</v>
      </c>
      <c r="AF1760" s="20">
        <v>5870.34</v>
      </c>
      <c r="AG1760" s="20">
        <v>5870.34</v>
      </c>
      <c r="AH1760" s="20">
        <v>5870.34</v>
      </c>
      <c r="AI1760" s="20">
        <v>5870.34</v>
      </c>
      <c r="AJ1760" s="20">
        <v>5870.34</v>
      </c>
      <c r="AK1760" s="20">
        <v>5870.34</v>
      </c>
      <c r="AL1760" s="20">
        <v>5870.34</v>
      </c>
      <c r="AM1760" s="20">
        <v>5870.34</v>
      </c>
      <c r="AN1760" s="20">
        <v>5870.34</v>
      </c>
      <c r="AO1760" s="20">
        <v>6191.53</v>
      </c>
    </row>
    <row r="1761" spans="1:41" s="15" customFormat="1" ht="14.25" x14ac:dyDescent="0.2">
      <c r="A1761" s="18" t="s">
        <v>1407</v>
      </c>
      <c r="B1761" s="19" t="s">
        <v>1408</v>
      </c>
      <c r="C1761" s="20">
        <v>19814.330000000002</v>
      </c>
      <c r="D1761" s="20">
        <v>19814.330000000002</v>
      </c>
      <c r="E1761" s="20">
        <v>19814.330000000002</v>
      </c>
      <c r="F1761" s="20">
        <v>20406.7</v>
      </c>
      <c r="G1761" s="20">
        <v>20406.7</v>
      </c>
      <c r="H1761" s="20">
        <v>20406.7</v>
      </c>
      <c r="I1761" s="20">
        <v>20406.7</v>
      </c>
      <c r="J1761" s="20">
        <v>20406.7</v>
      </c>
      <c r="K1761" s="20">
        <v>20406.7</v>
      </c>
      <c r="L1761" s="20">
        <v>20406.7</v>
      </c>
      <c r="M1761" s="20">
        <v>20406.7</v>
      </c>
      <c r="N1761" s="20">
        <v>20406.7</v>
      </c>
      <c r="O1761" s="20">
        <v>20406.7</v>
      </c>
      <c r="P1761" s="20">
        <v>20406.7</v>
      </c>
      <c r="Q1761" s="20">
        <v>20406.7</v>
      </c>
      <c r="R1761" s="20">
        <v>20406.7</v>
      </c>
      <c r="S1761" s="20">
        <v>20406.7</v>
      </c>
      <c r="T1761" s="20">
        <v>20406.7</v>
      </c>
      <c r="U1761" s="20">
        <v>20406.7</v>
      </c>
      <c r="V1761" s="20">
        <v>20406.7</v>
      </c>
      <c r="W1761" s="20">
        <v>20406.7</v>
      </c>
      <c r="X1761" s="20">
        <v>20406.7</v>
      </c>
      <c r="Y1761" s="20">
        <v>20406.7</v>
      </c>
      <c r="Z1761" s="20">
        <v>20406.7</v>
      </c>
      <c r="AA1761" s="20">
        <v>20406.7</v>
      </c>
      <c r="AB1761" s="20">
        <v>24305</v>
      </c>
      <c r="AC1761" s="20">
        <v>24305</v>
      </c>
      <c r="AD1761" s="20">
        <v>24305</v>
      </c>
      <c r="AE1761" s="20">
        <v>24305</v>
      </c>
      <c r="AF1761" s="20">
        <v>24305</v>
      </c>
      <c r="AG1761" s="20">
        <v>24305</v>
      </c>
      <c r="AH1761" s="20">
        <v>24305</v>
      </c>
      <c r="AI1761" s="20">
        <v>24305</v>
      </c>
      <c r="AJ1761" s="20">
        <v>24305</v>
      </c>
      <c r="AK1761" s="20">
        <v>24305</v>
      </c>
      <c r="AL1761" s="20">
        <v>24305</v>
      </c>
      <c r="AM1761" s="20">
        <v>24305</v>
      </c>
      <c r="AN1761" s="20">
        <v>24305</v>
      </c>
      <c r="AO1761" s="20">
        <v>25250.76</v>
      </c>
    </row>
    <row r="1762" spans="1:41" s="15" customFormat="1" ht="14.25" x14ac:dyDescent="0.2">
      <c r="A1762" s="18">
        <v>1804</v>
      </c>
      <c r="B1762" s="19" t="s">
        <v>330</v>
      </c>
      <c r="C1762" s="20"/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  <c r="N1762" s="20"/>
      <c r="O1762" s="20"/>
      <c r="P1762" s="20"/>
      <c r="Q1762" s="20"/>
      <c r="R1762" s="20"/>
      <c r="S1762" s="20"/>
      <c r="T1762" s="20"/>
      <c r="U1762" s="20"/>
      <c r="V1762" s="20"/>
      <c r="W1762" s="20"/>
      <c r="X1762" s="20"/>
      <c r="Y1762" s="20"/>
      <c r="Z1762" s="20"/>
      <c r="AA1762" s="20"/>
      <c r="AB1762" s="20"/>
      <c r="AC1762" s="20"/>
      <c r="AD1762" s="20"/>
      <c r="AE1762" s="20"/>
      <c r="AF1762" s="20"/>
      <c r="AG1762" s="20"/>
      <c r="AH1762" s="20"/>
      <c r="AI1762" s="20"/>
      <c r="AJ1762" s="20"/>
      <c r="AK1762" s="20"/>
      <c r="AL1762" s="20"/>
      <c r="AM1762" s="20"/>
      <c r="AN1762" s="20"/>
      <c r="AO1762" s="20"/>
    </row>
    <row r="1763" spans="1:41" s="15" customFormat="1" ht="14.25" x14ac:dyDescent="0.2">
      <c r="A1763" s="18">
        <v>180401</v>
      </c>
      <c r="B1763" s="19" t="s">
        <v>331</v>
      </c>
      <c r="C1763" s="20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  <c r="S1763" s="20"/>
      <c r="T1763" s="20"/>
      <c r="U1763" s="20"/>
      <c r="V1763" s="20"/>
      <c r="W1763" s="20"/>
      <c r="X1763" s="20"/>
      <c r="Y1763" s="20"/>
      <c r="Z1763" s="20"/>
      <c r="AA1763" s="20"/>
      <c r="AB1763" s="20"/>
      <c r="AC1763" s="20"/>
      <c r="AD1763" s="20"/>
      <c r="AE1763" s="20"/>
      <c r="AF1763" s="20"/>
      <c r="AG1763" s="20"/>
      <c r="AH1763" s="20"/>
      <c r="AI1763" s="20"/>
      <c r="AJ1763" s="20"/>
      <c r="AK1763" s="20"/>
      <c r="AL1763" s="20"/>
      <c r="AM1763" s="20"/>
      <c r="AN1763" s="20"/>
      <c r="AO1763" s="20"/>
    </row>
    <row r="1764" spans="1:41" s="15" customFormat="1" ht="14.25" x14ac:dyDescent="0.2">
      <c r="A1764" s="18" t="s">
        <v>1409</v>
      </c>
      <c r="B1764" s="19" t="s">
        <v>1410</v>
      </c>
      <c r="C1764" s="20">
        <v>0</v>
      </c>
      <c r="D1764" s="20"/>
      <c r="E1764" s="20"/>
      <c r="F1764" s="20"/>
      <c r="G1764" s="20"/>
      <c r="H1764" s="20"/>
      <c r="I1764" s="20"/>
      <c r="J1764" s="20"/>
      <c r="K1764" s="20"/>
      <c r="L1764" s="20"/>
      <c r="M1764" s="20"/>
      <c r="N1764" s="20"/>
      <c r="O1764" s="20"/>
      <c r="P1764" s="20"/>
      <c r="Q1764" s="20"/>
      <c r="R1764" s="20"/>
      <c r="S1764" s="20"/>
      <c r="T1764" s="20"/>
      <c r="U1764" s="20"/>
      <c r="V1764" s="20"/>
      <c r="W1764" s="20"/>
      <c r="X1764" s="20"/>
      <c r="Y1764" s="20"/>
      <c r="Z1764" s="20"/>
      <c r="AA1764" s="20"/>
      <c r="AB1764" s="20"/>
      <c r="AC1764" s="20"/>
      <c r="AD1764" s="20"/>
      <c r="AE1764" s="20"/>
      <c r="AF1764" s="20"/>
      <c r="AG1764" s="20"/>
      <c r="AH1764" s="20"/>
      <c r="AI1764" s="20"/>
      <c r="AJ1764" s="20"/>
      <c r="AK1764" s="20"/>
      <c r="AL1764" s="20"/>
      <c r="AM1764" s="20"/>
      <c r="AN1764" s="20"/>
      <c r="AO1764" s="20"/>
    </row>
    <row r="1765" spans="1:41" s="15" customFormat="1" ht="14.25" x14ac:dyDescent="0.2">
      <c r="A1765" s="18">
        <v>180402</v>
      </c>
      <c r="B1765" s="19" t="s">
        <v>304</v>
      </c>
      <c r="C1765" s="20"/>
      <c r="D1765" s="20"/>
      <c r="E1765" s="20"/>
      <c r="F1765" s="20"/>
      <c r="G1765" s="20"/>
      <c r="H1765" s="20"/>
      <c r="I1765" s="20"/>
      <c r="J1765" s="20"/>
      <c r="K1765" s="20"/>
      <c r="L1765" s="20"/>
      <c r="M1765" s="20"/>
      <c r="N1765" s="20"/>
      <c r="O1765" s="20"/>
      <c r="P1765" s="20"/>
      <c r="Q1765" s="20"/>
      <c r="R1765" s="20"/>
      <c r="S1765" s="20"/>
      <c r="T1765" s="20"/>
      <c r="U1765" s="20"/>
      <c r="V1765" s="20"/>
      <c r="W1765" s="20"/>
      <c r="X1765" s="20"/>
      <c r="Y1765" s="20"/>
      <c r="Z1765" s="20"/>
      <c r="AA1765" s="20"/>
      <c r="AB1765" s="20"/>
      <c r="AC1765" s="20"/>
      <c r="AD1765" s="20"/>
      <c r="AE1765" s="20"/>
      <c r="AF1765" s="20"/>
      <c r="AG1765" s="20"/>
      <c r="AH1765" s="20"/>
      <c r="AI1765" s="20"/>
      <c r="AJ1765" s="20"/>
      <c r="AK1765" s="20"/>
      <c r="AL1765" s="20"/>
      <c r="AM1765" s="20"/>
      <c r="AN1765" s="20"/>
      <c r="AO1765" s="20"/>
    </row>
    <row r="1766" spans="1:41" ht="14.25" x14ac:dyDescent="0.2">
      <c r="A1766" s="2">
        <v>1805</v>
      </c>
      <c r="B1766" s="3" t="s">
        <v>332</v>
      </c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9"/>
    </row>
    <row r="1767" spans="1:41" ht="14.25" x14ac:dyDescent="0.2">
      <c r="A1767" s="2">
        <v>180501</v>
      </c>
      <c r="B1767" s="3" t="s">
        <v>333</v>
      </c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9"/>
    </row>
    <row r="1768" spans="1:41" ht="14.25" x14ac:dyDescent="0.2">
      <c r="A1768" s="2">
        <v>180502</v>
      </c>
      <c r="B1768" s="3" t="s">
        <v>334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9"/>
    </row>
    <row r="1769" spans="1:41" ht="28.5" x14ac:dyDescent="0.2">
      <c r="A1769" s="2">
        <v>180503</v>
      </c>
      <c r="B1769" s="4" t="s">
        <v>335</v>
      </c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</row>
    <row r="1770" spans="1:41" ht="14.25" x14ac:dyDescent="0.2">
      <c r="A1770" s="2">
        <v>180509</v>
      </c>
      <c r="B1770" s="3" t="s">
        <v>336</v>
      </c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</row>
    <row r="1771" spans="1:41" ht="14.25" x14ac:dyDescent="0.2">
      <c r="A1771" s="2">
        <v>1806</v>
      </c>
      <c r="B1771" s="3" t="s">
        <v>337</v>
      </c>
      <c r="C1771" s="20">
        <f>+C1772</f>
        <v>16962247.48</v>
      </c>
      <c r="D1771" s="20">
        <f t="shared" ref="D1771:AO1771" si="41">+D1772</f>
        <v>16962247.48</v>
      </c>
      <c r="E1771" s="20">
        <f t="shared" si="41"/>
        <v>16962247.48</v>
      </c>
      <c r="F1771" s="20">
        <f t="shared" si="41"/>
        <v>16962247.48</v>
      </c>
      <c r="G1771" s="20">
        <f t="shared" si="41"/>
        <v>16988247.48</v>
      </c>
      <c r="H1771" s="20">
        <f t="shared" si="41"/>
        <v>16988247.48</v>
      </c>
      <c r="I1771" s="20">
        <f t="shared" si="41"/>
        <v>16988247.48</v>
      </c>
      <c r="J1771" s="20">
        <f t="shared" si="41"/>
        <v>16988247.48</v>
      </c>
      <c r="K1771" s="20">
        <f t="shared" si="41"/>
        <v>16988247.48</v>
      </c>
      <c r="L1771" s="20">
        <f t="shared" si="41"/>
        <v>16988247.48</v>
      </c>
      <c r="M1771" s="20">
        <f t="shared" si="41"/>
        <v>16988247.48</v>
      </c>
      <c r="N1771" s="20">
        <f t="shared" si="41"/>
        <v>16988247.48</v>
      </c>
      <c r="O1771" s="20">
        <f t="shared" si="41"/>
        <v>16988247.48</v>
      </c>
      <c r="P1771" s="20">
        <f t="shared" si="41"/>
        <v>16988247.48</v>
      </c>
      <c r="Q1771" s="20">
        <f t="shared" si="41"/>
        <v>16988247.48</v>
      </c>
      <c r="R1771" s="20">
        <f t="shared" si="41"/>
        <v>16988247.48</v>
      </c>
      <c r="S1771" s="20">
        <f t="shared" si="41"/>
        <v>16988247.48</v>
      </c>
      <c r="T1771" s="20">
        <f t="shared" si="41"/>
        <v>16988247.48</v>
      </c>
      <c r="U1771" s="20">
        <f t="shared" si="41"/>
        <v>16988247.48</v>
      </c>
      <c r="V1771" s="20">
        <f t="shared" si="41"/>
        <v>16988247.48</v>
      </c>
      <c r="W1771" s="20">
        <f t="shared" si="41"/>
        <v>16988247.48</v>
      </c>
      <c r="X1771" s="20">
        <f t="shared" si="41"/>
        <v>16988247.48</v>
      </c>
      <c r="Y1771" s="20">
        <f t="shared" si="41"/>
        <v>16988247.48</v>
      </c>
      <c r="Z1771" s="20">
        <f t="shared" si="41"/>
        <v>16988247.48</v>
      </c>
      <c r="AA1771" s="20">
        <f t="shared" si="41"/>
        <v>16988247.48</v>
      </c>
      <c r="AB1771" s="20">
        <f t="shared" si="41"/>
        <v>16988247.48</v>
      </c>
      <c r="AC1771" s="20">
        <f t="shared" si="41"/>
        <v>16988247.48</v>
      </c>
      <c r="AD1771" s="20">
        <f t="shared" si="41"/>
        <v>16988247.48</v>
      </c>
      <c r="AE1771" s="20">
        <f t="shared" si="41"/>
        <v>16988247.48</v>
      </c>
      <c r="AF1771" s="20">
        <f t="shared" si="41"/>
        <v>16988247.48</v>
      </c>
      <c r="AG1771" s="20">
        <f t="shared" si="41"/>
        <v>16988247.48</v>
      </c>
      <c r="AH1771" s="20">
        <f t="shared" si="41"/>
        <v>16988247.48</v>
      </c>
      <c r="AI1771" s="20">
        <f t="shared" si="41"/>
        <v>16988247.48</v>
      </c>
      <c r="AJ1771" s="20">
        <f t="shared" si="41"/>
        <v>16988247.48</v>
      </c>
      <c r="AK1771" s="20">
        <f t="shared" si="41"/>
        <v>16988247.48</v>
      </c>
      <c r="AL1771" s="20">
        <f t="shared" si="41"/>
        <v>16988247.48</v>
      </c>
      <c r="AM1771" s="20">
        <f t="shared" si="41"/>
        <v>16988247.48</v>
      </c>
      <c r="AN1771" s="20">
        <f t="shared" si="41"/>
        <v>16988247.48</v>
      </c>
      <c r="AO1771" s="20">
        <f t="shared" si="41"/>
        <v>8536368.459999999</v>
      </c>
    </row>
    <row r="1772" spans="1:41" ht="14.25" x14ac:dyDescent="0.2">
      <c r="A1772" s="2">
        <v>180601</v>
      </c>
      <c r="B1772" s="3" t="s">
        <v>338</v>
      </c>
      <c r="C1772" s="20">
        <f>SUM(C1775:C1781)</f>
        <v>16962247.48</v>
      </c>
      <c r="D1772" s="20">
        <f t="shared" ref="D1772:AO1772" si="42">SUM(D1775:D1781)</f>
        <v>16962247.48</v>
      </c>
      <c r="E1772" s="20">
        <f t="shared" si="42"/>
        <v>16962247.48</v>
      </c>
      <c r="F1772" s="20">
        <f t="shared" si="42"/>
        <v>16962247.48</v>
      </c>
      <c r="G1772" s="20">
        <f t="shared" si="42"/>
        <v>16988247.48</v>
      </c>
      <c r="H1772" s="20">
        <f t="shared" si="42"/>
        <v>16988247.48</v>
      </c>
      <c r="I1772" s="20">
        <f t="shared" si="42"/>
        <v>16988247.48</v>
      </c>
      <c r="J1772" s="20">
        <f t="shared" si="42"/>
        <v>16988247.48</v>
      </c>
      <c r="K1772" s="20">
        <f t="shared" si="42"/>
        <v>16988247.48</v>
      </c>
      <c r="L1772" s="20">
        <f t="shared" si="42"/>
        <v>16988247.48</v>
      </c>
      <c r="M1772" s="20">
        <f t="shared" si="42"/>
        <v>16988247.48</v>
      </c>
      <c r="N1772" s="20">
        <f t="shared" si="42"/>
        <v>16988247.48</v>
      </c>
      <c r="O1772" s="20">
        <f t="shared" si="42"/>
        <v>16988247.48</v>
      </c>
      <c r="P1772" s="20">
        <f t="shared" si="42"/>
        <v>16988247.48</v>
      </c>
      <c r="Q1772" s="20">
        <f t="shared" si="42"/>
        <v>16988247.48</v>
      </c>
      <c r="R1772" s="20">
        <f t="shared" si="42"/>
        <v>16988247.48</v>
      </c>
      <c r="S1772" s="20">
        <f t="shared" si="42"/>
        <v>16988247.48</v>
      </c>
      <c r="T1772" s="20">
        <f t="shared" si="42"/>
        <v>16988247.48</v>
      </c>
      <c r="U1772" s="20">
        <f t="shared" si="42"/>
        <v>16988247.48</v>
      </c>
      <c r="V1772" s="20">
        <f t="shared" si="42"/>
        <v>16988247.48</v>
      </c>
      <c r="W1772" s="20">
        <f t="shared" si="42"/>
        <v>16988247.48</v>
      </c>
      <c r="X1772" s="20">
        <f t="shared" si="42"/>
        <v>16988247.48</v>
      </c>
      <c r="Y1772" s="20">
        <f t="shared" si="42"/>
        <v>16988247.48</v>
      </c>
      <c r="Z1772" s="20">
        <f t="shared" si="42"/>
        <v>16988247.48</v>
      </c>
      <c r="AA1772" s="20">
        <f t="shared" si="42"/>
        <v>16988247.48</v>
      </c>
      <c r="AB1772" s="20">
        <f t="shared" si="42"/>
        <v>16988247.48</v>
      </c>
      <c r="AC1772" s="20">
        <f t="shared" si="42"/>
        <v>16988247.48</v>
      </c>
      <c r="AD1772" s="20">
        <f t="shared" si="42"/>
        <v>16988247.48</v>
      </c>
      <c r="AE1772" s="20">
        <f t="shared" si="42"/>
        <v>16988247.48</v>
      </c>
      <c r="AF1772" s="20">
        <f t="shared" si="42"/>
        <v>16988247.48</v>
      </c>
      <c r="AG1772" s="20">
        <f t="shared" si="42"/>
        <v>16988247.48</v>
      </c>
      <c r="AH1772" s="20">
        <f t="shared" si="42"/>
        <v>16988247.48</v>
      </c>
      <c r="AI1772" s="20">
        <f t="shared" si="42"/>
        <v>16988247.48</v>
      </c>
      <c r="AJ1772" s="20">
        <f t="shared" si="42"/>
        <v>16988247.48</v>
      </c>
      <c r="AK1772" s="20">
        <f t="shared" si="42"/>
        <v>16988247.48</v>
      </c>
      <c r="AL1772" s="20">
        <f t="shared" si="42"/>
        <v>16988247.48</v>
      </c>
      <c r="AM1772" s="20">
        <f t="shared" si="42"/>
        <v>16988247.48</v>
      </c>
      <c r="AN1772" s="20">
        <f t="shared" si="42"/>
        <v>16988247.48</v>
      </c>
      <c r="AO1772" s="20">
        <f t="shared" si="42"/>
        <v>8536368.459999999</v>
      </c>
    </row>
    <row r="1773" spans="1:41" ht="14.25" x14ac:dyDescent="0.2">
      <c r="A1773" s="2">
        <v>18060101</v>
      </c>
      <c r="B1773" s="3" t="s">
        <v>339</v>
      </c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9"/>
    </row>
    <row r="1774" spans="1:41" ht="14.25" x14ac:dyDescent="0.2">
      <c r="A1774" s="2">
        <v>1806010101</v>
      </c>
      <c r="B1774" s="3" t="s">
        <v>340</v>
      </c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</row>
    <row r="1775" spans="1:41" s="15" customFormat="1" ht="14.25" x14ac:dyDescent="0.2">
      <c r="A1775" s="18" t="s">
        <v>1411</v>
      </c>
      <c r="B1775" s="19" t="s">
        <v>1412</v>
      </c>
      <c r="C1775" s="20">
        <v>7254778.1699999999</v>
      </c>
      <c r="D1775" s="20">
        <v>7254778.1699999999</v>
      </c>
      <c r="E1775" s="20">
        <v>7254778.1699999999</v>
      </c>
      <c r="F1775" s="20">
        <v>7254778.1699999999</v>
      </c>
      <c r="G1775" s="20">
        <v>7254778.1699999999</v>
      </c>
      <c r="H1775" s="20">
        <v>7254778.1699999999</v>
      </c>
      <c r="I1775" s="20">
        <v>7254778.1699999999</v>
      </c>
      <c r="J1775" s="20">
        <v>7254778.1699999999</v>
      </c>
      <c r="K1775" s="20">
        <v>7254778.1699999999</v>
      </c>
      <c r="L1775" s="20">
        <v>7254778.1699999999</v>
      </c>
      <c r="M1775" s="20">
        <v>7254778.1699999999</v>
      </c>
      <c r="N1775" s="20">
        <v>7254778.1699999999</v>
      </c>
      <c r="O1775" s="20">
        <v>7254778.1699999999</v>
      </c>
      <c r="P1775" s="20">
        <v>7254778.1699999999</v>
      </c>
      <c r="Q1775" s="20">
        <v>7254778.1699999999</v>
      </c>
      <c r="R1775" s="20">
        <v>7254778.1699999999</v>
      </c>
      <c r="S1775" s="20">
        <v>7254778.1699999999</v>
      </c>
      <c r="T1775" s="20">
        <v>7254778.1699999999</v>
      </c>
      <c r="U1775" s="20">
        <v>7254778.1699999999</v>
      </c>
      <c r="V1775" s="20">
        <v>7254778.1699999999</v>
      </c>
      <c r="W1775" s="20">
        <v>7254778.1699999999</v>
      </c>
      <c r="X1775" s="20">
        <v>7254778.1699999999</v>
      </c>
      <c r="Y1775" s="20">
        <v>7254778.1699999999</v>
      </c>
      <c r="Z1775" s="20">
        <v>7254778.1699999999</v>
      </c>
      <c r="AA1775" s="20">
        <v>7254778.1699999999</v>
      </c>
      <c r="AB1775" s="20">
        <v>7254778.1699999999</v>
      </c>
      <c r="AC1775" s="20">
        <v>7254778.1699999999</v>
      </c>
      <c r="AD1775" s="20">
        <v>7254778.1699999999</v>
      </c>
      <c r="AE1775" s="20">
        <v>7254778.1699999999</v>
      </c>
      <c r="AF1775" s="20">
        <v>7254778.1699999999</v>
      </c>
      <c r="AG1775" s="20">
        <v>7254778.1699999999</v>
      </c>
      <c r="AH1775" s="20">
        <v>7254778.1699999999</v>
      </c>
      <c r="AI1775" s="20">
        <v>7254778.1699999999</v>
      </c>
      <c r="AJ1775" s="20">
        <v>7254778.1699999999</v>
      </c>
      <c r="AK1775" s="20">
        <v>7254778.1699999999</v>
      </c>
      <c r="AL1775" s="20">
        <v>7254778.1699999999</v>
      </c>
      <c r="AM1775" s="20">
        <v>7254778.1699999999</v>
      </c>
      <c r="AN1775" s="20">
        <v>7254778.1699999999</v>
      </c>
      <c r="AO1775" s="20">
        <v>7254778.1699999999</v>
      </c>
    </row>
    <row r="1776" spans="1:41" s="15" customFormat="1" ht="14.25" x14ac:dyDescent="0.2">
      <c r="A1776" s="18" t="s">
        <v>1413</v>
      </c>
      <c r="B1776" s="19" t="s">
        <v>1414</v>
      </c>
      <c r="C1776" s="20">
        <v>8451879.0199999996</v>
      </c>
      <c r="D1776" s="20">
        <v>8451879.0199999996</v>
      </c>
      <c r="E1776" s="20">
        <v>8451879.0199999996</v>
      </c>
      <c r="F1776" s="20">
        <v>8451879.0199999996</v>
      </c>
      <c r="G1776" s="20">
        <v>8451879.0199999996</v>
      </c>
      <c r="H1776" s="20">
        <v>8451879.0199999996</v>
      </c>
      <c r="I1776" s="20">
        <v>8451879.0199999996</v>
      </c>
      <c r="J1776" s="20">
        <v>8451879.0199999996</v>
      </c>
      <c r="K1776" s="20">
        <v>8451879.0199999996</v>
      </c>
      <c r="L1776" s="20">
        <v>8451879.0199999996</v>
      </c>
      <c r="M1776" s="20">
        <v>8451879.0199999996</v>
      </c>
      <c r="N1776" s="20">
        <v>8451879.0199999996</v>
      </c>
      <c r="O1776" s="20">
        <v>8451879.0199999996</v>
      </c>
      <c r="P1776" s="20">
        <v>8451879.0199999996</v>
      </c>
      <c r="Q1776" s="20">
        <v>8451879.0199999996</v>
      </c>
      <c r="R1776" s="20">
        <v>8451879.0199999996</v>
      </c>
      <c r="S1776" s="20">
        <v>8451879.0199999996</v>
      </c>
      <c r="T1776" s="20">
        <v>8451879.0199999996</v>
      </c>
      <c r="U1776" s="20">
        <v>8451879.0199999996</v>
      </c>
      <c r="V1776" s="20">
        <v>8451879.0199999996</v>
      </c>
      <c r="W1776" s="20">
        <v>8451879.0199999996</v>
      </c>
      <c r="X1776" s="20">
        <v>8451879.0199999996</v>
      </c>
      <c r="Y1776" s="20">
        <v>8451879.0199999996</v>
      </c>
      <c r="Z1776" s="20">
        <v>8451879.0199999996</v>
      </c>
      <c r="AA1776" s="20">
        <v>8451879.0199999996</v>
      </c>
      <c r="AB1776" s="20">
        <v>8451879.0199999996</v>
      </c>
      <c r="AC1776" s="20">
        <v>8451879.0199999996</v>
      </c>
      <c r="AD1776" s="20">
        <v>8451879.0199999996</v>
      </c>
      <c r="AE1776" s="20">
        <v>8451879.0199999996</v>
      </c>
      <c r="AF1776" s="20">
        <v>8451879.0199999996</v>
      </c>
      <c r="AG1776" s="20">
        <v>8451879.0199999996</v>
      </c>
      <c r="AH1776" s="20">
        <v>8451879.0199999996</v>
      </c>
      <c r="AI1776" s="20">
        <v>8451879.0199999996</v>
      </c>
      <c r="AJ1776" s="20">
        <v>8451879.0199999996</v>
      </c>
      <c r="AK1776" s="20">
        <v>8451879.0199999996</v>
      </c>
      <c r="AL1776" s="20">
        <v>8451879.0199999996</v>
      </c>
      <c r="AM1776" s="20">
        <v>8451879.0199999996</v>
      </c>
      <c r="AN1776" s="20">
        <v>8451879.0199999996</v>
      </c>
      <c r="AO1776" s="20">
        <v>0</v>
      </c>
    </row>
    <row r="1777" spans="1:41" s="15" customFormat="1" ht="14.25" x14ac:dyDescent="0.2">
      <c r="A1777" s="18" t="s">
        <v>1415</v>
      </c>
      <c r="B1777" s="19" t="s">
        <v>1416</v>
      </c>
      <c r="C1777" s="20">
        <v>333589.92</v>
      </c>
      <c r="D1777" s="20">
        <v>333589.92</v>
      </c>
      <c r="E1777" s="20">
        <v>333589.92</v>
      </c>
      <c r="F1777" s="20">
        <v>333589.92</v>
      </c>
      <c r="G1777" s="20">
        <v>359589.92</v>
      </c>
      <c r="H1777" s="20">
        <v>359589.92</v>
      </c>
      <c r="I1777" s="20">
        <v>359589.92</v>
      </c>
      <c r="J1777" s="20">
        <v>359589.92</v>
      </c>
      <c r="K1777" s="20">
        <v>359589.92</v>
      </c>
      <c r="L1777" s="20">
        <v>359589.92</v>
      </c>
      <c r="M1777" s="20">
        <v>359589.92</v>
      </c>
      <c r="N1777" s="20">
        <v>359589.92</v>
      </c>
      <c r="O1777" s="20">
        <v>359589.92</v>
      </c>
      <c r="P1777" s="20">
        <v>359589.92</v>
      </c>
      <c r="Q1777" s="20">
        <v>359589.92</v>
      </c>
      <c r="R1777" s="20">
        <v>359589.92</v>
      </c>
      <c r="S1777" s="20">
        <v>359589.92</v>
      </c>
      <c r="T1777" s="20">
        <v>359589.92</v>
      </c>
      <c r="U1777" s="20">
        <v>359589.92</v>
      </c>
      <c r="V1777" s="20">
        <v>359589.92</v>
      </c>
      <c r="W1777" s="20">
        <v>359589.92</v>
      </c>
      <c r="X1777" s="20">
        <v>359589.92</v>
      </c>
      <c r="Y1777" s="20">
        <v>359589.92</v>
      </c>
      <c r="Z1777" s="20">
        <v>359589.92</v>
      </c>
      <c r="AA1777" s="20">
        <v>359589.92</v>
      </c>
      <c r="AB1777" s="20">
        <v>359589.92</v>
      </c>
      <c r="AC1777" s="20">
        <v>359589.92</v>
      </c>
      <c r="AD1777" s="20">
        <v>359589.92</v>
      </c>
      <c r="AE1777" s="20">
        <v>359589.92</v>
      </c>
      <c r="AF1777" s="20">
        <v>359589.92</v>
      </c>
      <c r="AG1777" s="20">
        <v>359589.92</v>
      </c>
      <c r="AH1777" s="20">
        <v>359589.92</v>
      </c>
      <c r="AI1777" s="20">
        <v>359589.92</v>
      </c>
      <c r="AJ1777" s="20">
        <v>359589.92</v>
      </c>
      <c r="AK1777" s="20">
        <v>359589.92</v>
      </c>
      <c r="AL1777" s="20">
        <v>359589.92</v>
      </c>
      <c r="AM1777" s="20">
        <v>359589.92</v>
      </c>
      <c r="AN1777" s="20">
        <v>359589.92</v>
      </c>
      <c r="AO1777" s="20">
        <v>359589.92</v>
      </c>
    </row>
    <row r="1778" spans="1:41" s="15" customFormat="1" ht="14.25" x14ac:dyDescent="0.2">
      <c r="A1778" s="18" t="s">
        <v>1417</v>
      </c>
      <c r="B1778" s="19" t="s">
        <v>1418</v>
      </c>
      <c r="C1778" s="20">
        <v>100845.29</v>
      </c>
      <c r="D1778" s="20">
        <v>100845.29</v>
      </c>
      <c r="E1778" s="20">
        <v>100845.29</v>
      </c>
      <c r="F1778" s="20">
        <v>100845.29</v>
      </c>
      <c r="G1778" s="20">
        <v>100845.29</v>
      </c>
      <c r="H1778" s="20">
        <v>100845.29</v>
      </c>
      <c r="I1778" s="20">
        <v>100845.29</v>
      </c>
      <c r="J1778" s="20">
        <v>100845.29</v>
      </c>
      <c r="K1778" s="20">
        <v>100845.29</v>
      </c>
      <c r="L1778" s="20">
        <v>100845.29</v>
      </c>
      <c r="M1778" s="20">
        <v>100845.29</v>
      </c>
      <c r="N1778" s="20">
        <v>100845.29</v>
      </c>
      <c r="O1778" s="20">
        <v>100845.29</v>
      </c>
      <c r="P1778" s="20">
        <v>100845.29</v>
      </c>
      <c r="Q1778" s="20">
        <v>100845.29</v>
      </c>
      <c r="R1778" s="20">
        <v>100845.29</v>
      </c>
      <c r="S1778" s="20">
        <v>100845.29</v>
      </c>
      <c r="T1778" s="20">
        <v>100845.29</v>
      </c>
      <c r="U1778" s="20">
        <v>100845.29</v>
      </c>
      <c r="V1778" s="20">
        <v>100845.29</v>
      </c>
      <c r="W1778" s="20">
        <v>100845.29</v>
      </c>
      <c r="X1778" s="20">
        <v>100845.29</v>
      </c>
      <c r="Y1778" s="20">
        <v>100845.29</v>
      </c>
      <c r="Z1778" s="20">
        <v>100845.29</v>
      </c>
      <c r="AA1778" s="20">
        <v>100845.29</v>
      </c>
      <c r="AB1778" s="20">
        <v>100845.29</v>
      </c>
      <c r="AC1778" s="20">
        <v>100845.29</v>
      </c>
      <c r="AD1778" s="20">
        <v>100845.29</v>
      </c>
      <c r="AE1778" s="20">
        <v>100845.29</v>
      </c>
      <c r="AF1778" s="20">
        <v>100845.29</v>
      </c>
      <c r="AG1778" s="20">
        <v>100845.29</v>
      </c>
      <c r="AH1778" s="20">
        <v>100845.29</v>
      </c>
      <c r="AI1778" s="20">
        <v>100845.29</v>
      </c>
      <c r="AJ1778" s="20">
        <v>100845.29</v>
      </c>
      <c r="AK1778" s="20">
        <v>100845.29</v>
      </c>
      <c r="AL1778" s="20">
        <v>100845.29</v>
      </c>
      <c r="AM1778" s="20">
        <v>100845.29</v>
      </c>
      <c r="AN1778" s="20">
        <v>100845.29</v>
      </c>
      <c r="AO1778" s="20">
        <v>100845.29</v>
      </c>
    </row>
    <row r="1779" spans="1:41" s="15" customFormat="1" ht="14.25" x14ac:dyDescent="0.2">
      <c r="A1779" s="18" t="s">
        <v>1419</v>
      </c>
      <c r="B1779" s="19" t="s">
        <v>1420</v>
      </c>
      <c r="C1779" s="20">
        <v>589096.89</v>
      </c>
      <c r="D1779" s="20">
        <v>589096.89</v>
      </c>
      <c r="E1779" s="20">
        <v>589096.89</v>
      </c>
      <c r="F1779" s="20">
        <v>589096.89</v>
      </c>
      <c r="G1779" s="20">
        <v>589096.89</v>
      </c>
      <c r="H1779" s="20">
        <v>589096.89</v>
      </c>
      <c r="I1779" s="20">
        <v>589096.89</v>
      </c>
      <c r="J1779" s="20">
        <v>589096.89</v>
      </c>
      <c r="K1779" s="20">
        <v>589096.89</v>
      </c>
      <c r="L1779" s="20">
        <v>589096.89</v>
      </c>
      <c r="M1779" s="20">
        <v>589096.89</v>
      </c>
      <c r="N1779" s="20">
        <v>589096.89</v>
      </c>
      <c r="O1779" s="20">
        <v>589096.89</v>
      </c>
      <c r="P1779" s="20">
        <v>589096.89</v>
      </c>
      <c r="Q1779" s="20">
        <v>589096.89</v>
      </c>
      <c r="R1779" s="20">
        <v>589096.89</v>
      </c>
      <c r="S1779" s="20">
        <v>589096.89</v>
      </c>
      <c r="T1779" s="20">
        <v>589096.89</v>
      </c>
      <c r="U1779" s="20">
        <v>589096.89</v>
      </c>
      <c r="V1779" s="20">
        <v>589096.89</v>
      </c>
      <c r="W1779" s="20">
        <v>589096.89</v>
      </c>
      <c r="X1779" s="20">
        <v>589096.89</v>
      </c>
      <c r="Y1779" s="20">
        <v>589096.89</v>
      </c>
      <c r="Z1779" s="20">
        <v>589096.89</v>
      </c>
      <c r="AA1779" s="20">
        <v>589096.89</v>
      </c>
      <c r="AB1779" s="20">
        <v>589096.89</v>
      </c>
      <c r="AC1779" s="20">
        <v>589096.89</v>
      </c>
      <c r="AD1779" s="20">
        <v>589096.89</v>
      </c>
      <c r="AE1779" s="20">
        <v>589096.89</v>
      </c>
      <c r="AF1779" s="20">
        <v>589096.89</v>
      </c>
      <c r="AG1779" s="20">
        <v>589096.89</v>
      </c>
      <c r="AH1779" s="20">
        <v>589096.89</v>
      </c>
      <c r="AI1779" s="20">
        <v>589096.89</v>
      </c>
      <c r="AJ1779" s="20">
        <v>589096.89</v>
      </c>
      <c r="AK1779" s="20">
        <v>589096.89</v>
      </c>
      <c r="AL1779" s="20">
        <v>589096.89</v>
      </c>
      <c r="AM1779" s="20">
        <v>589096.89</v>
      </c>
      <c r="AN1779" s="20">
        <v>589096.89</v>
      </c>
      <c r="AO1779" s="20">
        <v>589096.89</v>
      </c>
    </row>
    <row r="1780" spans="1:41" s="15" customFormat="1" ht="14.25" x14ac:dyDescent="0.2">
      <c r="A1780" s="18" t="s">
        <v>1421</v>
      </c>
      <c r="B1780" s="19" t="s">
        <v>1422</v>
      </c>
      <c r="C1780" s="20">
        <v>202252.25</v>
      </c>
      <c r="D1780" s="20">
        <v>202252.25</v>
      </c>
      <c r="E1780" s="20">
        <v>202252.25</v>
      </c>
      <c r="F1780" s="20">
        <v>202252.25</v>
      </c>
      <c r="G1780" s="20">
        <v>202252.25</v>
      </c>
      <c r="H1780" s="20">
        <v>202252.25</v>
      </c>
      <c r="I1780" s="20">
        <v>202252.25</v>
      </c>
      <c r="J1780" s="20">
        <v>202252.25</v>
      </c>
      <c r="K1780" s="20">
        <v>202252.25</v>
      </c>
      <c r="L1780" s="20">
        <v>202252.25</v>
      </c>
      <c r="M1780" s="20">
        <v>202252.25</v>
      </c>
      <c r="N1780" s="20">
        <v>202252.25</v>
      </c>
      <c r="O1780" s="20">
        <v>202252.25</v>
      </c>
      <c r="P1780" s="20">
        <v>202252.25</v>
      </c>
      <c r="Q1780" s="20">
        <v>202252.25</v>
      </c>
      <c r="R1780" s="20">
        <v>202252.25</v>
      </c>
      <c r="S1780" s="20">
        <v>202252.25</v>
      </c>
      <c r="T1780" s="20">
        <v>202252.25</v>
      </c>
      <c r="U1780" s="20">
        <v>202252.25</v>
      </c>
      <c r="V1780" s="20">
        <v>202252.25</v>
      </c>
      <c r="W1780" s="20">
        <v>202252.25</v>
      </c>
      <c r="X1780" s="20">
        <v>202252.25</v>
      </c>
      <c r="Y1780" s="20">
        <v>202252.25</v>
      </c>
      <c r="Z1780" s="20">
        <v>202252.25</v>
      </c>
      <c r="AA1780" s="20">
        <v>202252.25</v>
      </c>
      <c r="AB1780" s="20">
        <v>202252.25</v>
      </c>
      <c r="AC1780" s="20">
        <v>202252.25</v>
      </c>
      <c r="AD1780" s="20">
        <v>202252.25</v>
      </c>
      <c r="AE1780" s="20">
        <v>202252.25</v>
      </c>
      <c r="AF1780" s="20">
        <v>202252.25</v>
      </c>
      <c r="AG1780" s="20">
        <v>202252.25</v>
      </c>
      <c r="AH1780" s="20">
        <v>202252.25</v>
      </c>
      <c r="AI1780" s="20">
        <v>202252.25</v>
      </c>
      <c r="AJ1780" s="20">
        <v>202252.25</v>
      </c>
      <c r="AK1780" s="20">
        <v>202252.25</v>
      </c>
      <c r="AL1780" s="20">
        <v>202252.25</v>
      </c>
      <c r="AM1780" s="20">
        <v>202252.25</v>
      </c>
      <c r="AN1780" s="20">
        <v>202252.25</v>
      </c>
      <c r="AO1780" s="20">
        <v>202252.25</v>
      </c>
    </row>
    <row r="1781" spans="1:41" s="15" customFormat="1" ht="14.25" x14ac:dyDescent="0.2">
      <c r="A1781" s="18" t="s">
        <v>1423</v>
      </c>
      <c r="B1781" s="19" t="s">
        <v>1424</v>
      </c>
      <c r="C1781" s="20">
        <v>29805.94</v>
      </c>
      <c r="D1781" s="20">
        <v>29805.94</v>
      </c>
      <c r="E1781" s="20">
        <v>29805.94</v>
      </c>
      <c r="F1781" s="20">
        <v>29805.94</v>
      </c>
      <c r="G1781" s="20">
        <v>29805.94</v>
      </c>
      <c r="H1781" s="20">
        <v>29805.94</v>
      </c>
      <c r="I1781" s="20">
        <v>29805.94</v>
      </c>
      <c r="J1781" s="20">
        <v>29805.94</v>
      </c>
      <c r="K1781" s="20">
        <v>29805.94</v>
      </c>
      <c r="L1781" s="20">
        <v>29805.94</v>
      </c>
      <c r="M1781" s="20">
        <v>29805.94</v>
      </c>
      <c r="N1781" s="20">
        <v>29805.94</v>
      </c>
      <c r="O1781" s="20">
        <v>29805.94</v>
      </c>
      <c r="P1781" s="20">
        <v>29805.94</v>
      </c>
      <c r="Q1781" s="20">
        <v>29805.94</v>
      </c>
      <c r="R1781" s="20">
        <v>29805.94</v>
      </c>
      <c r="S1781" s="20">
        <v>29805.94</v>
      </c>
      <c r="T1781" s="20">
        <v>29805.94</v>
      </c>
      <c r="U1781" s="20">
        <v>29805.94</v>
      </c>
      <c r="V1781" s="20">
        <v>29805.94</v>
      </c>
      <c r="W1781" s="20">
        <v>29805.94</v>
      </c>
      <c r="X1781" s="20">
        <v>29805.94</v>
      </c>
      <c r="Y1781" s="20">
        <v>29805.94</v>
      </c>
      <c r="Z1781" s="20">
        <v>29805.94</v>
      </c>
      <c r="AA1781" s="20">
        <v>29805.94</v>
      </c>
      <c r="AB1781" s="20">
        <v>29805.94</v>
      </c>
      <c r="AC1781" s="20">
        <v>29805.94</v>
      </c>
      <c r="AD1781" s="20">
        <v>29805.94</v>
      </c>
      <c r="AE1781" s="20">
        <v>29805.94</v>
      </c>
      <c r="AF1781" s="20">
        <v>29805.94</v>
      </c>
      <c r="AG1781" s="20">
        <v>29805.94</v>
      </c>
      <c r="AH1781" s="20">
        <v>29805.94</v>
      </c>
      <c r="AI1781" s="20">
        <v>29805.94</v>
      </c>
      <c r="AJ1781" s="20">
        <v>29805.94</v>
      </c>
      <c r="AK1781" s="20">
        <v>29805.94</v>
      </c>
      <c r="AL1781" s="20">
        <v>29805.94</v>
      </c>
      <c r="AM1781" s="20">
        <v>29805.94</v>
      </c>
      <c r="AN1781" s="20">
        <v>29805.94</v>
      </c>
      <c r="AO1781" s="20">
        <v>29805.94</v>
      </c>
    </row>
    <row r="1782" spans="1:41" ht="14.25" x14ac:dyDescent="0.2">
      <c r="A1782" s="2">
        <v>1806010102</v>
      </c>
      <c r="B1782" s="3" t="s">
        <v>341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</row>
    <row r="1783" spans="1:41" ht="14.25" x14ac:dyDescent="0.2">
      <c r="A1783" s="2">
        <v>18060102</v>
      </c>
      <c r="B1783" s="3" t="s">
        <v>342</v>
      </c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9"/>
    </row>
    <row r="1784" spans="1:41" ht="14.25" x14ac:dyDescent="0.2">
      <c r="A1784" s="2">
        <v>1806010201</v>
      </c>
      <c r="B1784" s="3" t="s">
        <v>340</v>
      </c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</row>
    <row r="1785" spans="1:41" ht="14.25" x14ac:dyDescent="0.2">
      <c r="A1785" s="2">
        <v>1806010202</v>
      </c>
      <c r="B1785" s="3" t="s">
        <v>341</v>
      </c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</row>
    <row r="1786" spans="1:41" ht="14.25" x14ac:dyDescent="0.2">
      <c r="A1786" s="2">
        <v>180602</v>
      </c>
      <c r="B1786" s="3" t="s">
        <v>343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</row>
    <row r="1787" spans="1:41" ht="14.25" x14ac:dyDescent="0.2">
      <c r="A1787" s="2">
        <v>1807</v>
      </c>
      <c r="B1787" s="3" t="s">
        <v>344</v>
      </c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</row>
    <row r="1788" spans="1:41" ht="14.25" x14ac:dyDescent="0.2">
      <c r="A1788" s="2">
        <v>180701</v>
      </c>
      <c r="B1788" s="3" t="s">
        <v>345</v>
      </c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</row>
    <row r="1789" spans="1:41" ht="28.5" x14ac:dyDescent="0.2">
      <c r="A1789" s="2">
        <v>1809</v>
      </c>
      <c r="B1789" s="4" t="s">
        <v>346</v>
      </c>
      <c r="C1789" s="20">
        <f>+C1790+C1800</f>
        <v>-3869336.9400000004</v>
      </c>
      <c r="D1789" s="20">
        <f t="shared" ref="D1789:AO1789" si="43">+D1790+D1800</f>
        <v>-3899251.54</v>
      </c>
      <c r="E1789" s="20">
        <f t="shared" si="43"/>
        <v>-3932387.88</v>
      </c>
      <c r="F1789" s="20">
        <f t="shared" si="43"/>
        <v>-3957801.919999999</v>
      </c>
      <c r="G1789" s="20">
        <f t="shared" si="43"/>
        <v>-3991313.29</v>
      </c>
      <c r="H1789" s="20">
        <f t="shared" si="43"/>
        <v>-4023863.3500000006</v>
      </c>
      <c r="I1789" s="20">
        <f t="shared" si="43"/>
        <v>-4057545.51</v>
      </c>
      <c r="J1789" s="20">
        <f t="shared" si="43"/>
        <v>-4091233.23</v>
      </c>
      <c r="K1789" s="20">
        <f t="shared" si="43"/>
        <v>-4123850.46</v>
      </c>
      <c r="L1789" s="20">
        <f t="shared" si="43"/>
        <v>-4157556.66</v>
      </c>
      <c r="M1789" s="20">
        <f t="shared" si="43"/>
        <v>-4191262.8600000003</v>
      </c>
      <c r="N1789" s="20">
        <f t="shared" si="43"/>
        <v>-4224969.0600000005</v>
      </c>
      <c r="O1789" s="20">
        <f t="shared" si="43"/>
        <v>-4228459.0999999996</v>
      </c>
      <c r="P1789" s="20">
        <f t="shared" si="43"/>
        <v>-4249916.0999999996</v>
      </c>
      <c r="Q1789" s="20">
        <f t="shared" si="43"/>
        <v>-4272782.3500000006</v>
      </c>
      <c r="R1789" s="20">
        <f t="shared" si="43"/>
        <v>-4294796.92</v>
      </c>
      <c r="S1789" s="20">
        <f t="shared" si="43"/>
        <v>-4317571.6500000004</v>
      </c>
      <c r="T1789" s="20">
        <f t="shared" si="43"/>
        <v>-4339620.3900000006</v>
      </c>
      <c r="U1789" s="20">
        <f t="shared" si="43"/>
        <v>-4362395.12</v>
      </c>
      <c r="V1789" s="20">
        <f t="shared" si="43"/>
        <v>-4385169.8499999996</v>
      </c>
      <c r="W1789" s="20">
        <f t="shared" si="43"/>
        <v>-4407218.59</v>
      </c>
      <c r="X1789" s="20">
        <f t="shared" si="43"/>
        <v>-4407218.59</v>
      </c>
      <c r="Y1789" s="20">
        <f t="shared" si="43"/>
        <v>-4407218.59</v>
      </c>
      <c r="Z1789" s="20">
        <f t="shared" si="43"/>
        <v>-4475151.45</v>
      </c>
      <c r="AA1789" s="20">
        <f t="shared" si="43"/>
        <v>-4475151.45</v>
      </c>
      <c r="AB1789" s="20">
        <f t="shared" si="43"/>
        <v>-4475151.45</v>
      </c>
      <c r="AC1789" s="20">
        <f t="shared" si="43"/>
        <v>-4543750.1999999993</v>
      </c>
      <c r="AD1789" s="20">
        <f t="shared" si="43"/>
        <v>-4543750.1999999993</v>
      </c>
      <c r="AE1789" s="20">
        <f t="shared" si="43"/>
        <v>-4543750.1999999993</v>
      </c>
      <c r="AF1789" s="20">
        <f t="shared" si="43"/>
        <v>-4604346.6100000003</v>
      </c>
      <c r="AG1789" s="20">
        <f t="shared" si="43"/>
        <v>-4625967.5199999996</v>
      </c>
      <c r="AH1789" s="20">
        <f t="shared" si="43"/>
        <v>-4647508.3100000005</v>
      </c>
      <c r="AI1789" s="20">
        <f t="shared" si="43"/>
        <v>-4668239.71</v>
      </c>
      <c r="AJ1789" s="20">
        <f t="shared" si="43"/>
        <v>-4690181.47</v>
      </c>
      <c r="AK1789" s="20">
        <f t="shared" si="43"/>
        <v>-4711594.99</v>
      </c>
      <c r="AL1789" s="20">
        <f t="shared" si="43"/>
        <v>-4733555.17</v>
      </c>
      <c r="AM1789" s="20">
        <f t="shared" si="43"/>
        <v>-4755413.7300000004</v>
      </c>
      <c r="AN1789" s="20">
        <f t="shared" si="43"/>
        <v>-4775106.8099999996</v>
      </c>
      <c r="AO1789" s="20">
        <f t="shared" si="43"/>
        <v>-4707825.6500000004</v>
      </c>
    </row>
    <row r="1790" spans="1:41" ht="14.25" x14ac:dyDescent="0.2">
      <c r="A1790" s="2">
        <v>180902</v>
      </c>
      <c r="B1790" s="3" t="s">
        <v>347</v>
      </c>
      <c r="C1790" s="20">
        <f>SUM(C1791:C1799)</f>
        <v>-1633647.35</v>
      </c>
      <c r="D1790" s="20">
        <f t="shared" ref="D1790:AO1790" si="44">SUM(D1791:D1799)</f>
        <v>-1646239.78</v>
      </c>
      <c r="E1790" s="20">
        <f t="shared" si="44"/>
        <v>-1660181.3899999997</v>
      </c>
      <c r="F1790" s="20">
        <f t="shared" si="44"/>
        <v>-1666741.3199999996</v>
      </c>
      <c r="G1790" s="20">
        <f t="shared" si="44"/>
        <v>-1680682.9399999997</v>
      </c>
      <c r="H1790" s="20">
        <f t="shared" si="44"/>
        <v>-1694174.8200000003</v>
      </c>
      <c r="I1790" s="20">
        <f t="shared" si="44"/>
        <v>-1708116.4400000002</v>
      </c>
      <c r="J1790" s="20">
        <f t="shared" si="44"/>
        <v>-1722058.08</v>
      </c>
      <c r="K1790" s="20">
        <f t="shared" si="44"/>
        <v>-1735549.95</v>
      </c>
      <c r="L1790" s="20">
        <f t="shared" si="44"/>
        <v>-1749491.6</v>
      </c>
      <c r="M1790" s="20">
        <f t="shared" si="44"/>
        <v>-1763433.2500000002</v>
      </c>
      <c r="N1790" s="20">
        <f t="shared" si="44"/>
        <v>-1777374.9000000004</v>
      </c>
      <c r="O1790" s="20">
        <f t="shared" si="44"/>
        <v>-1787437.6</v>
      </c>
      <c r="P1790" s="20">
        <f t="shared" si="44"/>
        <v>-1799281.62</v>
      </c>
      <c r="Q1790" s="20">
        <f t="shared" si="44"/>
        <v>-1811942.51</v>
      </c>
      <c r="R1790" s="20">
        <f t="shared" si="44"/>
        <v>-1824194.9399999997</v>
      </c>
      <c r="S1790" s="20">
        <f t="shared" si="44"/>
        <v>-1836855.82</v>
      </c>
      <c r="T1790" s="20">
        <f t="shared" si="44"/>
        <v>-1849108.2699999996</v>
      </c>
      <c r="U1790" s="20">
        <f t="shared" si="44"/>
        <v>-1861769.1499999997</v>
      </c>
      <c r="V1790" s="20">
        <f t="shared" si="44"/>
        <v>-1874430.0299999998</v>
      </c>
      <c r="W1790" s="20">
        <f t="shared" si="44"/>
        <v>-1886682.4799999997</v>
      </c>
      <c r="X1790" s="20">
        <f t="shared" si="44"/>
        <v>-1886682.4799999997</v>
      </c>
      <c r="Y1790" s="20">
        <f t="shared" si="44"/>
        <v>-1886682.4799999997</v>
      </c>
      <c r="Z1790" s="20">
        <f t="shared" si="44"/>
        <v>-1924256.6199999999</v>
      </c>
      <c r="AA1790" s="20">
        <f t="shared" si="44"/>
        <v>-1924256.6199999999</v>
      </c>
      <c r="AB1790" s="20">
        <f t="shared" si="44"/>
        <v>-1924256.6199999999</v>
      </c>
      <c r="AC1790" s="20">
        <f t="shared" si="44"/>
        <v>-1962239.2899999998</v>
      </c>
      <c r="AD1790" s="20">
        <f t="shared" si="44"/>
        <v>-1962239.2899999998</v>
      </c>
      <c r="AE1790" s="20">
        <f t="shared" si="44"/>
        <v>-1962239.2899999998</v>
      </c>
      <c r="AF1790" s="20">
        <f t="shared" si="44"/>
        <v>-1995630.55</v>
      </c>
      <c r="AG1790" s="20">
        <f t="shared" si="44"/>
        <v>-2007735.18</v>
      </c>
      <c r="AH1790" s="20">
        <f t="shared" si="44"/>
        <v>-2019839.7700000005</v>
      </c>
      <c r="AI1790" s="20">
        <f t="shared" si="44"/>
        <v>-2031553.9600000002</v>
      </c>
      <c r="AJ1790" s="20">
        <f t="shared" si="44"/>
        <v>-2043658.5300000003</v>
      </c>
      <c r="AK1790" s="20">
        <f t="shared" si="44"/>
        <v>-2055372.7100000004</v>
      </c>
      <c r="AL1790" s="20">
        <f t="shared" si="44"/>
        <v>-2067477.32</v>
      </c>
      <c r="AM1790" s="20">
        <f t="shared" si="44"/>
        <v>-2079581.9400000004</v>
      </c>
      <c r="AN1790" s="20">
        <f t="shared" si="44"/>
        <v>-2090515.1199999999</v>
      </c>
      <c r="AO1790" s="20">
        <f t="shared" si="44"/>
        <v>-2013715.0600000003</v>
      </c>
    </row>
    <row r="1791" spans="1:41" s="15" customFormat="1" ht="14.25" x14ac:dyDescent="0.2">
      <c r="A1791" s="18" t="s">
        <v>1425</v>
      </c>
      <c r="B1791" s="19" t="s">
        <v>1426</v>
      </c>
      <c r="C1791" s="20">
        <v>-35230.89</v>
      </c>
      <c r="D1791" s="20">
        <v>-35474.519999999997</v>
      </c>
      <c r="E1791" s="20">
        <v>-35744.25</v>
      </c>
      <c r="F1791" s="20">
        <v>-36005.29</v>
      </c>
      <c r="G1791" s="20">
        <v>-36275.019999999997</v>
      </c>
      <c r="H1791" s="20">
        <v>-36536.06</v>
      </c>
      <c r="I1791" s="20">
        <v>-36805.79</v>
      </c>
      <c r="J1791" s="20">
        <v>-37075.53</v>
      </c>
      <c r="K1791" s="20">
        <v>-37336.559999999998</v>
      </c>
      <c r="L1791" s="20">
        <v>-37606.29</v>
      </c>
      <c r="M1791" s="20">
        <v>-37606.29</v>
      </c>
      <c r="N1791" s="20">
        <v>-37876.019999999997</v>
      </c>
      <c r="O1791" s="20">
        <v>-38676.550000000003</v>
      </c>
      <c r="P1791" s="20">
        <v>-38928.86</v>
      </c>
      <c r="Q1791" s="20">
        <v>-39198.6</v>
      </c>
      <c r="R1791" s="20">
        <v>-39189.9</v>
      </c>
      <c r="S1791" s="20">
        <v>-39459.64</v>
      </c>
      <c r="T1791" s="20">
        <v>-39720.67</v>
      </c>
      <c r="U1791" s="20">
        <v>-39990.410000000003</v>
      </c>
      <c r="V1791" s="20">
        <v>-40260.15</v>
      </c>
      <c r="W1791" s="20">
        <v>-40521.18</v>
      </c>
      <c r="X1791" s="20">
        <v>-40521.18</v>
      </c>
      <c r="Y1791" s="20">
        <v>-40521.18</v>
      </c>
      <c r="Z1791" s="20">
        <v>-41321.68</v>
      </c>
      <c r="AA1791" s="20">
        <v>-41321.68</v>
      </c>
      <c r="AB1791" s="20">
        <v>-41321.68</v>
      </c>
      <c r="AC1791" s="20">
        <v>-42130.9</v>
      </c>
      <c r="AD1791" s="20">
        <v>-42130.9</v>
      </c>
      <c r="AE1791" s="20">
        <v>-42130.9</v>
      </c>
      <c r="AF1791" s="20">
        <v>-42896.58</v>
      </c>
      <c r="AG1791" s="20">
        <v>-43166.32</v>
      </c>
      <c r="AH1791" s="20">
        <v>-43436.05</v>
      </c>
      <c r="AI1791" s="20">
        <v>-43697.09</v>
      </c>
      <c r="AJ1791" s="20">
        <v>-43966.82</v>
      </c>
      <c r="AK1791" s="20">
        <v>-44227.86</v>
      </c>
      <c r="AL1791" s="20">
        <v>-44497.59</v>
      </c>
      <c r="AM1791" s="20">
        <v>-44767.33</v>
      </c>
      <c r="AN1791" s="20">
        <v>-45010.96</v>
      </c>
      <c r="AO1791" s="20">
        <v>-45280.69</v>
      </c>
    </row>
    <row r="1792" spans="1:41" s="15" customFormat="1" ht="14.25" x14ac:dyDescent="0.2">
      <c r="A1792" s="18" t="s">
        <v>1427</v>
      </c>
      <c r="B1792" s="19" t="s">
        <v>1428</v>
      </c>
      <c r="C1792" s="20">
        <v>-1009912.3</v>
      </c>
      <c r="D1792" s="20">
        <v>-1017242.66</v>
      </c>
      <c r="E1792" s="20">
        <v>-1025358.42</v>
      </c>
      <c r="F1792" s="20">
        <v>-1033212.38</v>
      </c>
      <c r="G1792" s="20">
        <v>-1041328.14</v>
      </c>
      <c r="H1792" s="20">
        <v>-1049182.1000000001</v>
      </c>
      <c r="I1792" s="20">
        <v>-1057297.8600000001</v>
      </c>
      <c r="J1792" s="20">
        <v>-1065413.6200000001</v>
      </c>
      <c r="K1792" s="20">
        <v>-1073267.58</v>
      </c>
      <c r="L1792" s="20">
        <v>-1081383.3400000001</v>
      </c>
      <c r="M1792" s="20">
        <v>-1089768.83</v>
      </c>
      <c r="N1792" s="20">
        <v>-1097884.5900000001</v>
      </c>
      <c r="O1792" s="20">
        <v>-1105199.07</v>
      </c>
      <c r="P1792" s="20">
        <v>-1112791.26</v>
      </c>
      <c r="Q1792" s="20">
        <v>-1120907.02</v>
      </c>
      <c r="R1792" s="20">
        <v>-1129030.71</v>
      </c>
      <c r="S1792" s="20">
        <v>-1137146.47</v>
      </c>
      <c r="T1792" s="20">
        <v>-1145000.44</v>
      </c>
      <c r="U1792" s="20">
        <v>-1153116.2</v>
      </c>
      <c r="V1792" s="20">
        <v>-1161231.96</v>
      </c>
      <c r="W1792" s="20">
        <v>-1169085.93</v>
      </c>
      <c r="X1792" s="20">
        <v>-1169085.93</v>
      </c>
      <c r="Y1792" s="20">
        <v>-1169085.93</v>
      </c>
      <c r="Z1792" s="20">
        <v>-1193171.3999999999</v>
      </c>
      <c r="AA1792" s="20">
        <v>-1193171.3999999999</v>
      </c>
      <c r="AB1792" s="20">
        <v>-1193171.3999999999</v>
      </c>
      <c r="AC1792" s="20">
        <v>-1217518.68</v>
      </c>
      <c r="AD1792" s="20">
        <v>-1217518.68</v>
      </c>
      <c r="AE1792" s="20">
        <v>-1217518.68</v>
      </c>
      <c r="AF1792" s="20">
        <v>-1240556.96</v>
      </c>
      <c r="AG1792" s="20">
        <v>-1248672.73</v>
      </c>
      <c r="AH1792" s="20">
        <v>-1256788.48</v>
      </c>
      <c r="AI1792" s="20">
        <v>-1264642.45</v>
      </c>
      <c r="AJ1792" s="20">
        <v>-1272758.2</v>
      </c>
      <c r="AK1792" s="20">
        <v>-1280612.17</v>
      </c>
      <c r="AL1792" s="20">
        <v>-1288727.93</v>
      </c>
      <c r="AM1792" s="20">
        <v>-1296843.69</v>
      </c>
      <c r="AN1792" s="20">
        <v>-1304174.05</v>
      </c>
      <c r="AO1792" s="20">
        <v>-1312289.82</v>
      </c>
    </row>
    <row r="1793" spans="1:41" s="15" customFormat="1" ht="14.25" x14ac:dyDescent="0.2">
      <c r="A1793" s="18" t="s">
        <v>1429</v>
      </c>
      <c r="B1793" s="19" t="s">
        <v>1430</v>
      </c>
      <c r="C1793" s="20">
        <v>-66531.73</v>
      </c>
      <c r="D1793" s="20">
        <v>-66991.820000000007</v>
      </c>
      <c r="E1793" s="20">
        <v>-67501.2</v>
      </c>
      <c r="F1793" s="20">
        <v>-67994.149999999994</v>
      </c>
      <c r="G1793" s="20">
        <v>-68503.53</v>
      </c>
      <c r="H1793" s="20">
        <v>-68996.479999999996</v>
      </c>
      <c r="I1793" s="20">
        <v>-69505.86</v>
      </c>
      <c r="J1793" s="20">
        <v>-70015.240000000005</v>
      </c>
      <c r="K1793" s="20">
        <v>-70508.19</v>
      </c>
      <c r="L1793" s="20">
        <v>-71017.570000000007</v>
      </c>
      <c r="M1793" s="20">
        <v>-71526.95</v>
      </c>
      <c r="N1793" s="20">
        <v>-72036.33</v>
      </c>
      <c r="O1793" s="20">
        <v>-72529.279999999999</v>
      </c>
      <c r="P1793" s="20">
        <v>-73005.8</v>
      </c>
      <c r="Q1793" s="20">
        <v>-73515.179999999993</v>
      </c>
      <c r="R1793" s="20">
        <v>-74008.13</v>
      </c>
      <c r="S1793" s="20">
        <v>-74517.509999999995</v>
      </c>
      <c r="T1793" s="20">
        <v>-75010.460000000006</v>
      </c>
      <c r="U1793" s="20">
        <v>-75519.839999999997</v>
      </c>
      <c r="V1793" s="20">
        <v>-76029.22</v>
      </c>
      <c r="W1793" s="20">
        <v>-76522.17</v>
      </c>
      <c r="X1793" s="20">
        <v>-76522.17</v>
      </c>
      <c r="Y1793" s="20">
        <v>-76522.17</v>
      </c>
      <c r="Z1793" s="20">
        <v>-78033.89</v>
      </c>
      <c r="AA1793" s="20">
        <v>-78033.89</v>
      </c>
      <c r="AB1793" s="20">
        <v>-78033.89</v>
      </c>
      <c r="AC1793" s="20">
        <v>-79562.03</v>
      </c>
      <c r="AD1793" s="20">
        <v>-79562.03</v>
      </c>
      <c r="AE1793" s="20">
        <v>-79562.03</v>
      </c>
      <c r="AF1793" s="20">
        <v>-81008.009999999995</v>
      </c>
      <c r="AG1793" s="20">
        <v>-81517.39</v>
      </c>
      <c r="AH1793" s="20">
        <v>-82026.78</v>
      </c>
      <c r="AI1793" s="20">
        <v>-82519.73</v>
      </c>
      <c r="AJ1793" s="20">
        <v>-83029.11</v>
      </c>
      <c r="AK1793" s="20">
        <v>-83522.06</v>
      </c>
      <c r="AL1793" s="20">
        <v>-84031.44</v>
      </c>
      <c r="AM1793" s="20">
        <v>-84540.82</v>
      </c>
      <c r="AN1793" s="20">
        <v>-85000.9</v>
      </c>
      <c r="AO1793" s="20">
        <v>-85510.28</v>
      </c>
    </row>
    <row r="1794" spans="1:41" s="15" customFormat="1" ht="14.25" x14ac:dyDescent="0.2">
      <c r="A1794" s="18" t="s">
        <v>1431</v>
      </c>
      <c r="B1794" s="19" t="s">
        <v>1432</v>
      </c>
      <c r="C1794" s="20">
        <v>-69946.63</v>
      </c>
      <c r="D1794" s="20">
        <v>-70478.399999999994</v>
      </c>
      <c r="E1794" s="20">
        <v>-71067.14</v>
      </c>
      <c r="F1794" s="20">
        <v>-64704.91</v>
      </c>
      <c r="G1794" s="20">
        <v>-65293.65</v>
      </c>
      <c r="H1794" s="20">
        <v>-65863.399999999994</v>
      </c>
      <c r="I1794" s="20">
        <v>-66452.149999999994</v>
      </c>
      <c r="J1794" s="20">
        <v>-67040.89</v>
      </c>
      <c r="K1794" s="20">
        <v>-67610.64</v>
      </c>
      <c r="L1794" s="20">
        <v>-68204.429999999993</v>
      </c>
      <c r="M1794" s="20">
        <v>-68798.22</v>
      </c>
      <c r="N1794" s="20">
        <v>-69392.009999999995</v>
      </c>
      <c r="O1794" s="20">
        <v>-69946.63</v>
      </c>
      <c r="P1794" s="20">
        <v>-70497.39</v>
      </c>
      <c r="Q1794" s="20">
        <v>-71086.14</v>
      </c>
      <c r="R1794" s="20">
        <v>-71655.89</v>
      </c>
      <c r="S1794" s="20">
        <v>-72244.63</v>
      </c>
      <c r="T1794" s="20">
        <v>-72814.39</v>
      </c>
      <c r="U1794" s="20">
        <v>-73403.13</v>
      </c>
      <c r="V1794" s="20">
        <v>-73991.87</v>
      </c>
      <c r="W1794" s="20">
        <v>-74561.63</v>
      </c>
      <c r="X1794" s="20">
        <v>-74561.63</v>
      </c>
      <c r="Y1794" s="20">
        <v>-74561.63</v>
      </c>
      <c r="Z1794" s="20">
        <v>-76308.87</v>
      </c>
      <c r="AA1794" s="20">
        <v>-76308.87</v>
      </c>
      <c r="AB1794" s="20">
        <v>-76308.87</v>
      </c>
      <c r="AC1794" s="20">
        <v>-78075.12</v>
      </c>
      <c r="AD1794" s="20">
        <v>-78075.12</v>
      </c>
      <c r="AE1794" s="20">
        <v>-78075.12</v>
      </c>
      <c r="AF1794" s="20">
        <v>-79746.38</v>
      </c>
      <c r="AG1794" s="20">
        <v>-80335.12</v>
      </c>
      <c r="AH1794" s="20">
        <v>-80923.86</v>
      </c>
      <c r="AI1794" s="20">
        <v>-81493.62</v>
      </c>
      <c r="AJ1794" s="20">
        <v>-82082.36</v>
      </c>
      <c r="AK1794" s="20">
        <v>-82652.11</v>
      </c>
      <c r="AL1794" s="20">
        <v>-83240.86</v>
      </c>
      <c r="AM1794" s="20">
        <v>-83829.600000000006</v>
      </c>
      <c r="AN1794" s="20">
        <v>-84361.37</v>
      </c>
      <c r="AO1794" s="20">
        <v>-84950.12</v>
      </c>
    </row>
    <row r="1795" spans="1:41" s="15" customFormat="1" ht="14.25" x14ac:dyDescent="0.2">
      <c r="A1795" s="18" t="s">
        <v>1433</v>
      </c>
      <c r="B1795" s="19" t="s">
        <v>1434</v>
      </c>
      <c r="C1795" s="20">
        <v>-70030.429999999993</v>
      </c>
      <c r="D1795" s="20">
        <v>-70514.710000000006</v>
      </c>
      <c r="E1795" s="20">
        <v>-71050.880000000005</v>
      </c>
      <c r="F1795" s="20">
        <v>-71569.75</v>
      </c>
      <c r="G1795" s="20">
        <v>-72105.919999999998</v>
      </c>
      <c r="H1795" s="20">
        <v>-72624.789999999994</v>
      </c>
      <c r="I1795" s="20">
        <v>-73160.960000000006</v>
      </c>
      <c r="J1795" s="20">
        <v>-73697.13</v>
      </c>
      <c r="K1795" s="20">
        <v>-74216</v>
      </c>
      <c r="L1795" s="20">
        <v>-74747.12</v>
      </c>
      <c r="M1795" s="20">
        <v>-75278.240000000005</v>
      </c>
      <c r="N1795" s="20">
        <v>-75809.36</v>
      </c>
      <c r="O1795" s="20">
        <v>-76343.38</v>
      </c>
      <c r="P1795" s="20">
        <v>-76844.95</v>
      </c>
      <c r="Q1795" s="20">
        <v>-77381.119999999995</v>
      </c>
      <c r="R1795" s="20">
        <v>-77899.990000000005</v>
      </c>
      <c r="S1795" s="20">
        <v>-78436.160000000003</v>
      </c>
      <c r="T1795" s="20">
        <v>-78955.03</v>
      </c>
      <c r="U1795" s="20">
        <v>-79491.199999999997</v>
      </c>
      <c r="V1795" s="20">
        <v>-80027.37</v>
      </c>
      <c r="W1795" s="20">
        <v>-80546.240000000005</v>
      </c>
      <c r="X1795" s="20">
        <v>-80546.240000000005</v>
      </c>
      <c r="Y1795" s="20">
        <v>-80546.240000000005</v>
      </c>
      <c r="Z1795" s="20">
        <v>-82137.45</v>
      </c>
      <c r="AA1795" s="20">
        <v>-82137.45</v>
      </c>
      <c r="AB1795" s="20">
        <v>-82137.45</v>
      </c>
      <c r="AC1795" s="20">
        <v>-83745.960000000006</v>
      </c>
      <c r="AD1795" s="20">
        <v>-83745.960000000006</v>
      </c>
      <c r="AE1795" s="20">
        <v>-83745.960000000006</v>
      </c>
      <c r="AF1795" s="20">
        <v>-85267.98</v>
      </c>
      <c r="AG1795" s="20">
        <v>-85804.15</v>
      </c>
      <c r="AH1795" s="20">
        <v>-86340.31</v>
      </c>
      <c r="AI1795" s="20">
        <v>-86859.19</v>
      </c>
      <c r="AJ1795" s="20">
        <v>-87395.35</v>
      </c>
      <c r="AK1795" s="20">
        <v>-87914.23</v>
      </c>
      <c r="AL1795" s="20">
        <v>-88450.39</v>
      </c>
      <c r="AM1795" s="20">
        <v>-88986.559999999998</v>
      </c>
      <c r="AN1795" s="20">
        <v>-89470.84</v>
      </c>
      <c r="AO1795" s="20">
        <v>-90007.01</v>
      </c>
    </row>
    <row r="1796" spans="1:41" s="15" customFormat="1" ht="14.25" x14ac:dyDescent="0.2">
      <c r="A1796" s="18" t="s">
        <v>1435</v>
      </c>
      <c r="B1796" s="19" t="s">
        <v>1436</v>
      </c>
      <c r="C1796" s="20">
        <v>-120891.76</v>
      </c>
      <c r="D1796" s="20">
        <v>-121727.76</v>
      </c>
      <c r="E1796" s="20">
        <v>-122653.34</v>
      </c>
      <c r="F1796" s="20">
        <v>-123549.05</v>
      </c>
      <c r="G1796" s="20">
        <v>-124474.63</v>
      </c>
      <c r="H1796" s="20">
        <v>-125370.34</v>
      </c>
      <c r="I1796" s="20">
        <v>-126295.91</v>
      </c>
      <c r="J1796" s="20">
        <v>-127221.49</v>
      </c>
      <c r="K1796" s="20">
        <v>-128117.2</v>
      </c>
      <c r="L1796" s="20">
        <v>-129042.78</v>
      </c>
      <c r="M1796" s="20">
        <v>-129968.36</v>
      </c>
      <c r="N1796" s="20">
        <v>-130893.94</v>
      </c>
      <c r="O1796" s="20">
        <v>-131789.64000000001</v>
      </c>
      <c r="P1796" s="20">
        <v>-132655.5</v>
      </c>
      <c r="Q1796" s="20">
        <v>-133581.07</v>
      </c>
      <c r="R1796" s="20">
        <v>-134476.78</v>
      </c>
      <c r="S1796" s="20">
        <v>-135402.35999999999</v>
      </c>
      <c r="T1796" s="20">
        <v>-136298.07</v>
      </c>
      <c r="U1796" s="20">
        <v>-137223.65</v>
      </c>
      <c r="V1796" s="20">
        <v>-138149.23000000001</v>
      </c>
      <c r="W1796" s="20">
        <v>-139044.94</v>
      </c>
      <c r="X1796" s="20">
        <v>-139044.94</v>
      </c>
      <c r="Y1796" s="20">
        <v>-139044.94</v>
      </c>
      <c r="Z1796" s="20">
        <v>-141791.79999999999</v>
      </c>
      <c r="AA1796" s="20">
        <v>-141791.79999999999</v>
      </c>
      <c r="AB1796" s="20">
        <v>-141791.79999999999</v>
      </c>
      <c r="AC1796" s="20">
        <v>-144568.51</v>
      </c>
      <c r="AD1796" s="20">
        <v>-144568.51</v>
      </c>
      <c r="AE1796" s="20">
        <v>-144568.51</v>
      </c>
      <c r="AF1796" s="20">
        <v>-147195.95000000001</v>
      </c>
      <c r="AG1796" s="20">
        <v>-148121.51999999999</v>
      </c>
      <c r="AH1796" s="20">
        <v>-149047.09</v>
      </c>
      <c r="AI1796" s="20">
        <v>-149942.81</v>
      </c>
      <c r="AJ1796" s="20">
        <v>-150868.38</v>
      </c>
      <c r="AK1796" s="20">
        <v>-151764.1</v>
      </c>
      <c r="AL1796" s="20">
        <v>-152689.67000000001</v>
      </c>
      <c r="AM1796" s="20">
        <v>-153615.24</v>
      </c>
      <c r="AN1796" s="20">
        <v>-154451.24</v>
      </c>
      <c r="AO1796" s="20">
        <v>-155376.82</v>
      </c>
    </row>
    <row r="1797" spans="1:41" s="15" customFormat="1" ht="14.25" x14ac:dyDescent="0.2">
      <c r="A1797" s="18" t="s">
        <v>1437</v>
      </c>
      <c r="B1797" s="19" t="s">
        <v>1438</v>
      </c>
      <c r="C1797" s="20">
        <v>-55010.15</v>
      </c>
      <c r="D1797" s="20">
        <v>-55831.83</v>
      </c>
      <c r="E1797" s="20">
        <v>-56741.56</v>
      </c>
      <c r="F1797" s="20">
        <v>-57621.94</v>
      </c>
      <c r="G1797" s="20">
        <v>-58531.66</v>
      </c>
      <c r="H1797" s="20">
        <v>-59412.04</v>
      </c>
      <c r="I1797" s="20">
        <v>-60321.760000000002</v>
      </c>
      <c r="J1797" s="20">
        <v>-61231.49</v>
      </c>
      <c r="K1797" s="20">
        <v>-62111.86</v>
      </c>
      <c r="L1797" s="20">
        <v>-63021.58</v>
      </c>
      <c r="M1797" s="20">
        <v>-63931.3</v>
      </c>
      <c r="N1797" s="20">
        <v>-64841.02</v>
      </c>
      <c r="O1797" s="20">
        <v>-65721.41</v>
      </c>
      <c r="P1797" s="20">
        <v>-66572.44</v>
      </c>
      <c r="Q1797" s="20">
        <v>-67482.17</v>
      </c>
      <c r="R1797" s="20">
        <v>-68362.55</v>
      </c>
      <c r="S1797" s="20">
        <v>-69272.27</v>
      </c>
      <c r="T1797" s="20">
        <v>-70152.649999999994</v>
      </c>
      <c r="U1797" s="20">
        <v>-71062.37</v>
      </c>
      <c r="V1797" s="20">
        <v>-71972.09</v>
      </c>
      <c r="W1797" s="20">
        <v>-72852.47</v>
      </c>
      <c r="X1797" s="20">
        <v>-72852.47</v>
      </c>
      <c r="Y1797" s="20">
        <v>-72852.47</v>
      </c>
      <c r="Z1797" s="20">
        <v>-75552.3</v>
      </c>
      <c r="AA1797" s="20">
        <v>-75552.3</v>
      </c>
      <c r="AB1797" s="20">
        <v>-75552.3</v>
      </c>
      <c r="AC1797" s="20">
        <v>-78281.490000000005</v>
      </c>
      <c r="AD1797" s="20">
        <v>-78281.490000000005</v>
      </c>
      <c r="AE1797" s="20">
        <v>-78281.490000000005</v>
      </c>
      <c r="AF1797" s="20">
        <v>-80863.899999999994</v>
      </c>
      <c r="AG1797" s="20">
        <v>-81773.63</v>
      </c>
      <c r="AH1797" s="20">
        <v>-82683.34</v>
      </c>
      <c r="AI1797" s="20">
        <v>-83563.73</v>
      </c>
      <c r="AJ1797" s="20">
        <v>-84473.45</v>
      </c>
      <c r="AK1797" s="20">
        <v>-85353.83</v>
      </c>
      <c r="AL1797" s="20">
        <v>-86263.56</v>
      </c>
      <c r="AM1797" s="20">
        <v>-87173.29</v>
      </c>
      <c r="AN1797" s="20">
        <v>-87994.96</v>
      </c>
      <c r="AO1797" s="20">
        <v>0</v>
      </c>
    </row>
    <row r="1798" spans="1:41" s="15" customFormat="1" ht="14.25" x14ac:dyDescent="0.2">
      <c r="A1798" s="18" t="s">
        <v>1439</v>
      </c>
      <c r="B1798" s="19" t="s">
        <v>1440</v>
      </c>
      <c r="C1798" s="20">
        <v>-110842.47</v>
      </c>
      <c r="D1798" s="20">
        <v>-111786.52</v>
      </c>
      <c r="E1798" s="20">
        <v>-112831.71</v>
      </c>
      <c r="F1798" s="20">
        <v>-113843.19</v>
      </c>
      <c r="G1798" s="20">
        <v>-114888.38</v>
      </c>
      <c r="H1798" s="20">
        <v>-115899.85</v>
      </c>
      <c r="I1798" s="20">
        <v>-116945.06</v>
      </c>
      <c r="J1798" s="20">
        <v>-117990.24</v>
      </c>
      <c r="K1798" s="20">
        <v>-119001.71</v>
      </c>
      <c r="L1798" s="20">
        <v>-120046.92</v>
      </c>
      <c r="M1798" s="20">
        <v>-121092.13</v>
      </c>
      <c r="N1798" s="20">
        <v>-122137.34</v>
      </c>
      <c r="O1798" s="20">
        <v>-120512.46</v>
      </c>
      <c r="P1798" s="20">
        <v>-120569.09</v>
      </c>
      <c r="Q1798" s="20">
        <v>-120629.65</v>
      </c>
      <c r="R1798" s="20">
        <v>-120688.23</v>
      </c>
      <c r="S1798" s="20">
        <v>-120748.78</v>
      </c>
      <c r="T1798" s="20">
        <v>-120807.37</v>
      </c>
      <c r="U1798" s="20">
        <v>-120867.92</v>
      </c>
      <c r="V1798" s="20">
        <v>-120928.47</v>
      </c>
      <c r="W1798" s="20">
        <v>-120987.06</v>
      </c>
      <c r="X1798" s="20">
        <v>-120987.06</v>
      </c>
      <c r="Y1798" s="20">
        <v>-120987.06</v>
      </c>
      <c r="Z1798" s="20">
        <v>-121166.73</v>
      </c>
      <c r="AA1798" s="20">
        <v>-121166.73</v>
      </c>
      <c r="AB1798" s="20">
        <v>-121166.73</v>
      </c>
      <c r="AC1798" s="20">
        <v>-121348.41</v>
      </c>
      <c r="AD1798" s="20">
        <v>-121348.41</v>
      </c>
      <c r="AE1798" s="20">
        <v>-121348.41</v>
      </c>
      <c r="AF1798" s="20">
        <v>-121377.33</v>
      </c>
      <c r="AG1798" s="20">
        <v>-121377.33</v>
      </c>
      <c r="AH1798" s="20">
        <v>-121377.33</v>
      </c>
      <c r="AI1798" s="20">
        <v>-121377.33</v>
      </c>
      <c r="AJ1798" s="20">
        <v>-121377.33</v>
      </c>
      <c r="AK1798" s="20">
        <v>-121377.33</v>
      </c>
      <c r="AL1798" s="20">
        <v>-121377.33</v>
      </c>
      <c r="AM1798" s="20">
        <v>-121377.33</v>
      </c>
      <c r="AN1798" s="20">
        <v>-121377.33</v>
      </c>
      <c r="AO1798" s="20">
        <v>-121377.33</v>
      </c>
    </row>
    <row r="1799" spans="1:41" s="15" customFormat="1" ht="14.25" x14ac:dyDescent="0.2">
      <c r="A1799" s="18" t="s">
        <v>1441</v>
      </c>
      <c r="B1799" s="19" t="s">
        <v>1442</v>
      </c>
      <c r="C1799" s="20">
        <v>-95250.99</v>
      </c>
      <c r="D1799" s="20">
        <v>-96191.56</v>
      </c>
      <c r="E1799" s="20">
        <v>-97232.89</v>
      </c>
      <c r="F1799" s="20">
        <v>-98240.66</v>
      </c>
      <c r="G1799" s="20">
        <v>-99282.01</v>
      </c>
      <c r="H1799" s="20">
        <v>-100289.76</v>
      </c>
      <c r="I1799" s="20">
        <v>-101331.09</v>
      </c>
      <c r="J1799" s="20">
        <v>-102372.45</v>
      </c>
      <c r="K1799" s="20">
        <v>-103380.21</v>
      </c>
      <c r="L1799" s="20">
        <v>-104421.57</v>
      </c>
      <c r="M1799" s="20">
        <v>-105462.93</v>
      </c>
      <c r="N1799" s="20">
        <v>-106504.29</v>
      </c>
      <c r="O1799" s="20">
        <v>-106719.18</v>
      </c>
      <c r="P1799" s="20">
        <v>-107416.33</v>
      </c>
      <c r="Q1799" s="20">
        <v>-108161.56</v>
      </c>
      <c r="R1799" s="20">
        <v>-108882.76</v>
      </c>
      <c r="S1799" s="20">
        <v>-109628</v>
      </c>
      <c r="T1799" s="20">
        <v>-110349.19</v>
      </c>
      <c r="U1799" s="20">
        <v>-111094.43</v>
      </c>
      <c r="V1799" s="20">
        <v>-111839.67</v>
      </c>
      <c r="W1799" s="20">
        <v>-112560.86</v>
      </c>
      <c r="X1799" s="20">
        <v>-112560.86</v>
      </c>
      <c r="Y1799" s="20">
        <v>-112560.86</v>
      </c>
      <c r="Z1799" s="20">
        <v>-114772.5</v>
      </c>
      <c r="AA1799" s="20">
        <v>-114772.5</v>
      </c>
      <c r="AB1799" s="20">
        <v>-114772.5</v>
      </c>
      <c r="AC1799" s="20">
        <v>-117008.19</v>
      </c>
      <c r="AD1799" s="20">
        <v>-117008.19</v>
      </c>
      <c r="AE1799" s="20">
        <v>-117008.19</v>
      </c>
      <c r="AF1799" s="20">
        <v>-116717.46</v>
      </c>
      <c r="AG1799" s="20">
        <v>-116966.99</v>
      </c>
      <c r="AH1799" s="20">
        <v>-117216.53</v>
      </c>
      <c r="AI1799" s="20">
        <v>-117458.01</v>
      </c>
      <c r="AJ1799" s="20">
        <v>-117707.53</v>
      </c>
      <c r="AK1799" s="20">
        <v>-117949.02</v>
      </c>
      <c r="AL1799" s="20">
        <v>-118198.55</v>
      </c>
      <c r="AM1799" s="20">
        <v>-118448.08</v>
      </c>
      <c r="AN1799" s="20">
        <v>-118673.47</v>
      </c>
      <c r="AO1799" s="20">
        <v>-118922.99</v>
      </c>
    </row>
    <row r="1800" spans="1:41" ht="14.25" x14ac:dyDescent="0.2">
      <c r="A1800" s="2">
        <v>180903</v>
      </c>
      <c r="B1800" s="3" t="s">
        <v>348</v>
      </c>
      <c r="C1800" s="20">
        <f>SUM(C1801:C1809)</f>
        <v>-2235689.5900000003</v>
      </c>
      <c r="D1800" s="20">
        <f t="shared" ref="D1800:AO1800" si="45">SUM(D1801:D1809)</f>
        <v>-2253011.7600000002</v>
      </c>
      <c r="E1800" s="20">
        <f t="shared" si="45"/>
        <v>-2272206.4900000002</v>
      </c>
      <c r="F1800" s="20">
        <f t="shared" si="45"/>
        <v>-2291060.5999999996</v>
      </c>
      <c r="G1800" s="20">
        <f t="shared" si="45"/>
        <v>-2310630.35</v>
      </c>
      <c r="H1800" s="20">
        <f t="shared" si="45"/>
        <v>-2329688.5300000003</v>
      </c>
      <c r="I1800" s="20">
        <f t="shared" si="45"/>
        <v>-2349429.0699999998</v>
      </c>
      <c r="J1800" s="20">
        <f t="shared" si="45"/>
        <v>-2369175.15</v>
      </c>
      <c r="K1800" s="20">
        <f t="shared" si="45"/>
        <v>-2388300.5099999998</v>
      </c>
      <c r="L1800" s="20">
        <f t="shared" si="45"/>
        <v>-2408065.06</v>
      </c>
      <c r="M1800" s="20">
        <f t="shared" si="45"/>
        <v>-2427829.61</v>
      </c>
      <c r="N1800" s="20">
        <f t="shared" si="45"/>
        <v>-2447594.16</v>
      </c>
      <c r="O1800" s="20">
        <f t="shared" si="45"/>
        <v>-2441021.5</v>
      </c>
      <c r="P1800" s="20">
        <f t="shared" si="45"/>
        <v>-2450634.48</v>
      </c>
      <c r="Q1800" s="20">
        <f t="shared" si="45"/>
        <v>-2460839.8400000003</v>
      </c>
      <c r="R1800" s="20">
        <f t="shared" si="45"/>
        <v>-2470601.98</v>
      </c>
      <c r="S1800" s="20">
        <f t="shared" si="45"/>
        <v>-2480715.83</v>
      </c>
      <c r="T1800" s="20">
        <f t="shared" si="45"/>
        <v>-2490512.1200000006</v>
      </c>
      <c r="U1800" s="20">
        <f t="shared" si="45"/>
        <v>-2500625.9700000002</v>
      </c>
      <c r="V1800" s="20">
        <f t="shared" si="45"/>
        <v>-2510739.8199999998</v>
      </c>
      <c r="W1800" s="20">
        <f t="shared" si="45"/>
        <v>-2520536.1100000003</v>
      </c>
      <c r="X1800" s="20">
        <f t="shared" si="45"/>
        <v>-2520536.1100000003</v>
      </c>
      <c r="Y1800" s="20">
        <f t="shared" si="45"/>
        <v>-2520536.1100000003</v>
      </c>
      <c r="Z1800" s="20">
        <f t="shared" si="45"/>
        <v>-2550894.83</v>
      </c>
      <c r="AA1800" s="20">
        <f t="shared" si="45"/>
        <v>-2550894.83</v>
      </c>
      <c r="AB1800" s="20">
        <f t="shared" si="45"/>
        <v>-2550894.83</v>
      </c>
      <c r="AC1800" s="20">
        <f t="shared" si="45"/>
        <v>-2581510.9099999997</v>
      </c>
      <c r="AD1800" s="20">
        <f t="shared" si="45"/>
        <v>-2581510.9099999997</v>
      </c>
      <c r="AE1800" s="20">
        <f t="shared" si="45"/>
        <v>-2581510.9099999997</v>
      </c>
      <c r="AF1800" s="20">
        <f t="shared" si="45"/>
        <v>-2608716.06</v>
      </c>
      <c r="AG1800" s="20">
        <f t="shared" si="45"/>
        <v>-2618232.34</v>
      </c>
      <c r="AH1800" s="20">
        <f t="shared" si="45"/>
        <v>-2627668.5399999996</v>
      </c>
      <c r="AI1800" s="20">
        <f t="shared" si="45"/>
        <v>-2636685.7499999995</v>
      </c>
      <c r="AJ1800" s="20">
        <f t="shared" si="45"/>
        <v>-2646522.9399999995</v>
      </c>
      <c r="AK1800" s="20">
        <f t="shared" si="45"/>
        <v>-2656222.2800000003</v>
      </c>
      <c r="AL1800" s="20">
        <f t="shared" si="45"/>
        <v>-2666077.85</v>
      </c>
      <c r="AM1800" s="20">
        <f t="shared" si="45"/>
        <v>-2675831.79</v>
      </c>
      <c r="AN1800" s="20">
        <f t="shared" si="45"/>
        <v>-2684591.6899999995</v>
      </c>
      <c r="AO1800" s="20">
        <f t="shared" si="45"/>
        <v>-2694110.59</v>
      </c>
    </row>
    <row r="1801" spans="1:41" s="15" customFormat="1" ht="14.25" x14ac:dyDescent="0.2">
      <c r="A1801" s="18" t="s">
        <v>1443</v>
      </c>
      <c r="B1801" s="19" t="s">
        <v>1444</v>
      </c>
      <c r="C1801" s="20">
        <v>-584068.81000000006</v>
      </c>
      <c r="D1801" s="20">
        <v>-589608.24</v>
      </c>
      <c r="E1801" s="20">
        <v>-595741.23</v>
      </c>
      <c r="F1801" s="20">
        <v>-601676.53</v>
      </c>
      <c r="G1801" s="20">
        <v>-607811.59</v>
      </c>
      <c r="H1801" s="20">
        <v>-613748.73</v>
      </c>
      <c r="I1801" s="20">
        <v>-619890.05000000005</v>
      </c>
      <c r="J1801" s="20">
        <v>-626036.94999999995</v>
      </c>
      <c r="K1801" s="20">
        <v>-631997.87</v>
      </c>
      <c r="L1801" s="20">
        <v>-638162.16</v>
      </c>
      <c r="M1801" s="20">
        <v>-644326.44999999995</v>
      </c>
      <c r="N1801" s="20">
        <v>-650490.74</v>
      </c>
      <c r="O1801" s="20">
        <v>-642636.07999999996</v>
      </c>
      <c r="P1801" s="20">
        <v>-643574.91</v>
      </c>
      <c r="Q1801" s="20">
        <v>-644582.41</v>
      </c>
      <c r="R1801" s="20">
        <v>-645557.38</v>
      </c>
      <c r="S1801" s="20">
        <v>-646564.85</v>
      </c>
      <c r="T1801" s="20">
        <v>-647539.80000000005</v>
      </c>
      <c r="U1801" s="20">
        <v>-651609.22</v>
      </c>
      <c r="V1801" s="20">
        <v>-652616.68999999994</v>
      </c>
      <c r="W1801" s="20">
        <v>-653591.64</v>
      </c>
      <c r="X1801" s="20">
        <v>-653591.64</v>
      </c>
      <c r="Y1801" s="20">
        <v>-653591.64</v>
      </c>
      <c r="Z1801" s="20">
        <v>-653804.1</v>
      </c>
      <c r="AA1801" s="20">
        <v>-653804.1</v>
      </c>
      <c r="AB1801" s="20">
        <v>-653804.1</v>
      </c>
      <c r="AC1801" s="20">
        <v>-656826.6</v>
      </c>
      <c r="AD1801" s="20">
        <v>-656826.6</v>
      </c>
      <c r="AE1801" s="20">
        <v>-656826.6</v>
      </c>
      <c r="AF1801" s="20">
        <v>-660010.23</v>
      </c>
      <c r="AG1801" s="20">
        <v>-661078.35</v>
      </c>
      <c r="AH1801" s="20">
        <v>-662151.51</v>
      </c>
      <c r="AI1801" s="20">
        <v>-663190.09</v>
      </c>
      <c r="AJ1801" s="20">
        <v>-664273.96</v>
      </c>
      <c r="AK1801" s="20">
        <v>-665345.37</v>
      </c>
      <c r="AL1801" s="20">
        <v>-666462.1</v>
      </c>
      <c r="AM1801" s="20">
        <v>-667588.41</v>
      </c>
      <c r="AN1801" s="20">
        <v>-668605.72</v>
      </c>
      <c r="AO1801" s="20">
        <v>-669732.06999999995</v>
      </c>
    </row>
    <row r="1802" spans="1:41" s="15" customFormat="1" ht="14.25" x14ac:dyDescent="0.2">
      <c r="A1802" s="18" t="s">
        <v>1445</v>
      </c>
      <c r="B1802" s="19" t="s">
        <v>1446</v>
      </c>
      <c r="C1802" s="20">
        <v>-921526.16</v>
      </c>
      <c r="D1802" s="20">
        <v>-923996.23</v>
      </c>
      <c r="E1802" s="20">
        <v>-926730.49</v>
      </c>
      <c r="F1802" s="20">
        <v>-929566.94</v>
      </c>
      <c r="G1802" s="20">
        <v>-932523.25</v>
      </c>
      <c r="H1802" s="20">
        <v>-935469.76</v>
      </c>
      <c r="I1802" s="20">
        <v>-938550.87</v>
      </c>
      <c r="J1802" s="20">
        <v>-941631.97</v>
      </c>
      <c r="K1802" s="20">
        <v>-944613.72</v>
      </c>
      <c r="L1802" s="20">
        <v>-947691.87</v>
      </c>
      <c r="M1802" s="20">
        <v>-950770.02</v>
      </c>
      <c r="N1802" s="20">
        <v>-953848.17</v>
      </c>
      <c r="O1802" s="20">
        <v>-956448.33</v>
      </c>
      <c r="P1802" s="20">
        <v>-959305.65</v>
      </c>
      <c r="Q1802" s="20">
        <v>-962421.27</v>
      </c>
      <c r="R1802" s="20">
        <v>-965370.08</v>
      </c>
      <c r="S1802" s="20">
        <v>-968432.03</v>
      </c>
      <c r="T1802" s="20">
        <v>-971395.26</v>
      </c>
      <c r="U1802" s="20">
        <v>-971395.26</v>
      </c>
      <c r="V1802" s="20">
        <v>-974457.21</v>
      </c>
      <c r="W1802" s="20">
        <v>-977420.44</v>
      </c>
      <c r="X1802" s="20">
        <v>-977420.44</v>
      </c>
      <c r="Y1802" s="20">
        <v>-977420.44</v>
      </c>
      <c r="Z1802" s="20">
        <v>-989212.3</v>
      </c>
      <c r="AA1802" s="20">
        <v>-989212.3</v>
      </c>
      <c r="AB1802" s="20">
        <v>-989212.3</v>
      </c>
      <c r="AC1802" s="20">
        <v>-998559.16</v>
      </c>
      <c r="AD1802" s="20">
        <v>-998559.16</v>
      </c>
      <c r="AE1802" s="20">
        <v>-998559.16</v>
      </c>
      <c r="AF1802" s="20">
        <v>-1005152.1</v>
      </c>
      <c r="AG1802" s="20">
        <v>-1007665.76</v>
      </c>
      <c r="AH1802" s="20">
        <v>-1010163.16</v>
      </c>
      <c r="AI1802" s="20">
        <v>-1012492.25</v>
      </c>
      <c r="AJ1802" s="20">
        <v>-1015559.85</v>
      </c>
      <c r="AK1802" s="20">
        <v>-1018779.34</v>
      </c>
      <c r="AL1802" s="20">
        <v>-1022070.86</v>
      </c>
      <c r="AM1802" s="20">
        <v>-1025303.83</v>
      </c>
      <c r="AN1802" s="20">
        <v>-1028173.77</v>
      </c>
      <c r="AO1802" s="20">
        <v>-1031258.46</v>
      </c>
    </row>
    <row r="1803" spans="1:41" s="15" customFormat="1" ht="14.25" x14ac:dyDescent="0.2">
      <c r="A1803" s="18" t="s">
        <v>1447</v>
      </c>
      <c r="B1803" s="19" t="s">
        <v>1448</v>
      </c>
      <c r="C1803" s="20">
        <v>-38067.01</v>
      </c>
      <c r="D1803" s="20">
        <v>-38524.080000000002</v>
      </c>
      <c r="E1803" s="20">
        <v>-39032.5</v>
      </c>
      <c r="F1803" s="20">
        <v>-39591.699999999997</v>
      </c>
      <c r="G1803" s="20">
        <v>-40169.599999999999</v>
      </c>
      <c r="H1803" s="20">
        <v>-40728.83</v>
      </c>
      <c r="I1803" s="20">
        <v>-41306.720000000001</v>
      </c>
      <c r="J1803" s="20">
        <v>-41884.6</v>
      </c>
      <c r="K1803" s="20">
        <v>-42443.839999999997</v>
      </c>
      <c r="L1803" s="20">
        <v>-43021.72</v>
      </c>
      <c r="M1803" s="20">
        <v>-43599.6</v>
      </c>
      <c r="N1803" s="20">
        <v>-44177.48</v>
      </c>
      <c r="O1803" s="20">
        <v>-44742.36</v>
      </c>
      <c r="P1803" s="20">
        <v>-45285.15</v>
      </c>
      <c r="Q1803" s="20">
        <v>-45865.38</v>
      </c>
      <c r="R1803" s="20">
        <v>-46426.9</v>
      </c>
      <c r="S1803" s="20">
        <v>-47007.09</v>
      </c>
      <c r="T1803" s="20">
        <v>-47568.61</v>
      </c>
      <c r="U1803" s="20">
        <v>-48148.800000000003</v>
      </c>
      <c r="V1803" s="20">
        <v>-48728.99</v>
      </c>
      <c r="W1803" s="20">
        <v>-49290.51</v>
      </c>
      <c r="X1803" s="20">
        <v>-49290.51</v>
      </c>
      <c r="Y1803" s="20">
        <v>-49290.51</v>
      </c>
      <c r="Z1803" s="20">
        <v>-51253.85</v>
      </c>
      <c r="AA1803" s="20">
        <v>-51253.85</v>
      </c>
      <c r="AB1803" s="20">
        <v>-51253.85</v>
      </c>
      <c r="AC1803" s="20">
        <v>-52994.54</v>
      </c>
      <c r="AD1803" s="20">
        <v>-52994.54</v>
      </c>
      <c r="AE1803" s="20">
        <v>-52994.54</v>
      </c>
      <c r="AF1803" s="20">
        <v>-54430.13</v>
      </c>
      <c r="AG1803" s="20">
        <v>-54900.11</v>
      </c>
      <c r="AH1803" s="20">
        <v>-55370.12</v>
      </c>
      <c r="AI1803" s="20">
        <v>-55824.959999999999</v>
      </c>
      <c r="AJ1803" s="20">
        <v>-56294.96</v>
      </c>
      <c r="AK1803" s="20">
        <v>-56749.82</v>
      </c>
      <c r="AL1803" s="20">
        <v>-57193.19</v>
      </c>
      <c r="AM1803" s="20">
        <v>-57625.7</v>
      </c>
      <c r="AN1803" s="20">
        <v>-58016.33</v>
      </c>
      <c r="AO1803" s="20">
        <v>-58448.82</v>
      </c>
    </row>
    <row r="1804" spans="1:41" s="15" customFormat="1" ht="14.25" x14ac:dyDescent="0.2">
      <c r="A1804" s="18" t="s">
        <v>1449</v>
      </c>
      <c r="B1804" s="19" t="s">
        <v>1450</v>
      </c>
      <c r="C1804" s="20">
        <v>-444915.82</v>
      </c>
      <c r="D1804" s="20">
        <v>-448690.35</v>
      </c>
      <c r="E1804" s="20">
        <v>-452869.27</v>
      </c>
      <c r="F1804" s="20">
        <v>-456913.37</v>
      </c>
      <c r="G1804" s="20">
        <v>-461092.28</v>
      </c>
      <c r="H1804" s="20">
        <v>-465136.4</v>
      </c>
      <c r="I1804" s="20">
        <v>-469315.32</v>
      </c>
      <c r="J1804" s="20">
        <v>-473494.24</v>
      </c>
      <c r="K1804" s="20">
        <v>-477538.34</v>
      </c>
      <c r="L1804" s="20">
        <v>-481717.27</v>
      </c>
      <c r="M1804" s="20">
        <v>-485896.2</v>
      </c>
      <c r="N1804" s="20">
        <v>-490075.13</v>
      </c>
      <c r="O1804" s="20">
        <v>-483710.63</v>
      </c>
      <c r="P1804" s="20">
        <v>-483964.08</v>
      </c>
      <c r="Q1804" s="20">
        <v>-484076.69</v>
      </c>
      <c r="R1804" s="20">
        <v>-484132.39</v>
      </c>
      <c r="S1804" s="20">
        <v>-484189.94</v>
      </c>
      <c r="T1804" s="20">
        <v>-484245.64</v>
      </c>
      <c r="U1804" s="20">
        <v>-484303.19</v>
      </c>
      <c r="V1804" s="20">
        <v>-484360.74</v>
      </c>
      <c r="W1804" s="20">
        <v>-484416.44</v>
      </c>
      <c r="X1804" s="20">
        <v>-484416.44</v>
      </c>
      <c r="Y1804" s="20">
        <v>-484416.44</v>
      </c>
      <c r="Z1804" s="20">
        <v>-484587.25</v>
      </c>
      <c r="AA1804" s="20">
        <v>-484587.25</v>
      </c>
      <c r="AB1804" s="20">
        <v>-484587.25</v>
      </c>
      <c r="AC1804" s="20">
        <v>-484925.08</v>
      </c>
      <c r="AD1804" s="20">
        <v>-484925.08</v>
      </c>
      <c r="AE1804" s="20">
        <v>-484925.08</v>
      </c>
      <c r="AF1804" s="20">
        <v>-484802.77</v>
      </c>
      <c r="AG1804" s="20">
        <v>-484827.55</v>
      </c>
      <c r="AH1804" s="20">
        <v>-484852.34</v>
      </c>
      <c r="AI1804" s="20">
        <v>-484876.32</v>
      </c>
      <c r="AJ1804" s="20">
        <v>-484906.09</v>
      </c>
      <c r="AK1804" s="20">
        <v>-484936.47</v>
      </c>
      <c r="AL1804" s="20">
        <v>-484964.64</v>
      </c>
      <c r="AM1804" s="20">
        <v>-484992.81</v>
      </c>
      <c r="AN1804" s="20">
        <v>-485018.27</v>
      </c>
      <c r="AO1804" s="20">
        <v>-485046.43</v>
      </c>
    </row>
    <row r="1805" spans="1:41" s="15" customFormat="1" ht="14.25" x14ac:dyDescent="0.2">
      <c r="A1805" s="18" t="s">
        <v>1451</v>
      </c>
      <c r="B1805" s="19" t="s">
        <v>1452</v>
      </c>
      <c r="C1805" s="20">
        <v>-92836.71</v>
      </c>
      <c r="D1805" s="20">
        <v>-94029.83</v>
      </c>
      <c r="E1805" s="20">
        <v>-95350.74</v>
      </c>
      <c r="F1805" s="20">
        <v>-96630.23</v>
      </c>
      <c r="G1805" s="20">
        <v>-97955.32</v>
      </c>
      <c r="H1805" s="20">
        <v>-99237.66</v>
      </c>
      <c r="I1805" s="20">
        <v>-100562.74</v>
      </c>
      <c r="J1805" s="20">
        <v>-101887.81</v>
      </c>
      <c r="K1805" s="20">
        <v>-103170.12</v>
      </c>
      <c r="L1805" s="20">
        <v>-104495.24</v>
      </c>
      <c r="M1805" s="20">
        <v>-105820.36</v>
      </c>
      <c r="N1805" s="20">
        <v>-107145.48</v>
      </c>
      <c r="O1805" s="20">
        <v>-107330.7</v>
      </c>
      <c r="P1805" s="20">
        <v>-108187.04</v>
      </c>
      <c r="Q1805" s="20">
        <v>-109102.41</v>
      </c>
      <c r="R1805" s="20">
        <v>-109988.29</v>
      </c>
      <c r="S1805" s="20">
        <v>-110899.75</v>
      </c>
      <c r="T1805" s="20">
        <v>-111778.33</v>
      </c>
      <c r="U1805" s="20">
        <v>-112689.79</v>
      </c>
      <c r="V1805" s="20">
        <v>-113601.25</v>
      </c>
      <c r="W1805" s="20">
        <v>-114479.83</v>
      </c>
      <c r="X1805" s="20">
        <v>-114479.83</v>
      </c>
      <c r="Y1805" s="20">
        <v>-114479.83</v>
      </c>
      <c r="Z1805" s="20">
        <v>-117166.92</v>
      </c>
      <c r="AA1805" s="20">
        <v>-117166.92</v>
      </c>
      <c r="AB1805" s="20">
        <v>-117166.92</v>
      </c>
      <c r="AC1805" s="20">
        <v>-119913.03</v>
      </c>
      <c r="AD1805" s="20">
        <v>-119913.03</v>
      </c>
      <c r="AE1805" s="20">
        <v>-119913.03</v>
      </c>
      <c r="AF1805" s="20">
        <v>-122325.87</v>
      </c>
      <c r="AG1805" s="20">
        <v>-123109.52</v>
      </c>
      <c r="AH1805" s="20">
        <v>-123864.38</v>
      </c>
      <c r="AI1805" s="20">
        <v>-124587.71</v>
      </c>
      <c r="AJ1805" s="20">
        <v>-125329.48</v>
      </c>
      <c r="AK1805" s="20">
        <v>-126001.25</v>
      </c>
      <c r="AL1805" s="20">
        <v>-126678.13</v>
      </c>
      <c r="AM1805" s="20">
        <v>-127354.96</v>
      </c>
      <c r="AN1805" s="20">
        <v>-127966.33</v>
      </c>
      <c r="AO1805" s="20">
        <v>-128643.18</v>
      </c>
    </row>
    <row r="1806" spans="1:41" s="15" customFormat="1" ht="14.25" x14ac:dyDescent="0.2">
      <c r="A1806" s="18" t="s">
        <v>1453</v>
      </c>
      <c r="B1806" s="19" t="s">
        <v>1454</v>
      </c>
      <c r="C1806" s="20">
        <v>-90920.72</v>
      </c>
      <c r="D1806" s="20">
        <v>-93622.95</v>
      </c>
      <c r="E1806" s="20">
        <v>-96621.11</v>
      </c>
      <c r="F1806" s="20">
        <v>-99539.3</v>
      </c>
      <c r="G1806" s="20">
        <v>-102608.79</v>
      </c>
      <c r="H1806" s="20">
        <v>-105610.29</v>
      </c>
      <c r="I1806" s="20">
        <v>-108714.04</v>
      </c>
      <c r="J1806" s="20">
        <v>-111817.77</v>
      </c>
      <c r="K1806" s="20">
        <v>-114825.34</v>
      </c>
      <c r="L1806" s="20">
        <v>-117933.06</v>
      </c>
      <c r="M1806" s="20">
        <v>-121040.78</v>
      </c>
      <c r="N1806" s="20">
        <v>-124148.5</v>
      </c>
      <c r="O1806" s="20">
        <v>-127155.28</v>
      </c>
      <c r="P1806" s="20">
        <v>-130072.99</v>
      </c>
      <c r="Q1806" s="20">
        <v>-133214.57</v>
      </c>
      <c r="R1806" s="20">
        <v>-136254.82</v>
      </c>
      <c r="S1806" s="20">
        <v>-139403.35999999999</v>
      </c>
      <c r="T1806" s="20">
        <v>-142462.43</v>
      </c>
      <c r="U1806" s="20">
        <v>-145610.97</v>
      </c>
      <c r="V1806" s="20">
        <v>-148759.51</v>
      </c>
      <c r="W1806" s="20">
        <v>-151818.57999999999</v>
      </c>
      <c r="X1806" s="20">
        <v>-151818.57999999999</v>
      </c>
      <c r="Y1806" s="20">
        <v>-151818.57999999999</v>
      </c>
      <c r="Z1806" s="20">
        <v>-161355.07999999999</v>
      </c>
      <c r="AA1806" s="20">
        <v>-161355.07999999999</v>
      </c>
      <c r="AB1806" s="20">
        <v>-161355.07999999999</v>
      </c>
      <c r="AC1806" s="20">
        <v>-170779.82</v>
      </c>
      <c r="AD1806" s="20">
        <v>-170779.82</v>
      </c>
      <c r="AE1806" s="20">
        <v>-170779.82</v>
      </c>
      <c r="AF1806" s="20">
        <v>-180401.53</v>
      </c>
      <c r="AG1806" s="20">
        <v>-183611.9</v>
      </c>
      <c r="AH1806" s="20">
        <v>-186788.47</v>
      </c>
      <c r="AI1806" s="20">
        <v>-189842.87</v>
      </c>
      <c r="AJ1806" s="20">
        <v>-193003.53</v>
      </c>
      <c r="AK1806" s="20">
        <v>-196065.26</v>
      </c>
      <c r="AL1806" s="20">
        <v>-199198.73</v>
      </c>
      <c r="AM1806" s="20">
        <v>-202312.72</v>
      </c>
      <c r="AN1806" s="20">
        <v>-205125.32</v>
      </c>
      <c r="AO1806" s="20">
        <v>-208148.66</v>
      </c>
    </row>
    <row r="1807" spans="1:41" s="15" customFormat="1" ht="14.25" x14ac:dyDescent="0.2">
      <c r="A1807" s="18" t="s">
        <v>1455</v>
      </c>
      <c r="B1807" s="19" t="s">
        <v>1456</v>
      </c>
      <c r="C1807" s="20">
        <v>-51043.79</v>
      </c>
      <c r="D1807" s="20">
        <v>-52050.86</v>
      </c>
      <c r="E1807" s="20">
        <v>-53165.81</v>
      </c>
      <c r="F1807" s="20">
        <v>-54244.78</v>
      </c>
      <c r="G1807" s="20">
        <v>-55359.74</v>
      </c>
      <c r="H1807" s="20">
        <v>-56441.88</v>
      </c>
      <c r="I1807" s="20">
        <v>-57562.3</v>
      </c>
      <c r="J1807" s="20">
        <v>-58682.73</v>
      </c>
      <c r="K1807" s="20">
        <v>-59767.01</v>
      </c>
      <c r="L1807" s="20">
        <v>-60887.42</v>
      </c>
      <c r="M1807" s="20">
        <v>-62007.83</v>
      </c>
      <c r="N1807" s="20">
        <v>-63128.24</v>
      </c>
      <c r="O1807" s="20">
        <v>-64212.54</v>
      </c>
      <c r="P1807" s="20">
        <v>-65260.69</v>
      </c>
      <c r="Q1807" s="20">
        <v>-66381.100000000006</v>
      </c>
      <c r="R1807" s="20">
        <v>-67465.39</v>
      </c>
      <c r="S1807" s="20">
        <v>-68585.81</v>
      </c>
      <c r="T1807" s="20">
        <v>-69670.080000000002</v>
      </c>
      <c r="U1807" s="20">
        <v>-70790.5</v>
      </c>
      <c r="V1807" s="20">
        <v>-71910.92</v>
      </c>
      <c r="W1807" s="20">
        <v>-72995.19</v>
      </c>
      <c r="X1807" s="20">
        <v>-72995.19</v>
      </c>
      <c r="Y1807" s="20">
        <v>-72995.19</v>
      </c>
      <c r="Z1807" s="20">
        <v>-76320.289999999994</v>
      </c>
      <c r="AA1807" s="20">
        <v>-76320.289999999994</v>
      </c>
      <c r="AB1807" s="20">
        <v>-76320.289999999994</v>
      </c>
      <c r="AC1807" s="20">
        <v>-79681.52</v>
      </c>
      <c r="AD1807" s="20">
        <v>-79681.52</v>
      </c>
      <c r="AE1807" s="20">
        <v>-79681.52</v>
      </c>
      <c r="AF1807" s="20">
        <v>-82923.48</v>
      </c>
      <c r="AG1807" s="20">
        <v>-84124.9</v>
      </c>
      <c r="AH1807" s="20">
        <v>-85326.34</v>
      </c>
      <c r="AI1807" s="20">
        <v>-86489.03</v>
      </c>
      <c r="AJ1807" s="20">
        <v>-87534.58</v>
      </c>
      <c r="AK1807" s="20">
        <v>-88493.99</v>
      </c>
      <c r="AL1807" s="20">
        <v>-89421.45</v>
      </c>
      <c r="AM1807" s="20">
        <v>-90326.67</v>
      </c>
      <c r="AN1807" s="20">
        <v>-91144.3</v>
      </c>
      <c r="AO1807" s="20">
        <v>-92049.53</v>
      </c>
    </row>
    <row r="1808" spans="1:41" s="15" customFormat="1" ht="14.25" x14ac:dyDescent="0.2">
      <c r="A1808" s="18" t="s">
        <v>1457</v>
      </c>
      <c r="B1808" s="19" t="s">
        <v>1458</v>
      </c>
      <c r="C1808" s="20">
        <v>-1107.82</v>
      </c>
      <c r="D1808" s="20">
        <v>-1132.3499999999999</v>
      </c>
      <c r="E1808" s="20">
        <v>-1167.8499999999999</v>
      </c>
      <c r="F1808" s="20">
        <v>-1202.99</v>
      </c>
      <c r="G1808" s="20">
        <v>-1239.3</v>
      </c>
      <c r="H1808" s="20">
        <v>-1274.45</v>
      </c>
      <c r="I1808" s="20">
        <v>-1310.77</v>
      </c>
      <c r="J1808" s="20">
        <v>-1347.09</v>
      </c>
      <c r="K1808" s="20">
        <v>-1382.23</v>
      </c>
      <c r="L1808" s="20">
        <v>-1418.55</v>
      </c>
      <c r="M1808" s="20">
        <v>-1454.87</v>
      </c>
      <c r="N1808" s="20">
        <v>-1491.19</v>
      </c>
      <c r="O1808" s="20">
        <v>-1526.34</v>
      </c>
      <c r="P1808" s="20">
        <v>-1560.32</v>
      </c>
      <c r="Q1808" s="20">
        <v>-1596.64</v>
      </c>
      <c r="R1808" s="20">
        <v>-1637.31</v>
      </c>
      <c r="S1808" s="20">
        <v>-1687.86</v>
      </c>
      <c r="T1808" s="20">
        <v>-1736.77</v>
      </c>
      <c r="U1808" s="20">
        <v>-1787.32</v>
      </c>
      <c r="V1808" s="20">
        <v>-1837.87</v>
      </c>
      <c r="W1808" s="20">
        <v>-1886.78</v>
      </c>
      <c r="X1808" s="20">
        <v>-1886.78</v>
      </c>
      <c r="Y1808" s="20">
        <v>-1886.78</v>
      </c>
      <c r="Z1808" s="20">
        <v>-2036.81</v>
      </c>
      <c r="AA1808" s="20">
        <v>-2036.81</v>
      </c>
      <c r="AB1808" s="20">
        <v>-2036.81</v>
      </c>
      <c r="AC1808" s="20">
        <v>-2145.77</v>
      </c>
      <c r="AD1808" s="20">
        <v>-2145.77</v>
      </c>
      <c r="AE1808" s="20">
        <v>-2145.77</v>
      </c>
      <c r="AF1808" s="20">
        <v>-2331.96</v>
      </c>
      <c r="AG1808" s="20">
        <v>-2382.5100000000002</v>
      </c>
      <c r="AH1808" s="20">
        <v>-2433.0500000000002</v>
      </c>
      <c r="AI1808" s="20">
        <v>-2481.9699999999998</v>
      </c>
      <c r="AJ1808" s="20">
        <v>-2532.5300000000002</v>
      </c>
      <c r="AK1808" s="20">
        <v>-2581.4499999999998</v>
      </c>
      <c r="AL1808" s="20">
        <v>-2632</v>
      </c>
      <c r="AM1808" s="20">
        <v>-2682.53</v>
      </c>
      <c r="AN1808" s="20">
        <v>-2728.21</v>
      </c>
      <c r="AO1808" s="20">
        <v>-2782.59</v>
      </c>
    </row>
    <row r="1809" spans="1:41" s="15" customFormat="1" ht="14.25" x14ac:dyDescent="0.2">
      <c r="A1809" s="18" t="s">
        <v>1459</v>
      </c>
      <c r="B1809" s="19" t="s">
        <v>1460</v>
      </c>
      <c r="C1809" s="20">
        <v>-11202.75</v>
      </c>
      <c r="D1809" s="20">
        <v>-11356.87</v>
      </c>
      <c r="E1809" s="20">
        <v>-11527.49</v>
      </c>
      <c r="F1809" s="20">
        <v>-11694.76</v>
      </c>
      <c r="G1809" s="20">
        <v>-11870.48</v>
      </c>
      <c r="H1809" s="20">
        <v>-12040.53</v>
      </c>
      <c r="I1809" s="20">
        <v>-12216.26</v>
      </c>
      <c r="J1809" s="20">
        <v>-12391.99</v>
      </c>
      <c r="K1809" s="20">
        <v>-12562.04</v>
      </c>
      <c r="L1809" s="20">
        <v>-12737.77</v>
      </c>
      <c r="M1809" s="20">
        <v>-12913.5</v>
      </c>
      <c r="N1809" s="20">
        <v>-13089.23</v>
      </c>
      <c r="O1809" s="20">
        <v>-13259.24</v>
      </c>
      <c r="P1809" s="20">
        <v>-13423.65</v>
      </c>
      <c r="Q1809" s="20">
        <v>-13599.37</v>
      </c>
      <c r="R1809" s="20">
        <v>-13769.42</v>
      </c>
      <c r="S1809" s="20">
        <v>-13945.14</v>
      </c>
      <c r="T1809" s="20">
        <v>-14115.2</v>
      </c>
      <c r="U1809" s="20">
        <v>-14290.92</v>
      </c>
      <c r="V1809" s="20">
        <v>-14466.64</v>
      </c>
      <c r="W1809" s="20">
        <v>-14636.7</v>
      </c>
      <c r="X1809" s="20">
        <v>-14636.7</v>
      </c>
      <c r="Y1809" s="20">
        <v>-14636.7</v>
      </c>
      <c r="Z1809" s="20">
        <v>-15158.23</v>
      </c>
      <c r="AA1809" s="20">
        <v>-15158.23</v>
      </c>
      <c r="AB1809" s="20">
        <v>-15158.23</v>
      </c>
      <c r="AC1809" s="20">
        <v>-15685.39</v>
      </c>
      <c r="AD1809" s="20">
        <v>-15685.39</v>
      </c>
      <c r="AE1809" s="20">
        <v>-15685.39</v>
      </c>
      <c r="AF1809" s="20">
        <v>-16337.99</v>
      </c>
      <c r="AG1809" s="20">
        <v>-16531.740000000002</v>
      </c>
      <c r="AH1809" s="20">
        <v>-16719.169999999998</v>
      </c>
      <c r="AI1809" s="20">
        <v>-16900.55</v>
      </c>
      <c r="AJ1809" s="20">
        <v>-17087.96</v>
      </c>
      <c r="AK1809" s="20">
        <v>-17269.330000000002</v>
      </c>
      <c r="AL1809" s="20">
        <v>-17456.75</v>
      </c>
      <c r="AM1809" s="20">
        <v>-17644.16</v>
      </c>
      <c r="AN1809" s="20">
        <v>-17813.439999999999</v>
      </c>
      <c r="AO1809" s="20">
        <v>-18000.849999999999</v>
      </c>
    </row>
    <row r="1810" spans="1:41" ht="14.25" x14ac:dyDescent="0.2">
      <c r="A1810" s="2">
        <v>180904</v>
      </c>
      <c r="B1810" s="3" t="s">
        <v>349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9"/>
      <c r="AI1810" s="9"/>
      <c r="AJ1810" s="9"/>
      <c r="AK1810" s="9"/>
      <c r="AL1810" s="9"/>
      <c r="AM1810" s="9"/>
      <c r="AN1810" s="9"/>
      <c r="AO1810" s="9"/>
    </row>
    <row r="1811" spans="1:41" ht="28.5" x14ac:dyDescent="0.2">
      <c r="A1811" s="2">
        <v>180905</v>
      </c>
      <c r="B1811" s="4" t="s">
        <v>350</v>
      </c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</row>
    <row r="1812" spans="1:41" ht="14.25" x14ac:dyDescent="0.2">
      <c r="A1812" s="2">
        <v>180907</v>
      </c>
      <c r="B1812" s="3" t="s">
        <v>351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9"/>
      <c r="AH1812" s="9"/>
      <c r="AI1812" s="9"/>
      <c r="AJ1812" s="9"/>
      <c r="AK1812" s="9"/>
      <c r="AL1812" s="9"/>
      <c r="AM1812" s="9"/>
      <c r="AN1812" s="9"/>
      <c r="AO1812" s="9"/>
    </row>
    <row r="1813" spans="1:41" ht="14.25" x14ac:dyDescent="0.2">
      <c r="A1813" s="2">
        <v>180909</v>
      </c>
      <c r="B1813" s="3" t="s">
        <v>352</v>
      </c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9"/>
      <c r="AI1813" s="9"/>
      <c r="AJ1813" s="9"/>
      <c r="AK1813" s="9"/>
      <c r="AL1813" s="9"/>
      <c r="AM1813" s="9"/>
      <c r="AN1813" s="9"/>
      <c r="AO1813" s="9"/>
    </row>
    <row r="1814" spans="1:41" ht="14.25" x14ac:dyDescent="0.2">
      <c r="A1814" s="2">
        <v>18090901</v>
      </c>
      <c r="B1814" s="3" t="s">
        <v>353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9"/>
      <c r="AI1814" s="9"/>
      <c r="AJ1814" s="9"/>
      <c r="AK1814" s="9"/>
      <c r="AL1814" s="9"/>
      <c r="AM1814" s="9"/>
      <c r="AN1814" s="9"/>
      <c r="AO1814" s="9"/>
    </row>
    <row r="1815" spans="1:41" ht="14.25" x14ac:dyDescent="0.2">
      <c r="A1815" s="2">
        <v>18090902</v>
      </c>
      <c r="B1815" s="3" t="s">
        <v>354</v>
      </c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9"/>
      <c r="AF1815" s="9"/>
      <c r="AG1815" s="9"/>
      <c r="AH1815" s="9"/>
      <c r="AI1815" s="9"/>
      <c r="AJ1815" s="9"/>
      <c r="AK1815" s="9"/>
      <c r="AL1815" s="9"/>
      <c r="AM1815" s="9"/>
      <c r="AN1815" s="9"/>
      <c r="AO1815" s="9"/>
    </row>
    <row r="1816" spans="1:41" ht="14.25" x14ac:dyDescent="0.2">
      <c r="A1816" s="2">
        <v>18090903</v>
      </c>
      <c r="B1816" s="3" t="s">
        <v>355</v>
      </c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9"/>
      <c r="AH1816" s="9"/>
      <c r="AI1816" s="9"/>
      <c r="AJ1816" s="9"/>
      <c r="AK1816" s="9"/>
      <c r="AL1816" s="9"/>
      <c r="AM1816" s="9"/>
      <c r="AN1816" s="9"/>
      <c r="AO1816" s="9"/>
    </row>
    <row r="1817" spans="1:41" ht="14.25" x14ac:dyDescent="0.2">
      <c r="A1817" s="2">
        <v>18090904</v>
      </c>
      <c r="B1817" s="3" t="s">
        <v>356</v>
      </c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  <c r="AF1817" s="9"/>
      <c r="AG1817" s="9"/>
      <c r="AH1817" s="9"/>
      <c r="AI1817" s="9"/>
      <c r="AJ1817" s="9"/>
      <c r="AK1817" s="9"/>
      <c r="AL1817" s="9"/>
      <c r="AM1817" s="9"/>
      <c r="AN1817" s="9"/>
      <c r="AO1817" s="9"/>
    </row>
    <row r="1818" spans="1:41" s="15" customFormat="1" ht="14.25" x14ac:dyDescent="0.2">
      <c r="A1818" s="18" t="s">
        <v>1461</v>
      </c>
      <c r="B1818" s="19" t="s">
        <v>1462</v>
      </c>
      <c r="C1818" s="20">
        <v>0</v>
      </c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  <c r="N1818" s="20"/>
      <c r="O1818" s="20"/>
      <c r="P1818" s="20"/>
      <c r="Q1818" s="20"/>
      <c r="R1818" s="20"/>
      <c r="S1818" s="20"/>
      <c r="T1818" s="20"/>
      <c r="U1818" s="20"/>
      <c r="V1818" s="20"/>
      <c r="W1818" s="20"/>
      <c r="X1818" s="20"/>
      <c r="Y1818" s="20"/>
      <c r="Z1818" s="20"/>
      <c r="AA1818" s="20"/>
      <c r="AB1818" s="20"/>
      <c r="AC1818" s="20"/>
      <c r="AD1818" s="20"/>
      <c r="AE1818" s="20"/>
      <c r="AF1818" s="20"/>
      <c r="AG1818" s="20"/>
      <c r="AH1818" s="20"/>
      <c r="AI1818" s="20"/>
      <c r="AJ1818" s="20"/>
      <c r="AK1818" s="20"/>
      <c r="AL1818" s="20"/>
      <c r="AM1818" s="20"/>
      <c r="AN1818" s="20"/>
      <c r="AO1818" s="20"/>
    </row>
    <row r="1819" spans="1:41" ht="28.5" x14ac:dyDescent="0.2">
      <c r="A1819" s="2">
        <v>18090905</v>
      </c>
      <c r="B1819" s="4" t="s">
        <v>357</v>
      </c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</row>
    <row r="1820" spans="1:41" ht="14.25" x14ac:dyDescent="0.2">
      <c r="A1820" s="2">
        <v>18090907</v>
      </c>
      <c r="B1820" s="3" t="s">
        <v>358</v>
      </c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  <c r="AK1820" s="9"/>
      <c r="AL1820" s="9"/>
      <c r="AM1820" s="9"/>
      <c r="AN1820" s="9"/>
      <c r="AO1820" s="9"/>
    </row>
    <row r="1821" spans="1:41" ht="14.25" x14ac:dyDescent="0.2">
      <c r="A1821" s="2">
        <v>19</v>
      </c>
      <c r="B1821" s="3" t="s">
        <v>359</v>
      </c>
      <c r="C1821" s="20">
        <f>+C1822+C1844+C1851+C1857+C1866+C1870+C1885+C1903</f>
        <v>5716522.5699999994</v>
      </c>
      <c r="D1821" s="20">
        <f t="shared" ref="D1821:AO1821" si="46">+D1822+D1844+D1851+D1857+D1866+D1870+D1885+D1903</f>
        <v>1027520.84</v>
      </c>
      <c r="E1821" s="20">
        <f t="shared" si="46"/>
        <v>977921.16999999993</v>
      </c>
      <c r="F1821" s="20">
        <f t="shared" si="46"/>
        <v>1137292.02</v>
      </c>
      <c r="G1821" s="20">
        <f t="shared" si="46"/>
        <v>1211333.46</v>
      </c>
      <c r="H1821" s="20">
        <f t="shared" si="46"/>
        <v>1127679.77</v>
      </c>
      <c r="I1821" s="20">
        <f t="shared" si="46"/>
        <v>1132677.02</v>
      </c>
      <c r="J1821" s="20">
        <f t="shared" si="46"/>
        <v>1166925.7600000002</v>
      </c>
      <c r="K1821" s="20">
        <f t="shared" si="46"/>
        <v>999935.7100000002</v>
      </c>
      <c r="L1821" s="20">
        <f t="shared" si="46"/>
        <v>1092278.26</v>
      </c>
      <c r="M1821" s="20">
        <f t="shared" si="46"/>
        <v>1068430.1299999999</v>
      </c>
      <c r="N1821" s="20">
        <f t="shared" si="46"/>
        <v>1161433.6200000001</v>
      </c>
      <c r="O1821" s="20">
        <f t="shared" si="46"/>
        <v>1214740.6200000001</v>
      </c>
      <c r="P1821" s="20">
        <f t="shared" si="46"/>
        <v>1268897.73</v>
      </c>
      <c r="Q1821" s="20">
        <f t="shared" si="46"/>
        <v>1873466.9199999997</v>
      </c>
      <c r="R1821" s="20">
        <f t="shared" si="46"/>
        <v>1196865.8600000001</v>
      </c>
      <c r="S1821" s="20">
        <f t="shared" si="46"/>
        <v>1228886.6300000001</v>
      </c>
      <c r="T1821" s="20">
        <f t="shared" si="46"/>
        <v>1222193.6200000001</v>
      </c>
      <c r="U1821" s="20">
        <f t="shared" si="46"/>
        <v>1297830.83</v>
      </c>
      <c r="V1821" s="20">
        <f t="shared" si="46"/>
        <v>1364532.79</v>
      </c>
      <c r="W1821" s="20">
        <f t="shared" si="46"/>
        <v>1388501.0299999998</v>
      </c>
      <c r="X1821" s="20">
        <f t="shared" si="46"/>
        <v>1573468.52</v>
      </c>
      <c r="Y1821" s="20">
        <f t="shared" si="46"/>
        <v>1592905.44</v>
      </c>
      <c r="Z1821" s="20">
        <f t="shared" si="46"/>
        <v>1404291.8699999996</v>
      </c>
      <c r="AA1821" s="20">
        <f t="shared" si="46"/>
        <v>1447985.5699999998</v>
      </c>
      <c r="AB1821" s="20">
        <f t="shared" si="46"/>
        <v>1633647.97</v>
      </c>
      <c r="AC1821" s="20">
        <f t="shared" si="46"/>
        <v>1587492.8399999999</v>
      </c>
      <c r="AD1821" s="20">
        <f t="shared" si="46"/>
        <v>1578042.3900000004</v>
      </c>
      <c r="AE1821" s="20">
        <f t="shared" si="46"/>
        <v>1587530.81</v>
      </c>
      <c r="AF1821" s="20">
        <f t="shared" si="46"/>
        <v>1586536.35</v>
      </c>
      <c r="AG1821" s="20">
        <f t="shared" si="46"/>
        <v>636157.12</v>
      </c>
      <c r="AH1821" s="20">
        <f t="shared" si="46"/>
        <v>714107.09000000032</v>
      </c>
      <c r="AI1821" s="20">
        <f t="shared" si="46"/>
        <v>508405.82999999984</v>
      </c>
      <c r="AJ1821" s="20">
        <f t="shared" si="46"/>
        <v>530397.17999999959</v>
      </c>
      <c r="AK1821" s="20">
        <f t="shared" si="46"/>
        <v>550438.47999999963</v>
      </c>
      <c r="AL1821" s="20">
        <f t="shared" si="46"/>
        <v>435621.41999999975</v>
      </c>
      <c r="AM1821" s="20">
        <f t="shared" si="46"/>
        <v>700890.34</v>
      </c>
      <c r="AN1821" s="20">
        <f t="shared" si="46"/>
        <v>560122.54</v>
      </c>
      <c r="AO1821" s="20">
        <f>+AO1822+AO1844+AO1851+AO1857+AO1866+AO1870+AO1885+AO1903</f>
        <v>310331.79000000004</v>
      </c>
    </row>
    <row r="1822" spans="1:41" ht="14.25" x14ac:dyDescent="0.2">
      <c r="A1822" s="2">
        <v>1901</v>
      </c>
      <c r="B1822" s="3" t="s">
        <v>360</v>
      </c>
      <c r="C1822" s="20">
        <f>+C1828+C1838</f>
        <v>1893331.0799999998</v>
      </c>
      <c r="D1822" s="20">
        <f t="shared" ref="D1822:AO1822" si="47">+D1828+D1838</f>
        <v>115683.13</v>
      </c>
      <c r="E1822" s="20">
        <f t="shared" si="47"/>
        <v>58988.85</v>
      </c>
      <c r="F1822" s="20">
        <f t="shared" si="47"/>
        <v>205351.36</v>
      </c>
      <c r="G1822" s="20">
        <f t="shared" si="47"/>
        <v>275596.79999999999</v>
      </c>
      <c r="H1822" s="20">
        <f t="shared" si="47"/>
        <v>189283.09</v>
      </c>
      <c r="I1822" s="20">
        <f t="shared" si="47"/>
        <v>185818.59</v>
      </c>
      <c r="J1822" s="20">
        <f t="shared" si="47"/>
        <v>209374.99</v>
      </c>
      <c r="K1822" s="20">
        <f t="shared" si="47"/>
        <v>88527.48</v>
      </c>
      <c r="L1822" s="20">
        <f t="shared" si="47"/>
        <v>178533.00999999998</v>
      </c>
      <c r="M1822" s="20">
        <f t="shared" si="47"/>
        <v>153008.88</v>
      </c>
      <c r="N1822" s="20">
        <f t="shared" si="47"/>
        <v>244336.37</v>
      </c>
      <c r="O1822" s="20">
        <f t="shared" si="47"/>
        <v>260002.03</v>
      </c>
      <c r="P1822" s="20">
        <f t="shared" si="47"/>
        <v>302595.92</v>
      </c>
      <c r="Q1822" s="20">
        <f t="shared" si="47"/>
        <v>190110.53000000003</v>
      </c>
      <c r="R1822" s="20">
        <f t="shared" si="47"/>
        <v>186594.73</v>
      </c>
      <c r="S1822" s="20">
        <f t="shared" si="47"/>
        <v>208450.34000000003</v>
      </c>
      <c r="T1822" s="20">
        <f t="shared" si="47"/>
        <v>168396.40000000002</v>
      </c>
      <c r="U1822" s="20">
        <f t="shared" si="47"/>
        <v>167212.49</v>
      </c>
      <c r="V1822" s="20">
        <f t="shared" si="47"/>
        <v>221076.80000000002</v>
      </c>
      <c r="W1822" s="20">
        <f t="shared" si="47"/>
        <v>245306.71000000002</v>
      </c>
      <c r="X1822" s="20">
        <f t="shared" si="47"/>
        <v>363604.88</v>
      </c>
      <c r="Y1822" s="20">
        <f t="shared" si="47"/>
        <v>332360.68</v>
      </c>
      <c r="Z1822" s="20">
        <f t="shared" si="47"/>
        <v>214672.89</v>
      </c>
      <c r="AA1822" s="20">
        <f t="shared" si="47"/>
        <v>219901.78</v>
      </c>
      <c r="AB1822" s="20">
        <f t="shared" si="47"/>
        <v>345331.63</v>
      </c>
      <c r="AC1822" s="20">
        <f t="shared" si="47"/>
        <v>294810.38</v>
      </c>
      <c r="AD1822" s="20">
        <f t="shared" si="47"/>
        <v>280751.93000000005</v>
      </c>
      <c r="AE1822" s="20">
        <f t="shared" si="47"/>
        <v>286384.34999999998</v>
      </c>
      <c r="AF1822" s="20">
        <f t="shared" si="47"/>
        <v>286398.65000000002</v>
      </c>
      <c r="AG1822" s="20">
        <f t="shared" si="47"/>
        <v>250211.48</v>
      </c>
      <c r="AH1822" s="20">
        <f t="shared" si="47"/>
        <v>324658.81</v>
      </c>
      <c r="AI1822" s="20">
        <f t="shared" si="47"/>
        <v>270362.62</v>
      </c>
      <c r="AJ1822" s="20">
        <f t="shared" si="47"/>
        <v>288852.33</v>
      </c>
      <c r="AK1822" s="20">
        <f t="shared" si="47"/>
        <v>309237.52999999997</v>
      </c>
      <c r="AL1822" s="20">
        <f t="shared" si="47"/>
        <v>211940.84</v>
      </c>
      <c r="AM1822" s="20">
        <f t="shared" si="47"/>
        <v>245694.12</v>
      </c>
      <c r="AN1822" s="20">
        <f t="shared" si="47"/>
        <v>336247.29</v>
      </c>
      <c r="AO1822" s="27">
        <f>+AO1828+AO1838</f>
        <v>93823.58</v>
      </c>
    </row>
    <row r="1823" spans="1:41" ht="14.25" x14ac:dyDescent="0.2">
      <c r="A1823" s="2">
        <v>190101</v>
      </c>
      <c r="B1823" s="3" t="s">
        <v>361</v>
      </c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9"/>
      <c r="AI1823" s="9"/>
      <c r="AJ1823" s="9"/>
      <c r="AK1823" s="9"/>
      <c r="AL1823" s="9"/>
      <c r="AM1823" s="9"/>
      <c r="AN1823" s="9"/>
      <c r="AO1823" s="9"/>
    </row>
    <row r="1824" spans="1:41" ht="14.25" x14ac:dyDescent="0.2">
      <c r="A1824" s="2">
        <v>190102</v>
      </c>
      <c r="B1824" s="3" t="s">
        <v>362</v>
      </c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9"/>
      <c r="AI1824" s="9"/>
      <c r="AJ1824" s="9"/>
      <c r="AK1824" s="9"/>
      <c r="AL1824" s="9"/>
      <c r="AM1824" s="9"/>
      <c r="AN1824" s="9"/>
      <c r="AO1824" s="9"/>
    </row>
    <row r="1825" spans="1:41" ht="14.25" x14ac:dyDescent="0.2">
      <c r="A1825" s="2">
        <v>190103</v>
      </c>
      <c r="B1825" s="3" t="s">
        <v>363</v>
      </c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9"/>
      <c r="AH1825" s="9"/>
      <c r="AI1825" s="9"/>
      <c r="AJ1825" s="9"/>
      <c r="AK1825" s="9"/>
      <c r="AL1825" s="9"/>
      <c r="AM1825" s="9"/>
      <c r="AN1825" s="9"/>
      <c r="AO1825" s="9"/>
    </row>
    <row r="1826" spans="1:41" ht="14.25" x14ac:dyDescent="0.2">
      <c r="A1826" s="2">
        <v>190104</v>
      </c>
      <c r="B1826" s="3" t="s">
        <v>364</v>
      </c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9"/>
      <c r="AI1826" s="9"/>
      <c r="AJ1826" s="9"/>
      <c r="AK1826" s="9"/>
      <c r="AL1826" s="9"/>
      <c r="AM1826" s="9"/>
      <c r="AN1826" s="9"/>
      <c r="AO1826" s="9"/>
    </row>
    <row r="1827" spans="1:41" ht="14.25" x14ac:dyDescent="0.2">
      <c r="A1827" s="2">
        <v>190105</v>
      </c>
      <c r="B1827" s="3" t="s">
        <v>365</v>
      </c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  <c r="AH1827" s="9"/>
      <c r="AI1827" s="9"/>
      <c r="AJ1827" s="9"/>
      <c r="AK1827" s="9"/>
      <c r="AL1827" s="9"/>
      <c r="AM1827" s="9"/>
      <c r="AN1827" s="9"/>
      <c r="AO1827" s="9"/>
    </row>
    <row r="1828" spans="1:41" ht="14.25" x14ac:dyDescent="0.2">
      <c r="A1828" s="2">
        <v>190106</v>
      </c>
      <c r="B1828" s="3" t="s">
        <v>366</v>
      </c>
      <c r="C1828" s="20">
        <f>SUM(C1829:C1837)</f>
        <v>1627563.1099999999</v>
      </c>
      <c r="D1828" s="20">
        <f t="shared" ref="D1828:AO1828" si="48">SUM(D1829:D1837)</f>
        <v>115683.13</v>
      </c>
      <c r="E1828" s="20">
        <f t="shared" si="48"/>
        <v>58988.85</v>
      </c>
      <c r="F1828" s="20">
        <f t="shared" si="48"/>
        <v>205351.36</v>
      </c>
      <c r="G1828" s="20">
        <f t="shared" si="48"/>
        <v>275596.79999999999</v>
      </c>
      <c r="H1828" s="20">
        <f t="shared" si="48"/>
        <v>189283.09</v>
      </c>
      <c r="I1828" s="20">
        <f t="shared" si="48"/>
        <v>185818.59</v>
      </c>
      <c r="J1828" s="20">
        <f t="shared" si="48"/>
        <v>209374.99</v>
      </c>
      <c r="K1828" s="20">
        <f t="shared" si="48"/>
        <v>88527.48</v>
      </c>
      <c r="L1828" s="20">
        <f t="shared" si="48"/>
        <v>178533.00999999998</v>
      </c>
      <c r="M1828" s="20">
        <f t="shared" si="48"/>
        <v>153008.88</v>
      </c>
      <c r="N1828" s="20">
        <f t="shared" si="48"/>
        <v>244336.37</v>
      </c>
      <c r="O1828" s="20">
        <f t="shared" si="48"/>
        <v>260002.03</v>
      </c>
      <c r="P1828" s="20">
        <f t="shared" si="48"/>
        <v>302595.92</v>
      </c>
      <c r="Q1828" s="20">
        <f t="shared" si="48"/>
        <v>190110.53000000003</v>
      </c>
      <c r="R1828" s="20">
        <f t="shared" si="48"/>
        <v>186594.73</v>
      </c>
      <c r="S1828" s="20">
        <f t="shared" si="48"/>
        <v>208450.34000000003</v>
      </c>
      <c r="T1828" s="20">
        <f t="shared" si="48"/>
        <v>168396.40000000002</v>
      </c>
      <c r="U1828" s="20">
        <f t="shared" si="48"/>
        <v>167212.49</v>
      </c>
      <c r="V1828" s="20">
        <f t="shared" si="48"/>
        <v>215439.30000000002</v>
      </c>
      <c r="W1828" s="20">
        <f t="shared" si="48"/>
        <v>239669.21000000002</v>
      </c>
      <c r="X1828" s="20">
        <f t="shared" si="48"/>
        <v>357967.38</v>
      </c>
      <c r="Y1828" s="20">
        <f t="shared" si="48"/>
        <v>326723.18</v>
      </c>
      <c r="Z1828" s="20">
        <f t="shared" si="48"/>
        <v>209035.39</v>
      </c>
      <c r="AA1828" s="20">
        <f t="shared" si="48"/>
        <v>214264.28</v>
      </c>
      <c r="AB1828" s="20">
        <f t="shared" si="48"/>
        <v>339694.13</v>
      </c>
      <c r="AC1828" s="20">
        <f t="shared" si="48"/>
        <v>289172.88</v>
      </c>
      <c r="AD1828" s="20">
        <f t="shared" si="48"/>
        <v>275114.43000000005</v>
      </c>
      <c r="AE1828" s="20">
        <f t="shared" si="48"/>
        <v>280746.84999999998</v>
      </c>
      <c r="AF1828" s="20">
        <f t="shared" si="48"/>
        <v>280761.15000000002</v>
      </c>
      <c r="AG1828" s="20">
        <f t="shared" si="48"/>
        <v>244573.98</v>
      </c>
      <c r="AH1828" s="20">
        <f t="shared" si="48"/>
        <v>319021.31</v>
      </c>
      <c r="AI1828" s="20">
        <f t="shared" si="48"/>
        <v>264725.12</v>
      </c>
      <c r="AJ1828" s="20">
        <f t="shared" si="48"/>
        <v>283214.83</v>
      </c>
      <c r="AK1828" s="20">
        <f t="shared" si="48"/>
        <v>303600.02999999997</v>
      </c>
      <c r="AL1828" s="20">
        <f t="shared" si="48"/>
        <v>206303.34</v>
      </c>
      <c r="AM1828" s="20">
        <f t="shared" si="48"/>
        <v>240056.62</v>
      </c>
      <c r="AN1828" s="20">
        <f t="shared" si="48"/>
        <v>330609.78999999998</v>
      </c>
      <c r="AO1828" s="24">
        <f>SUM(AO1829:AO1837)</f>
        <v>88186.08</v>
      </c>
    </row>
    <row r="1829" spans="1:41" s="15" customFormat="1" ht="14.25" x14ac:dyDescent="0.2">
      <c r="A1829" s="18" t="s">
        <v>1463</v>
      </c>
      <c r="B1829" s="19" t="s">
        <v>1464</v>
      </c>
      <c r="C1829" s="20">
        <v>1430465.69</v>
      </c>
      <c r="D1829" s="20">
        <v>114963.13</v>
      </c>
      <c r="E1829" s="20">
        <v>58268.85</v>
      </c>
      <c r="F1829" s="20">
        <v>128131.36</v>
      </c>
      <c r="G1829" s="20">
        <v>71881.460000000006</v>
      </c>
      <c r="H1829" s="20">
        <v>87008.59</v>
      </c>
      <c r="I1829" s="20">
        <v>61614.59</v>
      </c>
      <c r="J1829" s="20">
        <v>85812.99</v>
      </c>
      <c r="K1829" s="20">
        <v>8900.48</v>
      </c>
      <c r="L1829" s="20">
        <v>50823.11</v>
      </c>
      <c r="M1829" s="20">
        <v>21313.24</v>
      </c>
      <c r="N1829" s="20">
        <v>16641</v>
      </c>
      <c r="O1829" s="20">
        <v>17250.169999999998</v>
      </c>
      <c r="P1829" s="20">
        <v>63753.279999999999</v>
      </c>
      <c r="Q1829" s="20">
        <v>73484.259999999995</v>
      </c>
      <c r="R1829" s="20">
        <v>97298.2</v>
      </c>
      <c r="S1829" s="20">
        <v>131157.14000000001</v>
      </c>
      <c r="T1829" s="20">
        <v>91103.2</v>
      </c>
      <c r="U1829" s="20">
        <v>79753.289999999994</v>
      </c>
      <c r="V1829" s="20">
        <v>138146.1</v>
      </c>
      <c r="W1829" s="20">
        <v>160376.01</v>
      </c>
      <c r="X1829" s="20">
        <v>278674.18</v>
      </c>
      <c r="Y1829" s="20">
        <v>247429.98</v>
      </c>
      <c r="Z1829" s="20">
        <v>129742.19</v>
      </c>
      <c r="AA1829" s="20">
        <v>134971.07999999999</v>
      </c>
      <c r="AB1829" s="20">
        <v>252885.93</v>
      </c>
      <c r="AC1829" s="20">
        <v>193090.68</v>
      </c>
      <c r="AD1829" s="20">
        <v>160065.73000000001</v>
      </c>
      <c r="AE1829" s="20">
        <v>147198.09</v>
      </c>
      <c r="AF1829" s="20">
        <v>145555.46</v>
      </c>
      <c r="AG1829" s="20">
        <v>149215.79</v>
      </c>
      <c r="AH1829" s="20">
        <v>206705.62</v>
      </c>
      <c r="AI1829" s="20">
        <v>159909.43</v>
      </c>
      <c r="AJ1829" s="20">
        <v>178399.14</v>
      </c>
      <c r="AK1829" s="20">
        <v>198784.34</v>
      </c>
      <c r="AL1829" s="20">
        <v>113487.2</v>
      </c>
      <c r="AM1829" s="20">
        <v>122746.63</v>
      </c>
      <c r="AN1829" s="20">
        <v>217849.84</v>
      </c>
      <c r="AO1829" s="24">
        <v>5111.33</v>
      </c>
    </row>
    <row r="1830" spans="1:41" s="15" customFormat="1" ht="14.25" x14ac:dyDescent="0.2">
      <c r="A1830" s="18" t="s">
        <v>1465</v>
      </c>
      <c r="B1830" s="19" t="s">
        <v>1466</v>
      </c>
      <c r="C1830" s="20">
        <v>196377.42</v>
      </c>
      <c r="D1830" s="20">
        <v>0</v>
      </c>
      <c r="E1830" s="20"/>
      <c r="F1830" s="20"/>
      <c r="G1830" s="20">
        <v>3040</v>
      </c>
      <c r="H1830" s="20">
        <v>0</v>
      </c>
      <c r="I1830" s="20"/>
      <c r="J1830" s="20">
        <v>0</v>
      </c>
      <c r="K1830" s="20"/>
      <c r="L1830" s="20"/>
      <c r="M1830" s="20"/>
      <c r="N1830" s="20"/>
      <c r="O1830" s="20"/>
      <c r="P1830" s="20"/>
      <c r="Q1830" s="20"/>
      <c r="R1830" s="20"/>
      <c r="S1830" s="20"/>
      <c r="T1830" s="20"/>
      <c r="U1830" s="20"/>
      <c r="V1830" s="20"/>
      <c r="W1830" s="20"/>
      <c r="X1830" s="20"/>
      <c r="Y1830" s="20"/>
      <c r="Z1830" s="20"/>
      <c r="AA1830" s="20"/>
      <c r="AB1830" s="20"/>
      <c r="AC1830" s="20"/>
      <c r="AD1830" s="20"/>
      <c r="AE1830" s="20"/>
      <c r="AF1830" s="20"/>
      <c r="AG1830" s="20"/>
      <c r="AH1830" s="20"/>
      <c r="AI1830" s="20"/>
      <c r="AJ1830" s="20"/>
      <c r="AK1830" s="20"/>
      <c r="AL1830" s="20"/>
      <c r="AM1830" s="20"/>
      <c r="AN1830" s="20"/>
      <c r="AO1830" s="24"/>
    </row>
    <row r="1831" spans="1:41" s="15" customFormat="1" ht="14.25" x14ac:dyDescent="0.2">
      <c r="A1831" s="18" t="s">
        <v>1467</v>
      </c>
      <c r="B1831" s="19" t="s">
        <v>1468</v>
      </c>
      <c r="C1831" s="20">
        <v>0</v>
      </c>
      <c r="D1831" s="20"/>
      <c r="E1831" s="20"/>
      <c r="F1831" s="20"/>
      <c r="G1831" s="20"/>
      <c r="H1831" s="20"/>
      <c r="I1831" s="20"/>
      <c r="J1831" s="20"/>
      <c r="K1831" s="20"/>
      <c r="L1831" s="20"/>
      <c r="M1831" s="20"/>
      <c r="N1831" s="20"/>
      <c r="O1831" s="20"/>
      <c r="P1831" s="20"/>
      <c r="Q1831" s="20"/>
      <c r="R1831" s="20"/>
      <c r="S1831" s="20"/>
      <c r="T1831" s="20"/>
      <c r="U1831" s="20"/>
      <c r="V1831" s="20"/>
      <c r="W1831" s="20"/>
      <c r="X1831" s="20"/>
      <c r="Y1831" s="20">
        <v>0</v>
      </c>
      <c r="Z1831" s="20"/>
      <c r="AA1831" s="20"/>
      <c r="AB1831" s="20"/>
      <c r="AC1831" s="20"/>
      <c r="AD1831" s="20"/>
      <c r="AE1831" s="20"/>
      <c r="AF1831" s="20"/>
      <c r="AG1831" s="20"/>
      <c r="AH1831" s="20">
        <v>20000</v>
      </c>
      <c r="AI1831" s="20">
        <v>0</v>
      </c>
      <c r="AJ1831" s="20"/>
      <c r="AK1831" s="20"/>
      <c r="AL1831" s="20"/>
      <c r="AM1831" s="20"/>
      <c r="AN1831" s="20">
        <v>12.46</v>
      </c>
      <c r="AO1831" s="24">
        <v>287.45999999999998</v>
      </c>
    </row>
    <row r="1832" spans="1:41" s="15" customFormat="1" ht="14.25" x14ac:dyDescent="0.2">
      <c r="A1832" s="18" t="s">
        <v>1469</v>
      </c>
      <c r="B1832" s="19" t="s">
        <v>1470</v>
      </c>
      <c r="C1832" s="20"/>
      <c r="D1832" s="20"/>
      <c r="E1832" s="20"/>
      <c r="F1832" s="20">
        <v>47500</v>
      </c>
      <c r="G1832" s="20">
        <v>145620.34</v>
      </c>
      <c r="H1832" s="20">
        <v>56405.5</v>
      </c>
      <c r="I1832" s="20">
        <v>52613</v>
      </c>
      <c r="J1832" s="20">
        <v>52613</v>
      </c>
      <c r="K1832" s="20">
        <v>40103</v>
      </c>
      <c r="L1832" s="20">
        <v>40103</v>
      </c>
      <c r="M1832" s="20">
        <v>40103</v>
      </c>
      <c r="N1832" s="20">
        <v>40103</v>
      </c>
      <c r="O1832" s="20">
        <v>55944</v>
      </c>
      <c r="P1832" s="20">
        <v>55944</v>
      </c>
      <c r="Q1832" s="20">
        <v>60959</v>
      </c>
      <c r="R1832" s="20">
        <v>52102.5</v>
      </c>
      <c r="S1832" s="20">
        <v>40102.5</v>
      </c>
      <c r="T1832" s="20">
        <v>40102.5</v>
      </c>
      <c r="U1832" s="20">
        <v>40102.5</v>
      </c>
      <c r="V1832" s="20">
        <v>40102.5</v>
      </c>
      <c r="W1832" s="20">
        <v>40102.5</v>
      </c>
      <c r="X1832" s="20">
        <v>40102.5</v>
      </c>
      <c r="Y1832" s="20">
        <v>40102.5</v>
      </c>
      <c r="Z1832" s="20">
        <v>40102.5</v>
      </c>
      <c r="AA1832" s="20">
        <v>40102.5</v>
      </c>
      <c r="AB1832" s="20">
        <v>47617.5</v>
      </c>
      <c r="AC1832" s="20">
        <v>56891.5</v>
      </c>
      <c r="AD1832" s="20">
        <v>75858</v>
      </c>
      <c r="AE1832" s="20">
        <v>48978.06</v>
      </c>
      <c r="AF1832" s="20">
        <v>41124.99</v>
      </c>
      <c r="AG1832" s="20">
        <v>41124.99</v>
      </c>
      <c r="AH1832" s="20">
        <v>41124.99</v>
      </c>
      <c r="AI1832" s="20">
        <v>41124.99</v>
      </c>
      <c r="AJ1832" s="20">
        <v>41124.99</v>
      </c>
      <c r="AK1832" s="20">
        <v>41124.99</v>
      </c>
      <c r="AL1832" s="20">
        <v>40624.99</v>
      </c>
      <c r="AM1832" s="20">
        <v>70624.990000000005</v>
      </c>
      <c r="AN1832" s="20">
        <v>70624.990000000005</v>
      </c>
      <c r="AO1832" s="24">
        <v>40624.99</v>
      </c>
    </row>
    <row r="1833" spans="1:41" s="15" customFormat="1" ht="14.25" x14ac:dyDescent="0.2">
      <c r="A1833" s="18" t="s">
        <v>1471</v>
      </c>
      <c r="B1833" s="19" t="s">
        <v>1472</v>
      </c>
      <c r="C1833" s="20"/>
      <c r="D1833" s="20"/>
      <c r="E1833" s="20"/>
      <c r="F1833" s="20"/>
      <c r="G1833" s="20">
        <v>14160</v>
      </c>
      <c r="H1833" s="20">
        <v>0</v>
      </c>
      <c r="I1833" s="20"/>
      <c r="J1833" s="20"/>
      <c r="K1833" s="20"/>
      <c r="L1833" s="20">
        <v>47639</v>
      </c>
      <c r="M1833" s="20">
        <v>51639</v>
      </c>
      <c r="N1833" s="20">
        <v>154142.99</v>
      </c>
      <c r="O1833" s="20">
        <v>153094.94</v>
      </c>
      <c r="P1833" s="20">
        <v>149439.94</v>
      </c>
      <c r="Q1833" s="20">
        <v>22215.7</v>
      </c>
      <c r="R1833" s="20">
        <v>4166.7</v>
      </c>
      <c r="S1833" s="20">
        <v>4166.7</v>
      </c>
      <c r="T1833" s="20">
        <v>4166.7</v>
      </c>
      <c r="U1833" s="20">
        <v>4166.7</v>
      </c>
      <c r="V1833" s="20">
        <v>4166.7</v>
      </c>
      <c r="W1833" s="20">
        <v>6166.7</v>
      </c>
      <c r="X1833" s="20">
        <v>6166.7</v>
      </c>
      <c r="Y1833" s="20">
        <v>6166.7</v>
      </c>
      <c r="Z1833" s="20">
        <v>6166.7</v>
      </c>
      <c r="AA1833" s="20">
        <v>6166.7</v>
      </c>
      <c r="AB1833" s="20">
        <v>6166.7</v>
      </c>
      <c r="AC1833" s="20">
        <v>6166.7</v>
      </c>
      <c r="AD1833" s="20">
        <v>6166.7</v>
      </c>
      <c r="AE1833" s="20">
        <v>6166.7</v>
      </c>
      <c r="AF1833" s="20">
        <v>6166.7</v>
      </c>
      <c r="AG1833" s="20">
        <v>18166.7</v>
      </c>
      <c r="AH1833" s="20">
        <v>18166.7</v>
      </c>
      <c r="AI1833" s="20">
        <v>30666.7</v>
      </c>
      <c r="AJ1833" s="20">
        <v>30666.7</v>
      </c>
      <c r="AK1833" s="20">
        <v>30666.7</v>
      </c>
      <c r="AL1833" s="20">
        <v>19167.150000000001</v>
      </c>
      <c r="AM1833" s="20">
        <v>13661</v>
      </c>
      <c r="AN1833" s="20">
        <v>9098.5</v>
      </c>
      <c r="AO1833" s="24">
        <v>9138.2999999999993</v>
      </c>
    </row>
    <row r="1834" spans="1:41" s="15" customFormat="1" ht="14.25" x14ac:dyDescent="0.2">
      <c r="A1834" s="18" t="s">
        <v>1473</v>
      </c>
      <c r="B1834" s="19" t="s">
        <v>1474</v>
      </c>
      <c r="C1834" s="20">
        <v>720</v>
      </c>
      <c r="D1834" s="20">
        <v>720</v>
      </c>
      <c r="E1834" s="20">
        <v>720</v>
      </c>
      <c r="F1834" s="20">
        <v>720</v>
      </c>
      <c r="G1834" s="20">
        <v>720</v>
      </c>
      <c r="H1834" s="20">
        <v>720</v>
      </c>
      <c r="I1834" s="20">
        <v>720</v>
      </c>
      <c r="J1834" s="20">
        <v>720</v>
      </c>
      <c r="K1834" s="20">
        <v>720</v>
      </c>
      <c r="L1834" s="20">
        <v>720</v>
      </c>
      <c r="M1834" s="20">
        <v>720</v>
      </c>
      <c r="N1834" s="20">
        <v>720</v>
      </c>
      <c r="O1834" s="20">
        <v>720</v>
      </c>
      <c r="P1834" s="20">
        <v>720</v>
      </c>
      <c r="Q1834" s="20">
        <v>720</v>
      </c>
      <c r="R1834" s="20">
        <v>720</v>
      </c>
      <c r="S1834" s="20">
        <v>720</v>
      </c>
      <c r="T1834" s="20">
        <v>720</v>
      </c>
      <c r="U1834" s="20">
        <v>720</v>
      </c>
      <c r="V1834" s="20">
        <v>720</v>
      </c>
      <c r="W1834" s="20">
        <v>720</v>
      </c>
      <c r="X1834" s="20">
        <v>720</v>
      </c>
      <c r="Y1834" s="20">
        <v>720</v>
      </c>
      <c r="Z1834" s="20">
        <v>720</v>
      </c>
      <c r="AA1834" s="20">
        <v>720</v>
      </c>
      <c r="AB1834" s="20">
        <v>720</v>
      </c>
      <c r="AC1834" s="20">
        <v>720</v>
      </c>
      <c r="AD1834" s="20">
        <v>720</v>
      </c>
      <c r="AE1834" s="20">
        <v>720</v>
      </c>
      <c r="AF1834" s="20">
        <v>720</v>
      </c>
      <c r="AG1834" s="20">
        <v>720</v>
      </c>
      <c r="AH1834" s="20">
        <v>720</v>
      </c>
      <c r="AI1834" s="20">
        <v>720</v>
      </c>
      <c r="AJ1834" s="20">
        <v>720</v>
      </c>
      <c r="AK1834" s="20">
        <v>720</v>
      </c>
      <c r="AL1834" s="20">
        <v>720</v>
      </c>
      <c r="AM1834" s="20">
        <v>720</v>
      </c>
      <c r="AN1834" s="20">
        <v>720</v>
      </c>
      <c r="AO1834" s="24">
        <v>720</v>
      </c>
    </row>
    <row r="1835" spans="1:41" s="15" customFormat="1" ht="14.25" x14ac:dyDescent="0.2">
      <c r="A1835" s="18" t="s">
        <v>1475</v>
      </c>
      <c r="B1835" s="19" t="s">
        <v>1476</v>
      </c>
      <c r="C1835" s="20">
        <v>0</v>
      </c>
      <c r="D1835" s="20"/>
      <c r="E1835" s="20"/>
      <c r="F1835" s="20">
        <v>0</v>
      </c>
      <c r="G1835" s="20"/>
      <c r="H1835" s="20">
        <v>0</v>
      </c>
      <c r="I1835" s="20"/>
      <c r="J1835" s="20"/>
      <c r="K1835" s="20"/>
      <c r="L1835" s="20">
        <v>443.9</v>
      </c>
      <c r="M1835" s="20">
        <v>429.64</v>
      </c>
      <c r="N1835" s="20">
        <v>425.38</v>
      </c>
      <c r="O1835" s="20">
        <v>688.92</v>
      </c>
      <c r="P1835" s="20">
        <v>434.7</v>
      </c>
      <c r="Q1835" s="20">
        <v>427.57</v>
      </c>
      <c r="R1835" s="20">
        <v>3.33</v>
      </c>
      <c r="S1835" s="20">
        <v>0</v>
      </c>
      <c r="T1835" s="20"/>
      <c r="U1835" s="20"/>
      <c r="V1835" s="20"/>
      <c r="W1835" s="20"/>
      <c r="X1835" s="20"/>
      <c r="Y1835" s="20"/>
      <c r="Z1835" s="20"/>
      <c r="AA1835" s="20">
        <v>0</v>
      </c>
      <c r="AB1835" s="20">
        <v>0</v>
      </c>
      <c r="AC1835" s="20"/>
      <c r="AD1835" s="20">
        <v>0</v>
      </c>
      <c r="AE1835" s="20"/>
      <c r="AF1835" s="20">
        <v>0</v>
      </c>
      <c r="AG1835" s="20"/>
      <c r="AH1835" s="20">
        <v>0</v>
      </c>
      <c r="AI1835" s="20"/>
      <c r="AJ1835" s="20"/>
      <c r="AK1835" s="20"/>
      <c r="AL1835" s="20"/>
      <c r="AM1835" s="20"/>
      <c r="AN1835" s="20"/>
      <c r="AO1835" s="24"/>
    </row>
    <row r="1836" spans="1:41" s="15" customFormat="1" ht="14.25" x14ac:dyDescent="0.2">
      <c r="A1836" s="18" t="s">
        <v>1477</v>
      </c>
      <c r="B1836" s="19" t="s">
        <v>1478</v>
      </c>
      <c r="C1836" s="20"/>
      <c r="D1836" s="20"/>
      <c r="E1836" s="20"/>
      <c r="F1836" s="20"/>
      <c r="G1836" s="20">
        <v>5175</v>
      </c>
      <c r="H1836" s="20">
        <v>5175</v>
      </c>
      <c r="I1836" s="20">
        <v>5175</v>
      </c>
      <c r="J1836" s="20">
        <v>5175</v>
      </c>
      <c r="K1836" s="20">
        <v>0</v>
      </c>
      <c r="L1836" s="20"/>
      <c r="M1836" s="20"/>
      <c r="N1836" s="20"/>
      <c r="O1836" s="20"/>
      <c r="P1836" s="20"/>
      <c r="Q1836" s="20"/>
      <c r="R1836" s="20"/>
      <c r="S1836" s="20"/>
      <c r="T1836" s="20"/>
      <c r="U1836" s="20"/>
      <c r="V1836" s="20"/>
      <c r="W1836" s="20"/>
      <c r="X1836" s="20"/>
      <c r="Y1836" s="20"/>
      <c r="Z1836" s="20"/>
      <c r="AA1836" s="20"/>
      <c r="AB1836" s="20"/>
      <c r="AC1836" s="20"/>
      <c r="AD1836" s="20"/>
      <c r="AE1836" s="20"/>
      <c r="AF1836" s="20"/>
      <c r="AG1836" s="20"/>
      <c r="AH1836" s="20"/>
      <c r="AI1836" s="20"/>
      <c r="AJ1836" s="20"/>
      <c r="AK1836" s="20"/>
      <c r="AL1836" s="20"/>
      <c r="AM1836" s="20"/>
      <c r="AN1836" s="20"/>
      <c r="AO1836" s="24"/>
    </row>
    <row r="1837" spans="1:41" s="15" customFormat="1" ht="14.25" x14ac:dyDescent="0.2">
      <c r="A1837" s="18" t="s">
        <v>1479</v>
      </c>
      <c r="B1837" s="19" t="s">
        <v>1480</v>
      </c>
      <c r="C1837" s="20"/>
      <c r="D1837" s="20"/>
      <c r="E1837" s="20"/>
      <c r="F1837" s="20">
        <v>29000</v>
      </c>
      <c r="G1837" s="20">
        <v>35000</v>
      </c>
      <c r="H1837" s="20">
        <v>39974</v>
      </c>
      <c r="I1837" s="20">
        <v>65696</v>
      </c>
      <c r="J1837" s="20">
        <v>65054</v>
      </c>
      <c r="K1837" s="20">
        <v>38804</v>
      </c>
      <c r="L1837" s="20">
        <v>38804</v>
      </c>
      <c r="M1837" s="20">
        <v>38804</v>
      </c>
      <c r="N1837" s="20">
        <v>32304</v>
      </c>
      <c r="O1837" s="20">
        <v>32304</v>
      </c>
      <c r="P1837" s="20">
        <v>32304</v>
      </c>
      <c r="Q1837" s="20">
        <v>32304</v>
      </c>
      <c r="R1837" s="20">
        <v>32304</v>
      </c>
      <c r="S1837" s="20">
        <v>32304</v>
      </c>
      <c r="T1837" s="20">
        <v>32304</v>
      </c>
      <c r="U1837" s="20">
        <v>42470</v>
      </c>
      <c r="V1837" s="20">
        <v>32304</v>
      </c>
      <c r="W1837" s="20">
        <v>32304</v>
      </c>
      <c r="X1837" s="20">
        <v>32304</v>
      </c>
      <c r="Y1837" s="20">
        <v>32304</v>
      </c>
      <c r="Z1837" s="20">
        <v>32304</v>
      </c>
      <c r="AA1837" s="20">
        <v>32304</v>
      </c>
      <c r="AB1837" s="20">
        <v>32304</v>
      </c>
      <c r="AC1837" s="20">
        <v>32304</v>
      </c>
      <c r="AD1837" s="20">
        <v>32304</v>
      </c>
      <c r="AE1837" s="20">
        <v>77684</v>
      </c>
      <c r="AF1837" s="20">
        <v>87194</v>
      </c>
      <c r="AG1837" s="20">
        <v>35346.5</v>
      </c>
      <c r="AH1837" s="20">
        <v>32304</v>
      </c>
      <c r="AI1837" s="20">
        <v>32304</v>
      </c>
      <c r="AJ1837" s="20">
        <v>32304</v>
      </c>
      <c r="AK1837" s="20">
        <v>32304</v>
      </c>
      <c r="AL1837" s="20">
        <v>32304</v>
      </c>
      <c r="AM1837" s="20">
        <v>32304</v>
      </c>
      <c r="AN1837" s="20">
        <v>32304</v>
      </c>
      <c r="AO1837" s="24">
        <v>32304</v>
      </c>
    </row>
    <row r="1838" spans="1:41" ht="14.25" x14ac:dyDescent="0.2">
      <c r="A1838" s="2">
        <v>190107</v>
      </c>
      <c r="B1838" s="3" t="s">
        <v>367</v>
      </c>
      <c r="C1838" s="20">
        <f t="shared" ref="C1838:AC1838" si="49">SUM(C1839:C1841)</f>
        <v>265767.96999999997</v>
      </c>
      <c r="D1838" s="20">
        <f t="shared" si="49"/>
        <v>0</v>
      </c>
      <c r="E1838" s="20">
        <f t="shared" si="49"/>
        <v>0</v>
      </c>
      <c r="F1838" s="20">
        <f t="shared" si="49"/>
        <v>0</v>
      </c>
      <c r="G1838" s="20">
        <f t="shared" si="49"/>
        <v>0</v>
      </c>
      <c r="H1838" s="20">
        <f t="shared" si="49"/>
        <v>0</v>
      </c>
      <c r="I1838" s="20">
        <f t="shared" si="49"/>
        <v>0</v>
      </c>
      <c r="J1838" s="20">
        <f t="shared" si="49"/>
        <v>0</v>
      </c>
      <c r="K1838" s="20">
        <f t="shared" si="49"/>
        <v>0</v>
      </c>
      <c r="L1838" s="20">
        <f t="shared" si="49"/>
        <v>0</v>
      </c>
      <c r="M1838" s="20">
        <f t="shared" si="49"/>
        <v>0</v>
      </c>
      <c r="N1838" s="20">
        <f t="shared" si="49"/>
        <v>0</v>
      </c>
      <c r="O1838" s="20">
        <f t="shared" si="49"/>
        <v>0</v>
      </c>
      <c r="P1838" s="20">
        <f t="shared" si="49"/>
        <v>0</v>
      </c>
      <c r="Q1838" s="20">
        <f t="shared" si="49"/>
        <v>0</v>
      </c>
      <c r="R1838" s="20">
        <f t="shared" si="49"/>
        <v>0</v>
      </c>
      <c r="S1838" s="20">
        <f t="shared" si="49"/>
        <v>0</v>
      </c>
      <c r="T1838" s="20">
        <f t="shared" si="49"/>
        <v>0</v>
      </c>
      <c r="U1838" s="20">
        <f t="shared" si="49"/>
        <v>0</v>
      </c>
      <c r="V1838" s="20">
        <f t="shared" si="49"/>
        <v>5637.5</v>
      </c>
      <c r="W1838" s="20">
        <f t="shared" si="49"/>
        <v>5637.5</v>
      </c>
      <c r="X1838" s="20">
        <f t="shared" si="49"/>
        <v>5637.5</v>
      </c>
      <c r="Y1838" s="20">
        <f t="shared" si="49"/>
        <v>5637.5</v>
      </c>
      <c r="Z1838" s="20">
        <f t="shared" si="49"/>
        <v>5637.5</v>
      </c>
      <c r="AA1838" s="20">
        <f t="shared" si="49"/>
        <v>5637.5</v>
      </c>
      <c r="AB1838" s="20">
        <f t="shared" si="49"/>
        <v>5637.5</v>
      </c>
      <c r="AC1838" s="20">
        <f t="shared" si="49"/>
        <v>5637.5</v>
      </c>
      <c r="AD1838" s="20">
        <f>SUM(AD1839:AD1841)</f>
        <v>5637.5</v>
      </c>
      <c r="AE1838" s="20">
        <f t="shared" ref="AE1838:AO1838" si="50">SUM(AE1839:AE1841)</f>
        <v>5637.5</v>
      </c>
      <c r="AF1838" s="20">
        <f t="shared" si="50"/>
        <v>5637.5</v>
      </c>
      <c r="AG1838" s="20">
        <f t="shared" si="50"/>
        <v>5637.5</v>
      </c>
      <c r="AH1838" s="20">
        <f t="shared" si="50"/>
        <v>5637.5</v>
      </c>
      <c r="AI1838" s="20">
        <f t="shared" si="50"/>
        <v>5637.5</v>
      </c>
      <c r="AJ1838" s="20">
        <f t="shared" si="50"/>
        <v>5637.5</v>
      </c>
      <c r="AK1838" s="20">
        <f t="shared" si="50"/>
        <v>5637.5</v>
      </c>
      <c r="AL1838" s="20">
        <f t="shared" si="50"/>
        <v>5637.5</v>
      </c>
      <c r="AM1838" s="20">
        <f t="shared" si="50"/>
        <v>5637.5</v>
      </c>
      <c r="AN1838" s="20">
        <f t="shared" si="50"/>
        <v>5637.5</v>
      </c>
      <c r="AO1838" s="24">
        <f t="shared" si="50"/>
        <v>5637.5</v>
      </c>
    </row>
    <row r="1839" spans="1:41" s="15" customFormat="1" ht="14.25" x14ac:dyDescent="0.2">
      <c r="A1839" s="18" t="s">
        <v>1481</v>
      </c>
      <c r="B1839" s="19" t="s">
        <v>1482</v>
      </c>
      <c r="C1839" s="20">
        <v>43100</v>
      </c>
      <c r="D1839" s="20">
        <v>0</v>
      </c>
      <c r="E1839" s="20"/>
      <c r="F1839" s="20"/>
      <c r="G1839" s="20"/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  <c r="S1839" s="20"/>
      <c r="T1839" s="20"/>
      <c r="U1839" s="20"/>
      <c r="V1839" s="20"/>
      <c r="W1839" s="20"/>
      <c r="X1839" s="20"/>
      <c r="Y1839" s="20"/>
      <c r="Z1839" s="20"/>
      <c r="AA1839" s="20"/>
      <c r="AB1839" s="20"/>
      <c r="AC1839" s="20"/>
      <c r="AD1839" s="20"/>
      <c r="AE1839" s="20"/>
      <c r="AF1839" s="20"/>
      <c r="AG1839" s="20"/>
      <c r="AH1839" s="20"/>
      <c r="AI1839" s="20"/>
      <c r="AJ1839" s="20"/>
      <c r="AK1839" s="20"/>
      <c r="AL1839" s="20"/>
      <c r="AM1839" s="20"/>
      <c r="AN1839" s="20"/>
      <c r="AO1839" s="20"/>
    </row>
    <row r="1840" spans="1:41" s="15" customFormat="1" ht="14.25" x14ac:dyDescent="0.2">
      <c r="A1840" s="18" t="s">
        <v>1483</v>
      </c>
      <c r="B1840" s="19" t="s">
        <v>1484</v>
      </c>
      <c r="C1840" s="20">
        <v>211990</v>
      </c>
      <c r="D1840" s="20">
        <v>0</v>
      </c>
      <c r="E1840" s="20"/>
      <c r="F1840" s="20"/>
      <c r="G1840" s="20"/>
      <c r="H1840" s="20"/>
      <c r="I1840" s="20"/>
      <c r="J1840" s="20"/>
      <c r="K1840" s="20"/>
      <c r="L1840" s="20"/>
      <c r="M1840" s="20"/>
      <c r="N1840" s="20"/>
      <c r="O1840" s="20"/>
      <c r="P1840" s="20"/>
      <c r="Q1840" s="20"/>
      <c r="R1840" s="20"/>
      <c r="S1840" s="20"/>
      <c r="T1840" s="20"/>
      <c r="U1840" s="20"/>
      <c r="V1840" s="20"/>
      <c r="W1840" s="20"/>
      <c r="X1840" s="20"/>
      <c r="Y1840" s="20"/>
      <c r="Z1840" s="20"/>
      <c r="AA1840" s="20"/>
      <c r="AB1840" s="20"/>
      <c r="AC1840" s="20"/>
      <c r="AD1840" s="20"/>
      <c r="AE1840" s="20"/>
      <c r="AF1840" s="20"/>
      <c r="AG1840" s="20"/>
      <c r="AH1840" s="20"/>
      <c r="AI1840" s="20"/>
      <c r="AJ1840" s="20"/>
      <c r="AK1840" s="20"/>
      <c r="AL1840" s="20"/>
      <c r="AM1840" s="20"/>
      <c r="AN1840" s="20"/>
      <c r="AO1840" s="20"/>
    </row>
    <row r="1841" spans="1:41" s="15" customFormat="1" ht="14.25" x14ac:dyDescent="0.2">
      <c r="A1841" s="18" t="s">
        <v>1485</v>
      </c>
      <c r="B1841" s="19" t="s">
        <v>1486</v>
      </c>
      <c r="C1841" s="20">
        <v>10677.97</v>
      </c>
      <c r="D1841" s="20">
        <v>0</v>
      </c>
      <c r="E1841" s="20"/>
      <c r="F1841" s="20"/>
      <c r="G1841" s="20"/>
      <c r="H1841" s="20"/>
      <c r="I1841" s="20"/>
      <c r="J1841" s="20"/>
      <c r="K1841" s="20"/>
      <c r="L1841" s="20"/>
      <c r="M1841" s="20"/>
      <c r="N1841" s="20"/>
      <c r="O1841" s="20"/>
      <c r="P1841" s="20"/>
      <c r="Q1841" s="20"/>
      <c r="R1841" s="20"/>
      <c r="S1841" s="20"/>
      <c r="T1841" s="20"/>
      <c r="U1841" s="20"/>
      <c r="V1841" s="20">
        <v>5637.5</v>
      </c>
      <c r="W1841" s="20">
        <v>5637.5</v>
      </c>
      <c r="X1841" s="20">
        <v>5637.5</v>
      </c>
      <c r="Y1841" s="20">
        <v>5637.5</v>
      </c>
      <c r="Z1841" s="20">
        <v>5637.5</v>
      </c>
      <c r="AA1841" s="20">
        <v>5637.5</v>
      </c>
      <c r="AB1841" s="20">
        <v>5637.5</v>
      </c>
      <c r="AC1841" s="20">
        <v>5637.5</v>
      </c>
      <c r="AD1841" s="20">
        <v>5637.5</v>
      </c>
      <c r="AE1841" s="20">
        <v>5637.5</v>
      </c>
      <c r="AF1841" s="20">
        <v>5637.5</v>
      </c>
      <c r="AG1841" s="20">
        <v>5637.5</v>
      </c>
      <c r="AH1841" s="20">
        <v>5637.5</v>
      </c>
      <c r="AI1841" s="20">
        <v>5637.5</v>
      </c>
      <c r="AJ1841" s="20">
        <v>5637.5</v>
      </c>
      <c r="AK1841" s="20">
        <v>5637.5</v>
      </c>
      <c r="AL1841" s="20">
        <v>5637.5</v>
      </c>
      <c r="AM1841" s="20">
        <v>5637.5</v>
      </c>
      <c r="AN1841" s="20">
        <v>5637.5</v>
      </c>
      <c r="AO1841" s="20">
        <v>5637.5</v>
      </c>
    </row>
    <row r="1842" spans="1:41" ht="14.25" x14ac:dyDescent="0.2">
      <c r="A1842" s="2">
        <v>190118</v>
      </c>
      <c r="B1842" s="3" t="s">
        <v>368</v>
      </c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9"/>
      <c r="AI1842" s="9"/>
      <c r="AJ1842" s="9"/>
      <c r="AK1842" s="9"/>
      <c r="AL1842" s="9"/>
      <c r="AM1842" s="9"/>
      <c r="AN1842" s="9"/>
      <c r="AO1842" s="9"/>
    </row>
    <row r="1843" spans="1:41" ht="14.25" x14ac:dyDescent="0.2">
      <c r="A1843" s="2">
        <v>190119</v>
      </c>
      <c r="B1843" s="3" t="s">
        <v>369</v>
      </c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  <c r="AK1843" s="9"/>
      <c r="AL1843" s="9"/>
      <c r="AM1843" s="9"/>
      <c r="AN1843" s="9"/>
      <c r="AO1843" s="9"/>
    </row>
    <row r="1844" spans="1:41" ht="14.25" x14ac:dyDescent="0.2">
      <c r="A1844" s="2">
        <v>1902</v>
      </c>
      <c r="B1844" s="3" t="s">
        <v>370</v>
      </c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9"/>
      <c r="AF1844" s="9"/>
      <c r="AG1844" s="9"/>
      <c r="AH1844" s="9"/>
      <c r="AI1844" s="9"/>
      <c r="AJ1844" s="9"/>
      <c r="AK1844" s="9"/>
      <c r="AL1844" s="9"/>
      <c r="AM1844" s="9"/>
      <c r="AN1844" s="9"/>
      <c r="AO1844" s="9"/>
    </row>
    <row r="1845" spans="1:41" ht="14.25" x14ac:dyDescent="0.2">
      <c r="A1845" s="2">
        <v>190202</v>
      </c>
      <c r="B1845" s="3" t="s">
        <v>371</v>
      </c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9"/>
      <c r="AF1845" s="9"/>
      <c r="AG1845" s="9"/>
      <c r="AH1845" s="9"/>
      <c r="AI1845" s="9"/>
      <c r="AJ1845" s="9"/>
      <c r="AK1845" s="9"/>
      <c r="AL1845" s="9"/>
      <c r="AM1845" s="9"/>
      <c r="AN1845" s="9"/>
      <c r="AO1845" s="9"/>
    </row>
    <row r="1846" spans="1:41" ht="28.5" x14ac:dyDescent="0.2">
      <c r="A1846" s="2">
        <v>190203</v>
      </c>
      <c r="B1846" s="4" t="s">
        <v>372</v>
      </c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/>
    </row>
    <row r="1847" spans="1:41" ht="14.25" x14ac:dyDescent="0.2">
      <c r="A1847" s="2">
        <v>190204</v>
      </c>
      <c r="B1847" s="3" t="s">
        <v>373</v>
      </c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9"/>
      <c r="AF1847" s="9"/>
      <c r="AG1847" s="9"/>
      <c r="AH1847" s="9"/>
      <c r="AI1847" s="9"/>
      <c r="AJ1847" s="9"/>
      <c r="AK1847" s="9"/>
      <c r="AL1847" s="9"/>
      <c r="AM1847" s="9"/>
      <c r="AN1847" s="9"/>
      <c r="AO1847" s="9"/>
    </row>
    <row r="1848" spans="1:41" ht="14.25" x14ac:dyDescent="0.2">
      <c r="A1848" s="2">
        <v>190205</v>
      </c>
      <c r="B1848" s="3" t="s">
        <v>374</v>
      </c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9"/>
      <c r="AF1848" s="9"/>
      <c r="AG1848" s="9"/>
      <c r="AH1848" s="9"/>
      <c r="AI1848" s="9"/>
      <c r="AJ1848" s="9"/>
      <c r="AK1848" s="9"/>
      <c r="AL1848" s="9"/>
      <c r="AM1848" s="9"/>
      <c r="AN1848" s="9"/>
      <c r="AO1848" s="25"/>
    </row>
    <row r="1849" spans="1:41" ht="14.25" x14ac:dyDescent="0.2">
      <c r="A1849" s="2">
        <v>190206</v>
      </c>
      <c r="B1849" s="3" t="s">
        <v>375</v>
      </c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9"/>
      <c r="AF1849" s="9"/>
      <c r="AG1849" s="9"/>
      <c r="AH1849" s="9"/>
      <c r="AI1849" s="9"/>
      <c r="AJ1849" s="9"/>
      <c r="AK1849" s="9"/>
      <c r="AL1849" s="9"/>
      <c r="AM1849" s="9"/>
      <c r="AN1849" s="9"/>
      <c r="AO1849" s="25"/>
    </row>
    <row r="1850" spans="1:41" ht="14.25" x14ac:dyDescent="0.2">
      <c r="A1850" s="2">
        <v>190207</v>
      </c>
      <c r="B1850" s="3" t="s">
        <v>376</v>
      </c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9"/>
      <c r="AN1850" s="9"/>
      <c r="AO1850" s="25"/>
    </row>
    <row r="1851" spans="1:41" ht="14.25" x14ac:dyDescent="0.2">
      <c r="A1851" s="2">
        <v>1903</v>
      </c>
      <c r="B1851" s="3" t="s">
        <v>377</v>
      </c>
      <c r="C1851" s="20">
        <f>+C1852</f>
        <v>104490</v>
      </c>
      <c r="D1851" s="20">
        <f t="shared" ref="D1851:AO1851" si="51">+D1852</f>
        <v>2071</v>
      </c>
      <c r="E1851" s="20">
        <f t="shared" si="51"/>
        <v>3244</v>
      </c>
      <c r="F1851" s="20">
        <f t="shared" si="51"/>
        <v>5532</v>
      </c>
      <c r="G1851" s="20">
        <f t="shared" si="51"/>
        <v>7929</v>
      </c>
      <c r="H1851" s="20">
        <f t="shared" si="51"/>
        <v>10464</v>
      </c>
      <c r="I1851" s="20">
        <f t="shared" si="51"/>
        <v>12841</v>
      </c>
      <c r="J1851" s="20">
        <f t="shared" si="51"/>
        <v>15313</v>
      </c>
      <c r="K1851" s="20">
        <f t="shared" si="51"/>
        <v>17972</v>
      </c>
      <c r="L1851" s="20">
        <f t="shared" si="51"/>
        <v>19648</v>
      </c>
      <c r="M1851" s="20">
        <f t="shared" si="51"/>
        <v>21324</v>
      </c>
      <c r="N1851" s="20">
        <f t="shared" si="51"/>
        <v>23000</v>
      </c>
      <c r="O1851" s="20">
        <f t="shared" si="51"/>
        <v>23000</v>
      </c>
      <c r="P1851" s="20">
        <f t="shared" si="51"/>
        <v>23000</v>
      </c>
      <c r="Q1851" s="20">
        <f t="shared" si="51"/>
        <v>23000</v>
      </c>
      <c r="R1851" s="20">
        <f t="shared" si="51"/>
        <v>25057</v>
      </c>
      <c r="S1851" s="20">
        <f t="shared" si="51"/>
        <v>27117</v>
      </c>
      <c r="T1851" s="20">
        <f t="shared" si="51"/>
        <v>29176</v>
      </c>
      <c r="U1851" s="20">
        <f t="shared" si="51"/>
        <v>31235</v>
      </c>
      <c r="V1851" s="20">
        <f t="shared" si="51"/>
        <v>33293</v>
      </c>
      <c r="W1851" s="20">
        <f t="shared" si="51"/>
        <v>33293</v>
      </c>
      <c r="X1851" s="20">
        <f t="shared" si="51"/>
        <v>35355</v>
      </c>
      <c r="Y1851" s="20">
        <f t="shared" si="51"/>
        <v>37414</v>
      </c>
      <c r="Z1851" s="20">
        <f t="shared" si="51"/>
        <v>39473</v>
      </c>
      <c r="AA1851" s="20">
        <f t="shared" si="51"/>
        <v>40154</v>
      </c>
      <c r="AB1851" s="20">
        <f t="shared" si="51"/>
        <v>40154</v>
      </c>
      <c r="AC1851" s="20">
        <f t="shared" si="51"/>
        <v>40154</v>
      </c>
      <c r="AD1851" s="20">
        <f t="shared" si="51"/>
        <v>44762</v>
      </c>
      <c r="AE1851" s="20">
        <f t="shared" si="51"/>
        <v>48618</v>
      </c>
      <c r="AF1851" s="20">
        <f t="shared" si="51"/>
        <v>48618</v>
      </c>
      <c r="AG1851" s="20">
        <f t="shared" si="51"/>
        <v>52472</v>
      </c>
      <c r="AH1851" s="20">
        <f t="shared" si="51"/>
        <v>56330</v>
      </c>
      <c r="AI1851" s="20">
        <f t="shared" si="51"/>
        <v>60184</v>
      </c>
      <c r="AJ1851" s="20">
        <f t="shared" si="51"/>
        <v>64041</v>
      </c>
      <c r="AK1851" s="20">
        <f t="shared" si="51"/>
        <v>64041</v>
      </c>
      <c r="AL1851" s="20">
        <f t="shared" si="51"/>
        <v>70818</v>
      </c>
      <c r="AM1851" s="20">
        <f t="shared" si="51"/>
        <v>71689</v>
      </c>
      <c r="AN1851" s="20">
        <f t="shared" si="51"/>
        <v>71689</v>
      </c>
      <c r="AO1851" s="24">
        <f>+AO1852</f>
        <v>71689</v>
      </c>
    </row>
    <row r="1852" spans="1:41" ht="14.25" x14ac:dyDescent="0.2">
      <c r="A1852" s="2">
        <v>190302</v>
      </c>
      <c r="B1852" s="3" t="s">
        <v>378</v>
      </c>
      <c r="C1852" s="20">
        <f>+C1855+C1856</f>
        <v>104490</v>
      </c>
      <c r="D1852" s="20">
        <f t="shared" ref="D1852:AO1852" si="52">+D1855+D1856</f>
        <v>2071</v>
      </c>
      <c r="E1852" s="20">
        <f t="shared" si="52"/>
        <v>3244</v>
      </c>
      <c r="F1852" s="20">
        <f t="shared" si="52"/>
        <v>5532</v>
      </c>
      <c r="G1852" s="20">
        <f t="shared" si="52"/>
        <v>7929</v>
      </c>
      <c r="H1852" s="20">
        <f t="shared" si="52"/>
        <v>10464</v>
      </c>
      <c r="I1852" s="20">
        <f t="shared" si="52"/>
        <v>12841</v>
      </c>
      <c r="J1852" s="20">
        <f t="shared" si="52"/>
        <v>15313</v>
      </c>
      <c r="K1852" s="20">
        <f t="shared" si="52"/>
        <v>17972</v>
      </c>
      <c r="L1852" s="20">
        <f t="shared" si="52"/>
        <v>19648</v>
      </c>
      <c r="M1852" s="20">
        <f t="shared" si="52"/>
        <v>21324</v>
      </c>
      <c r="N1852" s="20">
        <f t="shared" si="52"/>
        <v>23000</v>
      </c>
      <c r="O1852" s="20">
        <f t="shared" si="52"/>
        <v>23000</v>
      </c>
      <c r="P1852" s="20">
        <f t="shared" si="52"/>
        <v>23000</v>
      </c>
      <c r="Q1852" s="20">
        <f t="shared" si="52"/>
        <v>23000</v>
      </c>
      <c r="R1852" s="20">
        <f t="shared" si="52"/>
        <v>25057</v>
      </c>
      <c r="S1852" s="20">
        <f t="shared" si="52"/>
        <v>27117</v>
      </c>
      <c r="T1852" s="20">
        <f t="shared" si="52"/>
        <v>29176</v>
      </c>
      <c r="U1852" s="20">
        <f t="shared" si="52"/>
        <v>31235</v>
      </c>
      <c r="V1852" s="20">
        <f t="shared" si="52"/>
        <v>33293</v>
      </c>
      <c r="W1852" s="20">
        <f t="shared" si="52"/>
        <v>33293</v>
      </c>
      <c r="X1852" s="20">
        <f t="shared" si="52"/>
        <v>35355</v>
      </c>
      <c r="Y1852" s="20">
        <f t="shared" si="52"/>
        <v>37414</v>
      </c>
      <c r="Z1852" s="20">
        <f t="shared" si="52"/>
        <v>39473</v>
      </c>
      <c r="AA1852" s="20">
        <f t="shared" si="52"/>
        <v>40154</v>
      </c>
      <c r="AB1852" s="20">
        <f t="shared" si="52"/>
        <v>40154</v>
      </c>
      <c r="AC1852" s="20">
        <f t="shared" si="52"/>
        <v>40154</v>
      </c>
      <c r="AD1852" s="20">
        <f t="shared" si="52"/>
        <v>44762</v>
      </c>
      <c r="AE1852" s="20">
        <f t="shared" si="52"/>
        <v>48618</v>
      </c>
      <c r="AF1852" s="20">
        <f t="shared" si="52"/>
        <v>48618</v>
      </c>
      <c r="AG1852" s="20">
        <f t="shared" si="52"/>
        <v>52472</v>
      </c>
      <c r="AH1852" s="20">
        <f t="shared" si="52"/>
        <v>56330</v>
      </c>
      <c r="AI1852" s="20">
        <f t="shared" si="52"/>
        <v>60184</v>
      </c>
      <c r="AJ1852" s="20">
        <f t="shared" si="52"/>
        <v>64041</v>
      </c>
      <c r="AK1852" s="20">
        <f t="shared" si="52"/>
        <v>64041</v>
      </c>
      <c r="AL1852" s="20">
        <f t="shared" si="52"/>
        <v>70818</v>
      </c>
      <c r="AM1852" s="20">
        <f t="shared" si="52"/>
        <v>71689</v>
      </c>
      <c r="AN1852" s="20">
        <f t="shared" si="52"/>
        <v>71689</v>
      </c>
      <c r="AO1852" s="24">
        <f>+AO1855+AO1856</f>
        <v>71689</v>
      </c>
    </row>
    <row r="1853" spans="1:41" ht="28.5" x14ac:dyDescent="0.2">
      <c r="A1853" s="2">
        <v>19030201</v>
      </c>
      <c r="B1853" s="4" t="s">
        <v>379</v>
      </c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26"/>
    </row>
    <row r="1854" spans="1:41" ht="28.5" x14ac:dyDescent="0.2">
      <c r="A1854" s="2">
        <v>19030202</v>
      </c>
      <c r="B1854" s="4" t="s">
        <v>380</v>
      </c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26"/>
    </row>
    <row r="1855" spans="1:41" s="15" customFormat="1" ht="14.25" x14ac:dyDescent="0.2">
      <c r="A1855" s="18" t="s">
        <v>1487</v>
      </c>
      <c r="B1855" s="19" t="s">
        <v>1488</v>
      </c>
      <c r="C1855" s="20">
        <v>89961</v>
      </c>
      <c r="D1855" s="20">
        <v>2071</v>
      </c>
      <c r="E1855" s="20">
        <v>3244</v>
      </c>
      <c r="F1855" s="20">
        <v>3856</v>
      </c>
      <c r="G1855" s="20">
        <v>4575</v>
      </c>
      <c r="H1855" s="20">
        <v>5434</v>
      </c>
      <c r="I1855" s="20">
        <v>6135</v>
      </c>
      <c r="J1855" s="20">
        <v>6931</v>
      </c>
      <c r="K1855" s="20">
        <v>7914</v>
      </c>
      <c r="L1855" s="20">
        <v>7914</v>
      </c>
      <c r="M1855" s="20">
        <v>7914</v>
      </c>
      <c r="N1855" s="20">
        <v>7914</v>
      </c>
      <c r="O1855" s="20">
        <v>7914</v>
      </c>
      <c r="P1855" s="20">
        <v>7914</v>
      </c>
      <c r="Q1855" s="20">
        <v>7914</v>
      </c>
      <c r="R1855" s="20">
        <v>7914</v>
      </c>
      <c r="S1855" s="20">
        <v>7914</v>
      </c>
      <c r="T1855" s="20">
        <v>7914</v>
      </c>
      <c r="U1855" s="20">
        <v>7914</v>
      </c>
      <c r="V1855" s="20">
        <v>7914</v>
      </c>
      <c r="W1855" s="20">
        <v>7914</v>
      </c>
      <c r="X1855" s="20">
        <v>7914</v>
      </c>
      <c r="Y1855" s="20">
        <v>7914</v>
      </c>
      <c r="Z1855" s="20">
        <v>7914</v>
      </c>
      <c r="AA1855" s="20">
        <v>8595</v>
      </c>
      <c r="AB1855" s="20">
        <v>8595</v>
      </c>
      <c r="AC1855" s="20">
        <v>8595</v>
      </c>
      <c r="AD1855" s="20">
        <v>9343</v>
      </c>
      <c r="AE1855" s="20">
        <v>9343</v>
      </c>
      <c r="AF1855" s="20">
        <v>9343</v>
      </c>
      <c r="AG1855" s="20">
        <v>9343</v>
      </c>
      <c r="AH1855" s="20">
        <v>9343</v>
      </c>
      <c r="AI1855" s="20">
        <v>9343</v>
      </c>
      <c r="AJ1855" s="20">
        <v>9343</v>
      </c>
      <c r="AK1855" s="20">
        <v>9343</v>
      </c>
      <c r="AL1855" s="20">
        <v>9343</v>
      </c>
      <c r="AM1855" s="20">
        <v>10214</v>
      </c>
      <c r="AN1855" s="20">
        <v>10214</v>
      </c>
      <c r="AO1855" s="24">
        <v>10214</v>
      </c>
    </row>
    <row r="1856" spans="1:41" s="15" customFormat="1" ht="14.25" x14ac:dyDescent="0.2">
      <c r="A1856" s="18" t="s">
        <v>1489</v>
      </c>
      <c r="B1856" s="19" t="s">
        <v>1490</v>
      </c>
      <c r="C1856" s="20">
        <v>14529</v>
      </c>
      <c r="D1856" s="20">
        <v>0</v>
      </c>
      <c r="E1856" s="20"/>
      <c r="F1856" s="20">
        <v>1676</v>
      </c>
      <c r="G1856" s="20">
        <v>3354</v>
      </c>
      <c r="H1856" s="20">
        <v>5030</v>
      </c>
      <c r="I1856" s="20">
        <v>6706</v>
      </c>
      <c r="J1856" s="20">
        <v>8382</v>
      </c>
      <c r="K1856" s="20">
        <v>10058</v>
      </c>
      <c r="L1856" s="20">
        <v>11734</v>
      </c>
      <c r="M1856" s="20">
        <v>13410</v>
      </c>
      <c r="N1856" s="20">
        <v>15086</v>
      </c>
      <c r="O1856" s="20">
        <v>15086</v>
      </c>
      <c r="P1856" s="20">
        <v>15086</v>
      </c>
      <c r="Q1856" s="20">
        <v>15086</v>
      </c>
      <c r="R1856" s="20">
        <v>17143</v>
      </c>
      <c r="S1856" s="20">
        <v>19203</v>
      </c>
      <c r="T1856" s="20">
        <v>21262</v>
      </c>
      <c r="U1856" s="20">
        <v>23321</v>
      </c>
      <c r="V1856" s="20">
        <v>25379</v>
      </c>
      <c r="W1856" s="20">
        <v>25379</v>
      </c>
      <c r="X1856" s="20">
        <v>27441</v>
      </c>
      <c r="Y1856" s="20">
        <v>29500</v>
      </c>
      <c r="Z1856" s="20">
        <v>31559</v>
      </c>
      <c r="AA1856" s="20">
        <v>31559</v>
      </c>
      <c r="AB1856" s="20">
        <v>31559</v>
      </c>
      <c r="AC1856" s="20">
        <v>31559</v>
      </c>
      <c r="AD1856" s="20">
        <v>35419</v>
      </c>
      <c r="AE1856" s="20">
        <v>39275</v>
      </c>
      <c r="AF1856" s="20">
        <v>39275</v>
      </c>
      <c r="AG1856" s="20">
        <v>43129</v>
      </c>
      <c r="AH1856" s="20">
        <v>46987</v>
      </c>
      <c r="AI1856" s="20">
        <v>50841</v>
      </c>
      <c r="AJ1856" s="20">
        <v>54698</v>
      </c>
      <c r="AK1856" s="20">
        <v>54698</v>
      </c>
      <c r="AL1856" s="20">
        <v>61475</v>
      </c>
      <c r="AM1856" s="20">
        <v>61475</v>
      </c>
      <c r="AN1856" s="20">
        <v>61475</v>
      </c>
      <c r="AO1856" s="24">
        <v>61475</v>
      </c>
    </row>
    <row r="1857" spans="1:41" ht="14.25" x14ac:dyDescent="0.2">
      <c r="A1857" s="2">
        <v>1904</v>
      </c>
      <c r="B1857" s="3" t="s">
        <v>381</v>
      </c>
      <c r="C1857" s="24">
        <f t="shared" ref="C1857:AN1857" si="53">+C1858+C1863</f>
        <v>41267.519999999997</v>
      </c>
      <c r="D1857" s="24">
        <f t="shared" si="53"/>
        <v>41267.519999999997</v>
      </c>
      <c r="E1857" s="24">
        <f t="shared" si="53"/>
        <v>41267.519999999997</v>
      </c>
      <c r="F1857" s="24">
        <f t="shared" si="53"/>
        <v>41267.519999999997</v>
      </c>
      <c r="G1857" s="24">
        <f t="shared" si="53"/>
        <v>41267.519999999997</v>
      </c>
      <c r="H1857" s="24">
        <f t="shared" si="53"/>
        <v>41267.519999999997</v>
      </c>
      <c r="I1857" s="24">
        <f t="shared" si="53"/>
        <v>41267.519999999997</v>
      </c>
      <c r="J1857" s="24">
        <f t="shared" si="53"/>
        <v>41267.519999999997</v>
      </c>
      <c r="K1857" s="24">
        <f t="shared" si="53"/>
        <v>41267.519999999997</v>
      </c>
      <c r="L1857" s="24">
        <f t="shared" si="53"/>
        <v>41267.519999999997</v>
      </c>
      <c r="M1857" s="24">
        <f t="shared" si="53"/>
        <v>41267.519999999997</v>
      </c>
      <c r="N1857" s="24">
        <f t="shared" si="53"/>
        <v>41267.519999999997</v>
      </c>
      <c r="O1857" s="24">
        <f t="shared" si="53"/>
        <v>34183.259999999995</v>
      </c>
      <c r="P1857" s="24">
        <f t="shared" si="53"/>
        <v>33827.899999999994</v>
      </c>
      <c r="Q1857" s="24">
        <f t="shared" si="53"/>
        <v>33472.539999999994</v>
      </c>
      <c r="R1857" s="24">
        <f t="shared" si="53"/>
        <v>33151.57</v>
      </c>
      <c r="S1857" s="24">
        <f t="shared" si="53"/>
        <v>32796.22</v>
      </c>
      <c r="T1857" s="24">
        <f t="shared" si="53"/>
        <v>32452.319999999996</v>
      </c>
      <c r="U1857" s="24">
        <f t="shared" si="53"/>
        <v>32096.969999999998</v>
      </c>
      <c r="V1857" s="24">
        <f t="shared" si="53"/>
        <v>31741.619999999995</v>
      </c>
      <c r="W1857" s="24">
        <f t="shared" si="53"/>
        <v>31397.719999999998</v>
      </c>
      <c r="X1857" s="24">
        <f t="shared" si="53"/>
        <v>31397.719999999998</v>
      </c>
      <c r="Y1857" s="24">
        <f t="shared" si="53"/>
        <v>31397.719999999998</v>
      </c>
      <c r="Z1857" s="24">
        <f t="shared" si="53"/>
        <v>30343.089999999997</v>
      </c>
      <c r="AA1857" s="24">
        <f t="shared" si="53"/>
        <v>30343.089999999997</v>
      </c>
      <c r="AB1857" s="24">
        <f t="shared" si="53"/>
        <v>30343.089999999997</v>
      </c>
      <c r="AC1857" s="24">
        <f t="shared" si="53"/>
        <v>29277.009999999995</v>
      </c>
      <c r="AD1857" s="24">
        <f t="shared" si="53"/>
        <v>29277.009999999995</v>
      </c>
      <c r="AE1857" s="24">
        <f t="shared" si="53"/>
        <v>29277.009999999995</v>
      </c>
      <c r="AF1857" s="24">
        <f t="shared" si="53"/>
        <v>28268.249999999996</v>
      </c>
      <c r="AG1857" s="24">
        <f t="shared" si="53"/>
        <v>27912.89</v>
      </c>
      <c r="AH1857" s="24">
        <f t="shared" si="53"/>
        <v>27557.53</v>
      </c>
      <c r="AI1857" s="24">
        <f t="shared" si="53"/>
        <v>27213.64</v>
      </c>
      <c r="AJ1857" s="24">
        <f t="shared" si="53"/>
        <v>26858.28</v>
      </c>
      <c r="AK1857" s="24">
        <f t="shared" si="53"/>
        <v>26514.379999999997</v>
      </c>
      <c r="AL1857" s="24">
        <f t="shared" si="53"/>
        <v>26159.019999999997</v>
      </c>
      <c r="AM1857" s="24">
        <f t="shared" si="53"/>
        <v>25803.659999999996</v>
      </c>
      <c r="AN1857" s="24">
        <f t="shared" si="53"/>
        <v>25482.689999999995</v>
      </c>
      <c r="AO1857" s="24">
        <f>+AO1858+AO1863</f>
        <v>25127.329999999994</v>
      </c>
    </row>
    <row r="1858" spans="1:41" ht="14.25" x14ac:dyDescent="0.2">
      <c r="A1858" s="2">
        <v>190403</v>
      </c>
      <c r="B1858" s="3" t="s">
        <v>382</v>
      </c>
      <c r="C1858" s="20">
        <f>+C1859</f>
        <v>41267.519999999997</v>
      </c>
      <c r="D1858" s="20">
        <f t="shared" ref="D1858:AO1858" si="54">+D1859</f>
        <v>41267.519999999997</v>
      </c>
      <c r="E1858" s="20">
        <f t="shared" si="54"/>
        <v>41267.519999999997</v>
      </c>
      <c r="F1858" s="20">
        <f t="shared" si="54"/>
        <v>41267.519999999997</v>
      </c>
      <c r="G1858" s="20">
        <f t="shared" si="54"/>
        <v>41267.519999999997</v>
      </c>
      <c r="H1858" s="20">
        <f t="shared" si="54"/>
        <v>41267.519999999997</v>
      </c>
      <c r="I1858" s="20">
        <f t="shared" si="54"/>
        <v>41267.519999999997</v>
      </c>
      <c r="J1858" s="20">
        <f t="shared" si="54"/>
        <v>41267.519999999997</v>
      </c>
      <c r="K1858" s="20">
        <f t="shared" si="54"/>
        <v>41267.519999999997</v>
      </c>
      <c r="L1858" s="20">
        <f t="shared" si="54"/>
        <v>41267.519999999997</v>
      </c>
      <c r="M1858" s="20">
        <f t="shared" si="54"/>
        <v>41267.519999999997</v>
      </c>
      <c r="N1858" s="20">
        <f t="shared" si="54"/>
        <v>41267.519999999997</v>
      </c>
      <c r="O1858" s="20">
        <f t="shared" si="54"/>
        <v>41267.519999999997</v>
      </c>
      <c r="P1858" s="20">
        <f t="shared" si="54"/>
        <v>41267.519999999997</v>
      </c>
      <c r="Q1858" s="20">
        <f t="shared" si="54"/>
        <v>41267.519999999997</v>
      </c>
      <c r="R1858" s="20">
        <f t="shared" si="54"/>
        <v>41267.519999999997</v>
      </c>
      <c r="S1858" s="20">
        <f t="shared" si="54"/>
        <v>41267.519999999997</v>
      </c>
      <c r="T1858" s="20">
        <f t="shared" si="54"/>
        <v>41267.519999999997</v>
      </c>
      <c r="U1858" s="20">
        <f t="shared" si="54"/>
        <v>41267.519999999997</v>
      </c>
      <c r="V1858" s="20">
        <f t="shared" si="54"/>
        <v>41267.519999999997</v>
      </c>
      <c r="W1858" s="20">
        <f t="shared" si="54"/>
        <v>41267.519999999997</v>
      </c>
      <c r="X1858" s="20">
        <f t="shared" si="54"/>
        <v>41267.519999999997</v>
      </c>
      <c r="Y1858" s="20">
        <f t="shared" si="54"/>
        <v>41267.519999999997</v>
      </c>
      <c r="Z1858" s="20">
        <f t="shared" si="54"/>
        <v>41267.519999999997</v>
      </c>
      <c r="AA1858" s="20">
        <f t="shared" si="54"/>
        <v>41267.519999999997</v>
      </c>
      <c r="AB1858" s="20">
        <f t="shared" si="54"/>
        <v>41267.519999999997</v>
      </c>
      <c r="AC1858" s="20">
        <f t="shared" si="54"/>
        <v>41267.519999999997</v>
      </c>
      <c r="AD1858" s="20">
        <f t="shared" si="54"/>
        <v>41267.519999999997</v>
      </c>
      <c r="AE1858" s="20">
        <f t="shared" si="54"/>
        <v>41267.519999999997</v>
      </c>
      <c r="AF1858" s="20">
        <f t="shared" si="54"/>
        <v>41267.519999999997</v>
      </c>
      <c r="AG1858" s="20">
        <f t="shared" si="54"/>
        <v>41267.519999999997</v>
      </c>
      <c r="AH1858" s="20">
        <f t="shared" si="54"/>
        <v>41267.519999999997</v>
      </c>
      <c r="AI1858" s="20">
        <f t="shared" si="54"/>
        <v>41267.519999999997</v>
      </c>
      <c r="AJ1858" s="20">
        <f t="shared" si="54"/>
        <v>41267.519999999997</v>
      </c>
      <c r="AK1858" s="20">
        <f t="shared" si="54"/>
        <v>41267.519999999997</v>
      </c>
      <c r="AL1858" s="20">
        <f t="shared" si="54"/>
        <v>41267.519999999997</v>
      </c>
      <c r="AM1858" s="20">
        <f t="shared" si="54"/>
        <v>41267.519999999997</v>
      </c>
      <c r="AN1858" s="20">
        <f t="shared" si="54"/>
        <v>41267.519999999997</v>
      </c>
      <c r="AO1858" s="24">
        <f>+AO1859</f>
        <v>41267.519999999997</v>
      </c>
    </row>
    <row r="1859" spans="1:41" s="15" customFormat="1" ht="14.25" x14ac:dyDescent="0.2">
      <c r="A1859" s="18" t="s">
        <v>1491</v>
      </c>
      <c r="B1859" s="19" t="s">
        <v>1492</v>
      </c>
      <c r="C1859" s="20">
        <v>41267.519999999997</v>
      </c>
      <c r="D1859" s="20">
        <v>41267.519999999997</v>
      </c>
      <c r="E1859" s="20">
        <v>41267.519999999997</v>
      </c>
      <c r="F1859" s="20">
        <v>41267.519999999997</v>
      </c>
      <c r="G1859" s="20">
        <v>41267.519999999997</v>
      </c>
      <c r="H1859" s="20">
        <v>41267.519999999997</v>
      </c>
      <c r="I1859" s="20">
        <v>41267.519999999997</v>
      </c>
      <c r="J1859" s="20">
        <v>41267.519999999997</v>
      </c>
      <c r="K1859" s="20">
        <v>41267.519999999997</v>
      </c>
      <c r="L1859" s="20">
        <v>41267.519999999997</v>
      </c>
      <c r="M1859" s="20">
        <v>41267.519999999997</v>
      </c>
      <c r="N1859" s="20">
        <v>41267.519999999997</v>
      </c>
      <c r="O1859" s="20">
        <v>41267.519999999997</v>
      </c>
      <c r="P1859" s="20">
        <v>41267.519999999997</v>
      </c>
      <c r="Q1859" s="20">
        <v>41267.519999999997</v>
      </c>
      <c r="R1859" s="20">
        <v>41267.519999999997</v>
      </c>
      <c r="S1859" s="20">
        <v>41267.519999999997</v>
      </c>
      <c r="T1859" s="20">
        <v>41267.519999999997</v>
      </c>
      <c r="U1859" s="20">
        <v>41267.519999999997</v>
      </c>
      <c r="V1859" s="20">
        <v>41267.519999999997</v>
      </c>
      <c r="W1859" s="20">
        <v>41267.519999999997</v>
      </c>
      <c r="X1859" s="20">
        <v>41267.519999999997</v>
      </c>
      <c r="Y1859" s="20">
        <v>41267.519999999997</v>
      </c>
      <c r="Z1859" s="20">
        <v>41267.519999999997</v>
      </c>
      <c r="AA1859" s="20">
        <v>41267.519999999997</v>
      </c>
      <c r="AB1859" s="20">
        <v>41267.519999999997</v>
      </c>
      <c r="AC1859" s="20">
        <v>41267.519999999997</v>
      </c>
      <c r="AD1859" s="20">
        <v>41267.519999999997</v>
      </c>
      <c r="AE1859" s="20">
        <v>41267.519999999997</v>
      </c>
      <c r="AF1859" s="20">
        <v>41267.519999999997</v>
      </c>
      <c r="AG1859" s="20">
        <v>41267.519999999997</v>
      </c>
      <c r="AH1859" s="20">
        <v>41267.519999999997</v>
      </c>
      <c r="AI1859" s="20">
        <v>41267.519999999997</v>
      </c>
      <c r="AJ1859" s="20">
        <v>41267.519999999997</v>
      </c>
      <c r="AK1859" s="20">
        <v>41267.519999999997</v>
      </c>
      <c r="AL1859" s="20">
        <v>41267.519999999997</v>
      </c>
      <c r="AM1859" s="20">
        <v>41267.519999999997</v>
      </c>
      <c r="AN1859" s="20">
        <v>41267.519999999997</v>
      </c>
      <c r="AO1859" s="24">
        <v>41267.519999999997</v>
      </c>
    </row>
    <row r="1860" spans="1:41" ht="14.25" x14ac:dyDescent="0.2">
      <c r="A1860" s="2">
        <v>190407</v>
      </c>
      <c r="B1860" s="3" t="s">
        <v>383</v>
      </c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9"/>
      <c r="AN1860" s="9"/>
      <c r="AO1860" s="25"/>
    </row>
    <row r="1861" spans="1:41" ht="14.25" x14ac:dyDescent="0.2">
      <c r="A1861" s="2">
        <v>190408</v>
      </c>
      <c r="B1861" s="3" t="s">
        <v>384</v>
      </c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  <c r="AK1861" s="9"/>
      <c r="AL1861" s="9"/>
      <c r="AM1861" s="9"/>
      <c r="AN1861" s="9"/>
      <c r="AO1861" s="25"/>
    </row>
    <row r="1862" spans="1:41" ht="14.25" x14ac:dyDescent="0.2">
      <c r="A1862" s="2">
        <v>190409</v>
      </c>
      <c r="B1862" s="3" t="s">
        <v>385</v>
      </c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9"/>
      <c r="AL1862" s="9"/>
      <c r="AM1862" s="9"/>
      <c r="AN1862" s="9"/>
      <c r="AO1862" s="25"/>
    </row>
    <row r="1863" spans="1:41" s="15" customFormat="1" ht="14.25" x14ac:dyDescent="0.2">
      <c r="A1863" s="18" t="s">
        <v>1493</v>
      </c>
      <c r="B1863" s="19" t="s">
        <v>1494</v>
      </c>
      <c r="C1863" s="20"/>
      <c r="D1863" s="20"/>
      <c r="E1863" s="20"/>
      <c r="F1863" s="20"/>
      <c r="G1863" s="20"/>
      <c r="H1863" s="20"/>
      <c r="I1863" s="20"/>
      <c r="J1863" s="20"/>
      <c r="K1863" s="20"/>
      <c r="L1863" s="20"/>
      <c r="M1863" s="20"/>
      <c r="N1863" s="20"/>
      <c r="O1863" s="20">
        <v>-7084.26</v>
      </c>
      <c r="P1863" s="20">
        <v>-7439.62</v>
      </c>
      <c r="Q1863" s="20">
        <v>-7794.98</v>
      </c>
      <c r="R1863" s="20">
        <v>-8115.95</v>
      </c>
      <c r="S1863" s="20">
        <v>-8471.2999999999993</v>
      </c>
      <c r="T1863" s="20">
        <v>-8815.2000000000007</v>
      </c>
      <c r="U1863" s="20">
        <v>-9170.5499999999993</v>
      </c>
      <c r="V1863" s="20">
        <v>-9525.9</v>
      </c>
      <c r="W1863" s="20">
        <v>-9869.7999999999993</v>
      </c>
      <c r="X1863" s="20">
        <v>-9869.7999999999993</v>
      </c>
      <c r="Y1863" s="20">
        <v>-9869.7999999999993</v>
      </c>
      <c r="Z1863" s="20">
        <v>-10924.43</v>
      </c>
      <c r="AA1863" s="20">
        <v>-10924.43</v>
      </c>
      <c r="AB1863" s="20">
        <v>-10924.43</v>
      </c>
      <c r="AC1863" s="20">
        <v>-11990.51</v>
      </c>
      <c r="AD1863" s="20">
        <v>-11990.51</v>
      </c>
      <c r="AE1863" s="20">
        <v>-11990.51</v>
      </c>
      <c r="AF1863" s="20">
        <v>-12999.27</v>
      </c>
      <c r="AG1863" s="20">
        <v>-13354.63</v>
      </c>
      <c r="AH1863" s="20">
        <v>-13709.99</v>
      </c>
      <c r="AI1863" s="20">
        <v>-14053.88</v>
      </c>
      <c r="AJ1863" s="20">
        <v>-14409.24</v>
      </c>
      <c r="AK1863" s="20">
        <v>-14753.14</v>
      </c>
      <c r="AL1863" s="20">
        <v>-15108.5</v>
      </c>
      <c r="AM1863" s="20">
        <v>-15463.86</v>
      </c>
      <c r="AN1863" s="20">
        <v>-15784.83</v>
      </c>
      <c r="AO1863" s="24">
        <v>-16140.19</v>
      </c>
    </row>
    <row r="1864" spans="1:41" ht="14.25" x14ac:dyDescent="0.2">
      <c r="A1864" s="2">
        <v>19040907</v>
      </c>
      <c r="B1864" s="3" t="s">
        <v>386</v>
      </c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9"/>
      <c r="AI1864" s="9"/>
      <c r="AJ1864" s="9"/>
      <c r="AK1864" s="9"/>
      <c r="AL1864" s="9"/>
      <c r="AM1864" s="9"/>
      <c r="AN1864" s="9"/>
      <c r="AO1864" s="25"/>
    </row>
    <row r="1865" spans="1:41" ht="14.25" x14ac:dyDescent="0.2">
      <c r="A1865" s="2">
        <v>19040908</v>
      </c>
      <c r="B1865" s="3" t="s">
        <v>387</v>
      </c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9"/>
      <c r="AI1865" s="9"/>
      <c r="AJ1865" s="9"/>
      <c r="AK1865" s="9"/>
      <c r="AL1865" s="9"/>
      <c r="AM1865" s="9"/>
      <c r="AN1865" s="9"/>
      <c r="AO1865" s="25"/>
    </row>
    <row r="1866" spans="1:41" ht="14.25" x14ac:dyDescent="0.2">
      <c r="A1866" s="2">
        <v>1906</v>
      </c>
      <c r="B1866" s="3" t="s">
        <v>388</v>
      </c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  <c r="AK1866" s="9"/>
      <c r="AL1866" s="9"/>
      <c r="AM1866" s="9"/>
      <c r="AN1866" s="9"/>
      <c r="AO1866" s="25"/>
    </row>
    <row r="1867" spans="1:41" ht="14.25" x14ac:dyDescent="0.2">
      <c r="A1867" s="2">
        <v>190601</v>
      </c>
      <c r="B1867" s="3" t="s">
        <v>389</v>
      </c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9"/>
      <c r="AH1867" s="9"/>
      <c r="AI1867" s="9"/>
      <c r="AJ1867" s="9"/>
      <c r="AK1867" s="9"/>
      <c r="AL1867" s="9"/>
      <c r="AM1867" s="9"/>
      <c r="AN1867" s="9"/>
      <c r="AO1867" s="25"/>
    </row>
    <row r="1868" spans="1:41" ht="14.25" x14ac:dyDescent="0.2">
      <c r="A1868" s="2">
        <v>190602</v>
      </c>
      <c r="B1868" s="3" t="s">
        <v>390</v>
      </c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  <c r="AF1868" s="9"/>
      <c r="AG1868" s="9"/>
      <c r="AH1868" s="9"/>
      <c r="AI1868" s="9"/>
      <c r="AJ1868" s="9"/>
      <c r="AK1868" s="9"/>
      <c r="AL1868" s="9"/>
      <c r="AM1868" s="9"/>
      <c r="AN1868" s="9"/>
      <c r="AO1868" s="25"/>
    </row>
    <row r="1869" spans="1:41" ht="14.25" x14ac:dyDescent="0.2">
      <c r="A1869" s="2">
        <v>190609</v>
      </c>
      <c r="B1869" s="3" t="s">
        <v>59</v>
      </c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  <c r="AK1869" s="9"/>
      <c r="AL1869" s="9"/>
      <c r="AM1869" s="9"/>
      <c r="AN1869" s="9"/>
      <c r="AO1869" s="25"/>
    </row>
    <row r="1870" spans="1:41" ht="14.25" x14ac:dyDescent="0.2">
      <c r="A1870" s="2">
        <v>1907</v>
      </c>
      <c r="B1870" s="3" t="s">
        <v>391</v>
      </c>
      <c r="C1870" s="20">
        <f>+C1876</f>
        <v>2579231.38</v>
      </c>
      <c r="D1870" s="20">
        <f t="shared" ref="D1870:AO1870" si="55">+D1876</f>
        <v>20296.599999999999</v>
      </c>
      <c r="E1870" s="20">
        <f t="shared" si="55"/>
        <v>26218.21</v>
      </c>
      <c r="F1870" s="20">
        <f t="shared" si="55"/>
        <v>32438.55</v>
      </c>
      <c r="G1870" s="20">
        <f t="shared" si="55"/>
        <v>33837.550000000003</v>
      </c>
      <c r="H1870" s="20">
        <f t="shared" si="55"/>
        <v>38462.57</v>
      </c>
      <c r="I1870" s="20">
        <f t="shared" si="55"/>
        <v>44547.32</v>
      </c>
      <c r="J1870" s="20">
        <f t="shared" si="55"/>
        <v>52767.66</v>
      </c>
      <c r="K1870" s="20">
        <f t="shared" si="55"/>
        <v>3966.12</v>
      </c>
      <c r="L1870" s="20">
        <f t="shared" si="55"/>
        <v>4627.1399999999994</v>
      </c>
      <c r="M1870" s="20">
        <f t="shared" si="55"/>
        <v>4627.1399999999994</v>
      </c>
      <c r="N1870" s="20">
        <f t="shared" si="55"/>
        <v>4627.1399999999994</v>
      </c>
      <c r="O1870" s="20">
        <f t="shared" si="55"/>
        <v>22307.14</v>
      </c>
      <c r="P1870" s="20">
        <f t="shared" si="55"/>
        <v>25654.6</v>
      </c>
      <c r="Q1870" s="20">
        <f t="shared" si="55"/>
        <v>25654.6</v>
      </c>
      <c r="R1870" s="20">
        <f t="shared" si="55"/>
        <v>51421.55</v>
      </c>
      <c r="S1870" s="20">
        <f t="shared" si="55"/>
        <v>51421.55</v>
      </c>
      <c r="T1870" s="20">
        <f t="shared" si="55"/>
        <v>83067.38</v>
      </c>
      <c r="U1870" s="20">
        <f t="shared" si="55"/>
        <v>149595.66999999998</v>
      </c>
      <c r="V1870" s="20">
        <f t="shared" si="55"/>
        <v>160730.66999999998</v>
      </c>
      <c r="W1870" s="20">
        <f t="shared" si="55"/>
        <v>160812.9</v>
      </c>
      <c r="X1870" s="20">
        <f t="shared" si="55"/>
        <v>225420.22</v>
      </c>
      <c r="Y1870" s="20">
        <f t="shared" si="55"/>
        <v>274042.33999999997</v>
      </c>
      <c r="Z1870" s="20">
        <f t="shared" si="55"/>
        <v>202112.19</v>
      </c>
      <c r="AA1870" s="20">
        <f t="shared" si="55"/>
        <v>239896</v>
      </c>
      <c r="AB1870" s="20">
        <f t="shared" si="55"/>
        <v>300128.55</v>
      </c>
      <c r="AC1870" s="20">
        <f t="shared" si="55"/>
        <v>305560.75</v>
      </c>
      <c r="AD1870" s="20">
        <f t="shared" si="55"/>
        <v>305560.75</v>
      </c>
      <c r="AE1870" s="20">
        <f t="shared" si="55"/>
        <v>305560.75</v>
      </c>
      <c r="AF1870" s="20">
        <f t="shared" si="55"/>
        <v>305560.75</v>
      </c>
      <c r="AG1870" s="20">
        <f t="shared" si="55"/>
        <v>305560.75</v>
      </c>
      <c r="AH1870" s="20">
        <f t="shared" si="55"/>
        <v>305560.75</v>
      </c>
      <c r="AI1870" s="20">
        <f t="shared" si="55"/>
        <v>150645.57</v>
      </c>
      <c r="AJ1870" s="20">
        <f t="shared" si="55"/>
        <v>150645.57</v>
      </c>
      <c r="AK1870" s="20">
        <f t="shared" si="55"/>
        <v>150645.57</v>
      </c>
      <c r="AL1870" s="20">
        <f t="shared" si="55"/>
        <v>106703.56</v>
      </c>
      <c r="AM1870" s="20">
        <f t="shared" si="55"/>
        <v>106703.56</v>
      </c>
      <c r="AN1870" s="20">
        <f t="shared" si="55"/>
        <v>106703.56</v>
      </c>
      <c r="AO1870" s="24">
        <f>+AO1876</f>
        <v>98491.88</v>
      </c>
    </row>
    <row r="1871" spans="1:41" ht="14.25" x14ac:dyDescent="0.2">
      <c r="A1871" s="2">
        <v>190701</v>
      </c>
      <c r="B1871" s="3" t="s">
        <v>392</v>
      </c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  <c r="AH1871" s="9"/>
      <c r="AI1871" s="9"/>
      <c r="AJ1871" s="9"/>
      <c r="AK1871" s="9"/>
      <c r="AL1871" s="9"/>
      <c r="AM1871" s="9"/>
      <c r="AN1871" s="9"/>
      <c r="AO1871" s="25"/>
    </row>
    <row r="1872" spans="1:41" ht="14.25" x14ac:dyDescent="0.2">
      <c r="A1872" s="2">
        <v>190702</v>
      </c>
      <c r="B1872" s="3" t="s">
        <v>393</v>
      </c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9"/>
      <c r="AF1872" s="9"/>
      <c r="AG1872" s="9"/>
      <c r="AH1872" s="9"/>
      <c r="AI1872" s="9"/>
      <c r="AJ1872" s="9"/>
      <c r="AK1872" s="9"/>
      <c r="AL1872" s="9"/>
      <c r="AM1872" s="9"/>
      <c r="AN1872" s="9"/>
      <c r="AO1872" s="25"/>
    </row>
    <row r="1873" spans="1:41" ht="14.25" x14ac:dyDescent="0.2">
      <c r="A1873" s="2">
        <v>190703</v>
      </c>
      <c r="B1873" s="3" t="s">
        <v>394</v>
      </c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  <c r="AF1873" s="9"/>
      <c r="AG1873" s="9"/>
      <c r="AH1873" s="9"/>
      <c r="AI1873" s="9"/>
      <c r="AJ1873" s="9"/>
      <c r="AK1873" s="9"/>
      <c r="AL1873" s="9"/>
      <c r="AM1873" s="9"/>
      <c r="AN1873" s="9"/>
      <c r="AO1873" s="25"/>
    </row>
    <row r="1874" spans="1:41" ht="14.25" x14ac:dyDescent="0.2">
      <c r="A1874" s="2">
        <v>190704</v>
      </c>
      <c r="B1874" s="3" t="s">
        <v>395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  <c r="AK1874" s="9"/>
      <c r="AL1874" s="9"/>
      <c r="AM1874" s="9"/>
      <c r="AN1874" s="9"/>
      <c r="AO1874" s="25"/>
    </row>
    <row r="1875" spans="1:41" ht="14.25" x14ac:dyDescent="0.2">
      <c r="A1875" s="2">
        <v>190706</v>
      </c>
      <c r="B1875" s="3" t="s">
        <v>396</v>
      </c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9"/>
      <c r="AI1875" s="9"/>
      <c r="AJ1875" s="9"/>
      <c r="AK1875" s="9"/>
      <c r="AL1875" s="9"/>
      <c r="AM1875" s="9"/>
      <c r="AN1875" s="9"/>
      <c r="AO1875" s="25"/>
    </row>
    <row r="1876" spans="1:41" ht="14.25" x14ac:dyDescent="0.2">
      <c r="A1876" s="2">
        <v>190709</v>
      </c>
      <c r="B1876" s="3" t="s">
        <v>59</v>
      </c>
      <c r="C1876" s="20">
        <f>SUM(C1877:C1884)</f>
        <v>2579231.38</v>
      </c>
      <c r="D1876" s="20">
        <f t="shared" ref="D1876:AO1876" si="56">SUM(D1877:D1884)</f>
        <v>20296.599999999999</v>
      </c>
      <c r="E1876" s="20">
        <f t="shared" si="56"/>
        <v>26218.21</v>
      </c>
      <c r="F1876" s="20">
        <f t="shared" si="56"/>
        <v>32438.55</v>
      </c>
      <c r="G1876" s="20">
        <f t="shared" si="56"/>
        <v>33837.550000000003</v>
      </c>
      <c r="H1876" s="20">
        <f t="shared" si="56"/>
        <v>38462.57</v>
      </c>
      <c r="I1876" s="20">
        <f t="shared" si="56"/>
        <v>44547.32</v>
      </c>
      <c r="J1876" s="20">
        <f t="shared" si="56"/>
        <v>52767.66</v>
      </c>
      <c r="K1876" s="20">
        <f t="shared" si="56"/>
        <v>3966.12</v>
      </c>
      <c r="L1876" s="20">
        <f t="shared" si="56"/>
        <v>4627.1399999999994</v>
      </c>
      <c r="M1876" s="20">
        <f t="shared" si="56"/>
        <v>4627.1399999999994</v>
      </c>
      <c r="N1876" s="20">
        <f t="shared" si="56"/>
        <v>4627.1399999999994</v>
      </c>
      <c r="O1876" s="20">
        <f t="shared" si="56"/>
        <v>22307.14</v>
      </c>
      <c r="P1876" s="20">
        <f t="shared" si="56"/>
        <v>25654.6</v>
      </c>
      <c r="Q1876" s="20">
        <f t="shared" si="56"/>
        <v>25654.6</v>
      </c>
      <c r="R1876" s="20">
        <f t="shared" si="56"/>
        <v>51421.55</v>
      </c>
      <c r="S1876" s="20">
        <f t="shared" si="56"/>
        <v>51421.55</v>
      </c>
      <c r="T1876" s="20">
        <f t="shared" si="56"/>
        <v>83067.38</v>
      </c>
      <c r="U1876" s="20">
        <f t="shared" si="56"/>
        <v>149595.66999999998</v>
      </c>
      <c r="V1876" s="20">
        <f t="shared" si="56"/>
        <v>160730.66999999998</v>
      </c>
      <c r="W1876" s="20">
        <f t="shared" si="56"/>
        <v>160812.9</v>
      </c>
      <c r="X1876" s="20">
        <f t="shared" si="56"/>
        <v>225420.22</v>
      </c>
      <c r="Y1876" s="20">
        <f t="shared" si="56"/>
        <v>274042.33999999997</v>
      </c>
      <c r="Z1876" s="20">
        <f t="shared" si="56"/>
        <v>202112.19</v>
      </c>
      <c r="AA1876" s="20">
        <f t="shared" si="56"/>
        <v>239896</v>
      </c>
      <c r="AB1876" s="20">
        <f t="shared" si="56"/>
        <v>300128.55</v>
      </c>
      <c r="AC1876" s="20">
        <f t="shared" si="56"/>
        <v>305560.75</v>
      </c>
      <c r="AD1876" s="20">
        <f t="shared" si="56"/>
        <v>305560.75</v>
      </c>
      <c r="AE1876" s="20">
        <f t="shared" si="56"/>
        <v>305560.75</v>
      </c>
      <c r="AF1876" s="20">
        <f t="shared" si="56"/>
        <v>305560.75</v>
      </c>
      <c r="AG1876" s="20">
        <f t="shared" si="56"/>
        <v>305560.75</v>
      </c>
      <c r="AH1876" s="20">
        <f t="shared" si="56"/>
        <v>305560.75</v>
      </c>
      <c r="AI1876" s="20">
        <f t="shared" si="56"/>
        <v>150645.57</v>
      </c>
      <c r="AJ1876" s="20">
        <f t="shared" si="56"/>
        <v>150645.57</v>
      </c>
      <c r="AK1876" s="20">
        <f t="shared" si="56"/>
        <v>150645.57</v>
      </c>
      <c r="AL1876" s="20">
        <f t="shared" si="56"/>
        <v>106703.56</v>
      </c>
      <c r="AM1876" s="20">
        <f t="shared" si="56"/>
        <v>106703.56</v>
      </c>
      <c r="AN1876" s="20">
        <f t="shared" si="56"/>
        <v>106703.56</v>
      </c>
      <c r="AO1876" s="24">
        <f>SUM(AO1877:AO1884)</f>
        <v>98491.88</v>
      </c>
    </row>
    <row r="1877" spans="1:41" s="15" customFormat="1" ht="14.25" x14ac:dyDescent="0.2">
      <c r="A1877" s="18" t="s">
        <v>1495</v>
      </c>
      <c r="B1877" s="19" t="s">
        <v>1482</v>
      </c>
      <c r="C1877" s="20">
        <v>112149.14</v>
      </c>
      <c r="D1877" s="20">
        <v>0</v>
      </c>
      <c r="E1877" s="20"/>
      <c r="F1877" s="20"/>
      <c r="G1877" s="20"/>
      <c r="H1877" s="20"/>
      <c r="I1877" s="20"/>
      <c r="J1877" s="20"/>
      <c r="K1877" s="20"/>
      <c r="L1877" s="20"/>
      <c r="M1877" s="20"/>
      <c r="N1877" s="20"/>
      <c r="O1877" s="20"/>
      <c r="P1877" s="20"/>
      <c r="Q1877" s="20"/>
      <c r="R1877" s="20"/>
      <c r="S1877" s="20"/>
      <c r="T1877" s="20"/>
      <c r="U1877" s="20">
        <v>17268.97</v>
      </c>
      <c r="V1877" s="20">
        <v>21703.97</v>
      </c>
      <c r="W1877" s="20">
        <v>21703.97</v>
      </c>
      <c r="X1877" s="20">
        <v>30022.97</v>
      </c>
      <c r="Y1877" s="20">
        <v>44430.01</v>
      </c>
      <c r="Z1877" s="20">
        <v>44430.01</v>
      </c>
      <c r="AA1877" s="20">
        <v>82213.820000000007</v>
      </c>
      <c r="AB1877" s="20">
        <v>96543.82</v>
      </c>
      <c r="AC1877" s="20">
        <v>96543.82</v>
      </c>
      <c r="AD1877" s="20">
        <v>96543.82</v>
      </c>
      <c r="AE1877" s="20">
        <v>96543.82</v>
      </c>
      <c r="AF1877" s="20">
        <v>96543.82</v>
      </c>
      <c r="AG1877" s="20">
        <v>96543.82</v>
      </c>
      <c r="AH1877" s="20">
        <v>96543.82</v>
      </c>
      <c r="AI1877" s="20">
        <v>31314.11</v>
      </c>
      <c r="AJ1877" s="20">
        <v>31314.11</v>
      </c>
      <c r="AK1877" s="20">
        <v>31314.11</v>
      </c>
      <c r="AL1877" s="20">
        <v>29773.52</v>
      </c>
      <c r="AM1877" s="20">
        <v>29773.52</v>
      </c>
      <c r="AN1877" s="20">
        <v>29773.52</v>
      </c>
      <c r="AO1877" s="24">
        <v>29773.52</v>
      </c>
    </row>
    <row r="1878" spans="1:41" s="15" customFormat="1" ht="14.25" x14ac:dyDescent="0.2">
      <c r="A1878" s="18" t="s">
        <v>1496</v>
      </c>
      <c r="B1878" s="19" t="s">
        <v>1497</v>
      </c>
      <c r="C1878" s="20">
        <v>60297</v>
      </c>
      <c r="D1878" s="20">
        <v>0</v>
      </c>
      <c r="E1878" s="20"/>
      <c r="F1878" s="20"/>
      <c r="G1878" s="20"/>
      <c r="H1878" s="20"/>
      <c r="I1878" s="20"/>
      <c r="J1878" s="20"/>
      <c r="K1878" s="20"/>
      <c r="L1878" s="20"/>
      <c r="M1878" s="20"/>
      <c r="N1878" s="20"/>
      <c r="O1878" s="20"/>
      <c r="P1878" s="20"/>
      <c r="Q1878" s="20"/>
      <c r="R1878" s="20"/>
      <c r="S1878" s="20"/>
      <c r="T1878" s="20"/>
      <c r="U1878" s="20">
        <v>1200</v>
      </c>
      <c r="V1878" s="20">
        <v>1200</v>
      </c>
      <c r="W1878" s="20">
        <v>0</v>
      </c>
      <c r="X1878" s="20"/>
      <c r="Y1878" s="20"/>
      <c r="Z1878" s="20"/>
      <c r="AA1878" s="20"/>
      <c r="AB1878" s="20"/>
      <c r="AC1878" s="20"/>
      <c r="AD1878" s="20"/>
      <c r="AE1878" s="20"/>
      <c r="AF1878" s="20"/>
      <c r="AG1878" s="20"/>
      <c r="AH1878" s="20"/>
      <c r="AI1878" s="20"/>
      <c r="AJ1878" s="20"/>
      <c r="AK1878" s="20"/>
      <c r="AL1878" s="20"/>
      <c r="AM1878" s="20"/>
      <c r="AN1878" s="20"/>
      <c r="AO1878" s="24"/>
    </row>
    <row r="1879" spans="1:41" s="15" customFormat="1" ht="14.25" x14ac:dyDescent="0.2">
      <c r="A1879" s="18" t="s">
        <v>1498</v>
      </c>
      <c r="B1879" s="19" t="s">
        <v>1499</v>
      </c>
      <c r="C1879" s="20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  <c r="S1879" s="20"/>
      <c r="T1879" s="20"/>
      <c r="U1879" s="20">
        <v>25793.56</v>
      </c>
      <c r="V1879" s="20">
        <v>27343.56</v>
      </c>
      <c r="W1879" s="20">
        <v>27343.56</v>
      </c>
      <c r="X1879" s="20">
        <v>35993.56</v>
      </c>
      <c r="Y1879" s="20">
        <v>48823.56</v>
      </c>
      <c r="Z1879" s="20">
        <v>48823.56</v>
      </c>
      <c r="AA1879" s="20">
        <v>48823.56</v>
      </c>
      <c r="AB1879" s="20">
        <v>48823.56</v>
      </c>
      <c r="AC1879" s="20">
        <v>48823.56</v>
      </c>
      <c r="AD1879" s="20">
        <v>48823.56</v>
      </c>
      <c r="AE1879" s="20">
        <v>48823.56</v>
      </c>
      <c r="AF1879" s="20">
        <v>48823.56</v>
      </c>
      <c r="AG1879" s="20">
        <v>48823.56</v>
      </c>
      <c r="AH1879" s="20">
        <v>48823.56</v>
      </c>
      <c r="AI1879" s="20">
        <v>25301.83</v>
      </c>
      <c r="AJ1879" s="20">
        <v>25301.83</v>
      </c>
      <c r="AK1879" s="20">
        <v>25301.83</v>
      </c>
      <c r="AL1879" s="20">
        <v>21171.09</v>
      </c>
      <c r="AM1879" s="20">
        <v>21171.09</v>
      </c>
      <c r="AN1879" s="20">
        <v>21171.09</v>
      </c>
      <c r="AO1879" s="24">
        <v>21171.09</v>
      </c>
    </row>
    <row r="1880" spans="1:41" s="15" customFormat="1" ht="14.25" x14ac:dyDescent="0.2">
      <c r="A1880" s="18" t="s">
        <v>1500</v>
      </c>
      <c r="B1880" s="19" t="s">
        <v>1501</v>
      </c>
      <c r="C1880" s="20">
        <v>216613.96</v>
      </c>
      <c r="D1880" s="20">
        <v>0</v>
      </c>
      <c r="E1880" s="20"/>
      <c r="F1880" s="20"/>
      <c r="G1880" s="20"/>
      <c r="H1880" s="20"/>
      <c r="I1880" s="20"/>
      <c r="J1880" s="20"/>
      <c r="K1880" s="20"/>
      <c r="L1880" s="20"/>
      <c r="M1880" s="20"/>
      <c r="N1880" s="20"/>
      <c r="O1880" s="20"/>
      <c r="P1880" s="20"/>
      <c r="Q1880" s="20"/>
      <c r="R1880" s="20"/>
      <c r="S1880" s="20"/>
      <c r="T1880" s="20"/>
      <c r="U1880" s="20">
        <v>10425</v>
      </c>
      <c r="V1880" s="20">
        <v>10425</v>
      </c>
      <c r="W1880" s="20">
        <v>10425</v>
      </c>
      <c r="X1880" s="20">
        <v>27375</v>
      </c>
      <c r="Y1880" s="20">
        <v>27375</v>
      </c>
      <c r="Z1880" s="20">
        <v>27375</v>
      </c>
      <c r="AA1880" s="20">
        <v>27375</v>
      </c>
      <c r="AB1880" s="20">
        <v>27375</v>
      </c>
      <c r="AC1880" s="20">
        <v>27375</v>
      </c>
      <c r="AD1880" s="20">
        <v>27375</v>
      </c>
      <c r="AE1880" s="20">
        <v>27375</v>
      </c>
      <c r="AF1880" s="20">
        <v>27375</v>
      </c>
      <c r="AG1880" s="20">
        <v>27375</v>
      </c>
      <c r="AH1880" s="20">
        <v>27375</v>
      </c>
      <c r="AI1880" s="20">
        <v>16335.8</v>
      </c>
      <c r="AJ1880" s="20">
        <v>16335.8</v>
      </c>
      <c r="AK1880" s="20">
        <v>16335.8</v>
      </c>
      <c r="AL1880" s="20">
        <v>15197.95</v>
      </c>
      <c r="AM1880" s="20">
        <v>15197.95</v>
      </c>
      <c r="AN1880" s="20">
        <v>15197.95</v>
      </c>
      <c r="AO1880" s="24">
        <v>15197.95</v>
      </c>
    </row>
    <row r="1881" spans="1:41" s="15" customFormat="1" ht="14.25" x14ac:dyDescent="0.2">
      <c r="A1881" s="18" t="s">
        <v>1502</v>
      </c>
      <c r="B1881" s="19" t="s">
        <v>1503</v>
      </c>
      <c r="C1881" s="20">
        <v>256583.67999999999</v>
      </c>
      <c r="D1881" s="20">
        <v>0</v>
      </c>
      <c r="E1881" s="20"/>
      <c r="F1881" s="20">
        <v>830.51</v>
      </c>
      <c r="G1881" s="20">
        <v>830.51</v>
      </c>
      <c r="H1881" s="20">
        <v>830.51</v>
      </c>
      <c r="I1881" s="20">
        <v>1525.43</v>
      </c>
      <c r="J1881" s="20">
        <v>1525.43</v>
      </c>
      <c r="K1881" s="20">
        <v>0</v>
      </c>
      <c r="L1881" s="20">
        <v>661.02</v>
      </c>
      <c r="M1881" s="20">
        <v>661.02</v>
      </c>
      <c r="N1881" s="20">
        <v>661.02</v>
      </c>
      <c r="O1881" s="20">
        <v>18341.02</v>
      </c>
      <c r="P1881" s="20">
        <v>18688.48</v>
      </c>
      <c r="Q1881" s="20">
        <v>18688.48</v>
      </c>
      <c r="R1881" s="20">
        <v>18688.48</v>
      </c>
      <c r="S1881" s="20">
        <v>18688.48</v>
      </c>
      <c r="T1881" s="20">
        <v>18688.48</v>
      </c>
      <c r="U1881" s="20">
        <v>25016.02</v>
      </c>
      <c r="V1881" s="20">
        <v>30166.02</v>
      </c>
      <c r="W1881" s="20">
        <v>38466.019999999997</v>
      </c>
      <c r="X1881" s="20">
        <v>51180.02</v>
      </c>
      <c r="Y1881" s="20">
        <v>51180.02</v>
      </c>
      <c r="Z1881" s="20">
        <v>51180.02</v>
      </c>
      <c r="AA1881" s="20">
        <v>51180.02</v>
      </c>
      <c r="AB1881" s="20">
        <v>57930.02</v>
      </c>
      <c r="AC1881" s="20">
        <v>60514.76</v>
      </c>
      <c r="AD1881" s="20">
        <v>60514.76</v>
      </c>
      <c r="AE1881" s="20">
        <v>60514.76</v>
      </c>
      <c r="AF1881" s="20">
        <v>60514.76</v>
      </c>
      <c r="AG1881" s="20">
        <v>60514.76</v>
      </c>
      <c r="AH1881" s="20">
        <v>60514.76</v>
      </c>
      <c r="AI1881" s="20">
        <v>34751.5</v>
      </c>
      <c r="AJ1881" s="20">
        <v>34751.5</v>
      </c>
      <c r="AK1881" s="20">
        <v>34751.5</v>
      </c>
      <c r="AL1881" s="20">
        <v>34401.5</v>
      </c>
      <c r="AM1881" s="20">
        <v>34401.5</v>
      </c>
      <c r="AN1881" s="20">
        <v>34401.5</v>
      </c>
      <c r="AO1881" s="24">
        <v>26189.82</v>
      </c>
    </row>
    <row r="1882" spans="1:41" s="15" customFormat="1" ht="14.25" x14ac:dyDescent="0.2">
      <c r="A1882" s="18" t="s">
        <v>1504</v>
      </c>
      <c r="B1882" s="19" t="s">
        <v>1484</v>
      </c>
      <c r="C1882" s="20">
        <v>251498.85</v>
      </c>
      <c r="D1882" s="20">
        <v>0</v>
      </c>
      <c r="E1882" s="20"/>
      <c r="F1882" s="20">
        <v>5389.83</v>
      </c>
      <c r="G1882" s="20">
        <v>5389.83</v>
      </c>
      <c r="H1882" s="20">
        <v>5644.07</v>
      </c>
      <c r="I1882" s="20">
        <v>11033.9</v>
      </c>
      <c r="J1882" s="20">
        <v>11033.9</v>
      </c>
      <c r="K1882" s="20">
        <v>0</v>
      </c>
      <c r="L1882" s="20"/>
      <c r="M1882" s="20"/>
      <c r="N1882" s="20"/>
      <c r="O1882" s="20"/>
      <c r="P1882" s="20"/>
      <c r="Q1882" s="20"/>
      <c r="R1882" s="20"/>
      <c r="S1882" s="20"/>
      <c r="T1882" s="20"/>
      <c r="U1882" s="20">
        <v>1420</v>
      </c>
      <c r="V1882" s="20">
        <v>1420</v>
      </c>
      <c r="W1882" s="20">
        <v>0</v>
      </c>
      <c r="X1882" s="20">
        <v>3559.32</v>
      </c>
      <c r="Y1882" s="20">
        <v>7864.4</v>
      </c>
      <c r="Z1882" s="20">
        <v>0</v>
      </c>
      <c r="AA1882" s="20"/>
      <c r="AB1882" s="20"/>
      <c r="AC1882" s="20"/>
      <c r="AD1882" s="20"/>
      <c r="AE1882" s="20"/>
      <c r="AF1882" s="20"/>
      <c r="AG1882" s="20"/>
      <c r="AH1882" s="20"/>
      <c r="AI1882" s="20"/>
      <c r="AJ1882" s="20"/>
      <c r="AK1882" s="20"/>
      <c r="AL1882" s="20"/>
      <c r="AM1882" s="20"/>
      <c r="AN1882" s="20"/>
      <c r="AO1882" s="24"/>
    </row>
    <row r="1883" spans="1:41" s="15" customFormat="1" ht="14.25" x14ac:dyDescent="0.2">
      <c r="A1883" s="18" t="s">
        <v>1505</v>
      </c>
      <c r="B1883" s="19" t="s">
        <v>1486</v>
      </c>
      <c r="C1883" s="20">
        <v>1665510.95</v>
      </c>
      <c r="D1883" s="20">
        <v>20296.599999999999</v>
      </c>
      <c r="E1883" s="20">
        <v>26218.21</v>
      </c>
      <c r="F1883" s="20">
        <v>26218.21</v>
      </c>
      <c r="G1883" s="20">
        <v>27617.21</v>
      </c>
      <c r="H1883" s="20">
        <v>31987.99</v>
      </c>
      <c r="I1883" s="20">
        <v>31987.99</v>
      </c>
      <c r="J1883" s="20">
        <v>40208.33</v>
      </c>
      <c r="K1883" s="20">
        <v>3966.12</v>
      </c>
      <c r="L1883" s="20">
        <v>3966.12</v>
      </c>
      <c r="M1883" s="20">
        <v>3966.12</v>
      </c>
      <c r="N1883" s="20">
        <v>3966.12</v>
      </c>
      <c r="O1883" s="20">
        <v>3966.12</v>
      </c>
      <c r="P1883" s="20">
        <v>6966.12</v>
      </c>
      <c r="Q1883" s="20">
        <v>6966.12</v>
      </c>
      <c r="R1883" s="20">
        <v>32733.07</v>
      </c>
      <c r="S1883" s="20">
        <v>32733.07</v>
      </c>
      <c r="T1883" s="20">
        <v>64378.9</v>
      </c>
      <c r="U1883" s="20">
        <v>68472.12</v>
      </c>
      <c r="V1883" s="20">
        <v>68472.12</v>
      </c>
      <c r="W1883" s="20">
        <v>62874.35</v>
      </c>
      <c r="X1883" s="20">
        <v>77289.350000000006</v>
      </c>
      <c r="Y1883" s="20">
        <v>94369.35</v>
      </c>
      <c r="Z1883" s="20">
        <v>30303.599999999999</v>
      </c>
      <c r="AA1883" s="20">
        <v>30303.599999999999</v>
      </c>
      <c r="AB1883" s="20">
        <v>69456.149999999994</v>
      </c>
      <c r="AC1883" s="20">
        <v>72303.61</v>
      </c>
      <c r="AD1883" s="20">
        <v>72303.61</v>
      </c>
      <c r="AE1883" s="20">
        <v>72303.61</v>
      </c>
      <c r="AF1883" s="20">
        <v>72303.61</v>
      </c>
      <c r="AG1883" s="20">
        <v>72303.61</v>
      </c>
      <c r="AH1883" s="20">
        <v>72303.61</v>
      </c>
      <c r="AI1883" s="20">
        <v>42942.33</v>
      </c>
      <c r="AJ1883" s="20">
        <v>42942.33</v>
      </c>
      <c r="AK1883" s="20">
        <v>42942.33</v>
      </c>
      <c r="AL1883" s="20">
        <v>6159.5</v>
      </c>
      <c r="AM1883" s="20">
        <v>6159.5</v>
      </c>
      <c r="AN1883" s="20">
        <v>6159.5</v>
      </c>
      <c r="AO1883" s="24">
        <v>6159.5</v>
      </c>
    </row>
    <row r="1884" spans="1:41" s="15" customFormat="1" ht="14.25" x14ac:dyDescent="0.2">
      <c r="A1884" s="18" t="s">
        <v>1506</v>
      </c>
      <c r="B1884" s="19" t="s">
        <v>1507</v>
      </c>
      <c r="C1884" s="20">
        <v>16577.8</v>
      </c>
      <c r="D1884" s="20">
        <v>0</v>
      </c>
      <c r="E1884" s="20"/>
      <c r="F1884" s="20"/>
      <c r="G1884" s="20"/>
      <c r="H1884" s="20"/>
      <c r="I1884" s="20"/>
      <c r="J1884" s="20"/>
      <c r="K1884" s="20"/>
      <c r="L1884" s="20"/>
      <c r="M1884" s="20"/>
      <c r="N1884" s="20"/>
      <c r="O1884" s="20"/>
      <c r="P1884" s="20"/>
      <c r="Q1884" s="20"/>
      <c r="R1884" s="20"/>
      <c r="S1884" s="20"/>
      <c r="T1884" s="20"/>
      <c r="U1884" s="20"/>
      <c r="V1884" s="20"/>
      <c r="W1884" s="20"/>
      <c r="X1884" s="20"/>
      <c r="Y1884" s="20"/>
      <c r="Z1884" s="20"/>
      <c r="AA1884" s="20"/>
      <c r="AB1884" s="20"/>
      <c r="AC1884" s="20"/>
      <c r="AD1884" s="20"/>
      <c r="AE1884" s="20"/>
      <c r="AF1884" s="20"/>
      <c r="AG1884" s="20"/>
      <c r="AH1884" s="20"/>
      <c r="AI1884" s="20"/>
      <c r="AJ1884" s="20"/>
      <c r="AK1884" s="20"/>
      <c r="AL1884" s="20"/>
      <c r="AM1884" s="20"/>
      <c r="AN1884" s="20"/>
      <c r="AO1884" s="24"/>
    </row>
    <row r="1885" spans="1:41" ht="14.25" x14ac:dyDescent="0.2">
      <c r="A1885" s="2">
        <v>1908</v>
      </c>
      <c r="B1885" s="3" t="s">
        <v>397</v>
      </c>
      <c r="C1885" s="20">
        <f>+C1892+C1894+C1895+C1897+C1898+C1899+C1900+C1901</f>
        <v>1098202.5899999999</v>
      </c>
      <c r="D1885" s="20">
        <f t="shared" ref="D1885:AO1885" si="57">+D1892+D1894+D1895+D1897+D1898+D1899+D1900+D1901</f>
        <v>848202.59</v>
      </c>
      <c r="E1885" s="20">
        <f t="shared" si="57"/>
        <v>848202.59</v>
      </c>
      <c r="F1885" s="20">
        <f t="shared" si="57"/>
        <v>852702.59</v>
      </c>
      <c r="G1885" s="20">
        <f t="shared" si="57"/>
        <v>852702.59</v>
      </c>
      <c r="H1885" s="20">
        <f t="shared" si="57"/>
        <v>848202.59</v>
      </c>
      <c r="I1885" s="20">
        <f t="shared" si="57"/>
        <v>848202.59</v>
      </c>
      <c r="J1885" s="20">
        <f t="shared" si="57"/>
        <v>848202.59</v>
      </c>
      <c r="K1885" s="20">
        <f t="shared" si="57"/>
        <v>848202.59</v>
      </c>
      <c r="L1885" s="20">
        <f t="shared" si="57"/>
        <v>848202.59</v>
      </c>
      <c r="M1885" s="20">
        <f t="shared" si="57"/>
        <v>848202.59</v>
      </c>
      <c r="N1885" s="20">
        <f t="shared" si="57"/>
        <v>848202.59</v>
      </c>
      <c r="O1885" s="20">
        <f t="shared" si="57"/>
        <v>875248.19</v>
      </c>
      <c r="P1885" s="20">
        <f t="shared" si="57"/>
        <v>883819.30999999994</v>
      </c>
      <c r="Q1885" s="20">
        <f t="shared" si="57"/>
        <v>1601229.2499999998</v>
      </c>
      <c r="R1885" s="20">
        <f t="shared" si="57"/>
        <v>900641.01</v>
      </c>
      <c r="S1885" s="20">
        <f t="shared" si="57"/>
        <v>909101.52</v>
      </c>
      <c r="T1885" s="20">
        <f t="shared" si="57"/>
        <v>909101.52</v>
      </c>
      <c r="U1885" s="20">
        <f t="shared" si="57"/>
        <v>917690.7</v>
      </c>
      <c r="V1885" s="20">
        <f t="shared" si="57"/>
        <v>917690.7</v>
      </c>
      <c r="W1885" s="20">
        <f t="shared" si="57"/>
        <v>917690.7</v>
      </c>
      <c r="X1885" s="20">
        <f t="shared" si="57"/>
        <v>917690.7</v>
      </c>
      <c r="Y1885" s="20">
        <f t="shared" si="57"/>
        <v>917690.7</v>
      </c>
      <c r="Z1885" s="20">
        <f t="shared" si="57"/>
        <v>917690.7</v>
      </c>
      <c r="AA1885" s="20">
        <f t="shared" si="57"/>
        <v>917690.7</v>
      </c>
      <c r="AB1885" s="20">
        <f t="shared" si="57"/>
        <v>917690.7</v>
      </c>
      <c r="AC1885" s="20">
        <f t="shared" si="57"/>
        <v>917690.7</v>
      </c>
      <c r="AD1885" s="20">
        <f t="shared" si="57"/>
        <v>917690.7</v>
      </c>
      <c r="AE1885" s="20">
        <f t="shared" si="57"/>
        <v>917690.7</v>
      </c>
      <c r="AF1885" s="20">
        <f t="shared" si="57"/>
        <v>917690.7</v>
      </c>
      <c r="AG1885" s="20">
        <f t="shared" si="57"/>
        <v>0</v>
      </c>
      <c r="AH1885" s="20">
        <f t="shared" si="57"/>
        <v>0</v>
      </c>
      <c r="AI1885" s="20">
        <f t="shared" si="57"/>
        <v>0</v>
      </c>
      <c r="AJ1885" s="20">
        <f t="shared" si="57"/>
        <v>0</v>
      </c>
      <c r="AK1885" s="20">
        <f t="shared" si="57"/>
        <v>0</v>
      </c>
      <c r="AL1885" s="20">
        <f t="shared" si="57"/>
        <v>20000</v>
      </c>
      <c r="AM1885" s="20">
        <f t="shared" si="57"/>
        <v>251000</v>
      </c>
      <c r="AN1885" s="20">
        <f t="shared" si="57"/>
        <v>20000</v>
      </c>
      <c r="AO1885" s="24">
        <f>+AO1892+AO1894+AO1895+AO1897+AO1898+AO1899+AO1900+AO1901</f>
        <v>21200</v>
      </c>
    </row>
    <row r="1886" spans="1:41" ht="14.25" x14ac:dyDescent="0.2">
      <c r="A1886" s="2">
        <v>190801</v>
      </c>
      <c r="B1886" s="3" t="s">
        <v>398</v>
      </c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  <c r="AF1886" s="9"/>
      <c r="AG1886" s="9"/>
      <c r="AH1886" s="9"/>
      <c r="AI1886" s="9"/>
      <c r="AJ1886" s="9"/>
      <c r="AK1886" s="9"/>
      <c r="AL1886" s="9"/>
      <c r="AM1886" s="9"/>
      <c r="AN1886" s="9"/>
      <c r="AO1886" s="25"/>
    </row>
    <row r="1887" spans="1:41" s="15" customFormat="1" ht="14.25" x14ac:dyDescent="0.2">
      <c r="A1887" s="18" t="s">
        <v>1508</v>
      </c>
      <c r="B1887" s="19" t="s">
        <v>1509</v>
      </c>
      <c r="C1887" s="20"/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  <c r="N1887" s="20"/>
      <c r="O1887" s="20"/>
      <c r="P1887" s="20"/>
      <c r="Q1887" s="20"/>
      <c r="R1887" s="20"/>
      <c r="S1887" s="20"/>
      <c r="T1887" s="20"/>
      <c r="U1887" s="20"/>
      <c r="V1887" s="20"/>
      <c r="W1887" s="20"/>
      <c r="X1887" s="20"/>
      <c r="Y1887" s="20"/>
      <c r="Z1887" s="20"/>
      <c r="AA1887" s="20"/>
      <c r="AB1887" s="20"/>
      <c r="AC1887" s="20"/>
      <c r="AD1887" s="20"/>
      <c r="AE1887" s="20"/>
      <c r="AF1887" s="20"/>
      <c r="AG1887" s="20"/>
      <c r="AH1887" s="20"/>
      <c r="AI1887" s="20"/>
      <c r="AJ1887" s="20"/>
      <c r="AK1887" s="20"/>
      <c r="AL1887" s="20"/>
      <c r="AM1887" s="20"/>
      <c r="AN1887" s="20"/>
      <c r="AO1887" s="20">
        <v>0</v>
      </c>
    </row>
    <row r="1888" spans="1:41" ht="14.25" x14ac:dyDescent="0.2">
      <c r="A1888" s="2">
        <v>190802</v>
      </c>
      <c r="B1888" s="3" t="s">
        <v>399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9"/>
      <c r="AI1888" s="9"/>
      <c r="AJ1888" s="9"/>
      <c r="AK1888" s="9"/>
      <c r="AL1888" s="9"/>
      <c r="AM1888" s="9"/>
      <c r="AN1888" s="9"/>
      <c r="AO1888" s="9"/>
    </row>
    <row r="1889" spans="1:41" ht="14.25" x14ac:dyDescent="0.2">
      <c r="A1889" s="2">
        <v>190803</v>
      </c>
      <c r="B1889" s="3" t="s">
        <v>400</v>
      </c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9"/>
      <c r="AI1889" s="9"/>
      <c r="AJ1889" s="9"/>
      <c r="AK1889" s="9"/>
      <c r="AL1889" s="9"/>
      <c r="AM1889" s="9"/>
      <c r="AN1889" s="9"/>
      <c r="AO1889" s="9"/>
    </row>
    <row r="1890" spans="1:41" ht="14.25" x14ac:dyDescent="0.2">
      <c r="A1890" s="2">
        <v>190804</v>
      </c>
      <c r="B1890" s="3" t="s">
        <v>401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  <c r="AF1890" s="9"/>
      <c r="AG1890" s="9"/>
      <c r="AH1890" s="9"/>
      <c r="AI1890" s="9"/>
      <c r="AJ1890" s="9"/>
      <c r="AK1890" s="9"/>
      <c r="AL1890" s="9"/>
      <c r="AM1890" s="9"/>
      <c r="AN1890" s="9"/>
      <c r="AO1890" s="9"/>
    </row>
    <row r="1891" spans="1:41" ht="14.25" x14ac:dyDescent="0.2">
      <c r="A1891" s="2">
        <v>190805</v>
      </c>
      <c r="B1891" s="3" t="s">
        <v>402</v>
      </c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  <c r="AE1891" s="9"/>
      <c r="AF1891" s="9"/>
      <c r="AG1891" s="9"/>
      <c r="AH1891" s="9"/>
      <c r="AI1891" s="9"/>
      <c r="AJ1891" s="9"/>
      <c r="AK1891" s="9"/>
      <c r="AL1891" s="9"/>
      <c r="AM1891" s="9"/>
      <c r="AN1891" s="9"/>
      <c r="AO1891" s="9"/>
    </row>
    <row r="1892" spans="1:41" s="15" customFormat="1" ht="14.25" x14ac:dyDescent="0.2">
      <c r="A1892" s="18" t="s">
        <v>1510</v>
      </c>
      <c r="B1892" s="19" t="s">
        <v>1511</v>
      </c>
      <c r="C1892" s="20">
        <v>0</v>
      </c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  <c r="N1892" s="20"/>
      <c r="O1892" s="20"/>
      <c r="P1892" s="20"/>
      <c r="Q1892" s="20"/>
      <c r="R1892" s="20"/>
      <c r="S1892" s="20"/>
      <c r="T1892" s="20"/>
      <c r="U1892" s="20"/>
      <c r="V1892" s="20"/>
      <c r="W1892" s="20"/>
      <c r="X1892" s="20"/>
      <c r="Y1892" s="20"/>
      <c r="Z1892" s="20"/>
      <c r="AA1892" s="20"/>
      <c r="AB1892" s="20"/>
      <c r="AC1892" s="20"/>
      <c r="AD1892" s="20"/>
      <c r="AE1892" s="20"/>
      <c r="AF1892" s="20"/>
      <c r="AG1892" s="20"/>
      <c r="AH1892" s="20"/>
      <c r="AI1892" s="20"/>
      <c r="AJ1892" s="20"/>
      <c r="AK1892" s="20"/>
      <c r="AL1892" s="20"/>
      <c r="AM1892" s="20"/>
      <c r="AN1892" s="20"/>
      <c r="AO1892" s="20"/>
    </row>
    <row r="1893" spans="1:41" ht="14.25" x14ac:dyDescent="0.2">
      <c r="A1893" s="2">
        <v>190806</v>
      </c>
      <c r="B1893" s="3" t="s">
        <v>403</v>
      </c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  <c r="AH1893" s="9"/>
      <c r="AI1893" s="9"/>
      <c r="AJ1893" s="9"/>
      <c r="AK1893" s="9"/>
      <c r="AL1893" s="9"/>
      <c r="AM1893" s="9"/>
      <c r="AN1893" s="9"/>
      <c r="AO1893" s="9"/>
    </row>
    <row r="1894" spans="1:41" s="15" customFormat="1" ht="14.25" x14ac:dyDescent="0.2">
      <c r="A1894" s="18" t="s">
        <v>1512</v>
      </c>
      <c r="B1894" s="19" t="s">
        <v>1513</v>
      </c>
      <c r="C1894" s="20"/>
      <c r="D1894" s="20"/>
      <c r="E1894" s="20"/>
      <c r="F1894" s="20">
        <v>4500</v>
      </c>
      <c r="G1894" s="20">
        <v>4500</v>
      </c>
      <c r="H1894" s="20">
        <v>0</v>
      </c>
      <c r="I1894" s="20"/>
      <c r="J1894" s="20"/>
      <c r="K1894" s="20"/>
      <c r="L1894" s="20"/>
      <c r="M1894" s="20"/>
      <c r="N1894" s="20"/>
      <c r="O1894" s="20"/>
      <c r="P1894" s="20"/>
      <c r="Q1894" s="20">
        <v>709041.98</v>
      </c>
      <c r="R1894" s="20">
        <v>0</v>
      </c>
      <c r="S1894" s="20"/>
      <c r="T1894" s="20"/>
      <c r="U1894" s="20"/>
      <c r="V1894" s="20"/>
      <c r="W1894" s="20"/>
      <c r="X1894" s="20"/>
      <c r="Y1894" s="20"/>
      <c r="Z1894" s="20"/>
      <c r="AA1894" s="20"/>
      <c r="AB1894" s="20"/>
      <c r="AC1894" s="20"/>
      <c r="AD1894" s="20"/>
      <c r="AE1894" s="20"/>
      <c r="AF1894" s="20"/>
      <c r="AG1894" s="20"/>
      <c r="AH1894" s="20"/>
      <c r="AI1894" s="20"/>
      <c r="AJ1894" s="20"/>
      <c r="AK1894" s="20"/>
      <c r="AL1894" s="20"/>
      <c r="AM1894" s="20"/>
      <c r="AN1894" s="20"/>
      <c r="AO1894" s="20"/>
    </row>
    <row r="1895" spans="1:41" s="15" customFormat="1" ht="14.25" x14ac:dyDescent="0.2">
      <c r="A1895" s="18" t="s">
        <v>1514</v>
      </c>
      <c r="B1895" s="19" t="s">
        <v>1515</v>
      </c>
      <c r="C1895" s="20"/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  <c r="N1895" s="20"/>
      <c r="O1895" s="20"/>
      <c r="P1895" s="20"/>
      <c r="Q1895" s="20"/>
      <c r="R1895" s="20"/>
      <c r="S1895" s="20"/>
      <c r="T1895" s="20"/>
      <c r="U1895" s="20"/>
      <c r="V1895" s="20"/>
      <c r="W1895" s="20"/>
      <c r="X1895" s="20"/>
      <c r="Y1895" s="20"/>
      <c r="Z1895" s="20"/>
      <c r="AA1895" s="20"/>
      <c r="AB1895" s="20"/>
      <c r="AC1895" s="20"/>
      <c r="AD1895" s="20"/>
      <c r="AE1895" s="20"/>
      <c r="AF1895" s="20"/>
      <c r="AG1895" s="20"/>
      <c r="AH1895" s="20"/>
      <c r="AI1895" s="20">
        <v>0</v>
      </c>
      <c r="AJ1895" s="20"/>
      <c r="AK1895" s="20"/>
      <c r="AL1895" s="20">
        <v>0</v>
      </c>
      <c r="AM1895" s="20"/>
      <c r="AN1895" s="20"/>
      <c r="AO1895" s="20"/>
    </row>
    <row r="1896" spans="1:41" ht="14.25" x14ac:dyDescent="0.2">
      <c r="A1896" s="2">
        <v>190807</v>
      </c>
      <c r="B1896" s="3" t="s">
        <v>404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9"/>
      <c r="AE1896" s="9"/>
      <c r="AF1896" s="9"/>
      <c r="AG1896" s="9"/>
      <c r="AH1896" s="9"/>
      <c r="AI1896" s="9"/>
      <c r="AJ1896" s="9"/>
      <c r="AK1896" s="9"/>
      <c r="AL1896" s="9"/>
      <c r="AM1896" s="9"/>
      <c r="AN1896" s="9"/>
      <c r="AO1896" s="9"/>
    </row>
    <row r="1897" spans="1:41" s="15" customFormat="1" ht="14.25" x14ac:dyDescent="0.2">
      <c r="A1897" s="18" t="s">
        <v>1516</v>
      </c>
      <c r="B1897" s="19" t="s">
        <v>1517</v>
      </c>
      <c r="C1897" s="20">
        <v>250000</v>
      </c>
      <c r="D1897" s="20">
        <v>0</v>
      </c>
      <c r="E1897" s="20"/>
      <c r="F1897" s="20"/>
      <c r="G1897" s="20"/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  <c r="S1897" s="20"/>
      <c r="T1897" s="20"/>
      <c r="U1897" s="20"/>
      <c r="V1897" s="20"/>
      <c r="W1897" s="20"/>
      <c r="X1897" s="20"/>
      <c r="Y1897" s="20"/>
      <c r="Z1897" s="20"/>
      <c r="AA1897" s="20"/>
      <c r="AB1897" s="20"/>
      <c r="AC1897" s="20"/>
      <c r="AD1897" s="20"/>
      <c r="AE1897" s="20"/>
      <c r="AF1897" s="20"/>
      <c r="AG1897" s="20"/>
      <c r="AH1897" s="20"/>
      <c r="AI1897" s="20"/>
      <c r="AJ1897" s="20"/>
      <c r="AK1897" s="20"/>
      <c r="AL1897" s="20"/>
      <c r="AM1897" s="20">
        <v>231000</v>
      </c>
      <c r="AN1897" s="20">
        <v>0</v>
      </c>
      <c r="AO1897" s="20"/>
    </row>
    <row r="1898" spans="1:41" s="15" customFormat="1" ht="14.25" x14ac:dyDescent="0.2">
      <c r="A1898" s="18" t="s">
        <v>1518</v>
      </c>
      <c r="B1898" s="19" t="s">
        <v>1519</v>
      </c>
      <c r="C1898" s="20"/>
      <c r="D1898" s="20"/>
      <c r="E1898" s="20">
        <v>0</v>
      </c>
      <c r="F1898" s="20"/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  <c r="S1898" s="20"/>
      <c r="T1898" s="20"/>
      <c r="U1898" s="20"/>
      <c r="V1898" s="20"/>
      <c r="W1898" s="20"/>
      <c r="X1898" s="20"/>
      <c r="Y1898" s="20"/>
      <c r="Z1898" s="20"/>
      <c r="AA1898" s="20"/>
      <c r="AB1898" s="20"/>
      <c r="AC1898" s="20"/>
      <c r="AD1898" s="20"/>
      <c r="AE1898" s="20"/>
      <c r="AF1898" s="20">
        <v>0</v>
      </c>
      <c r="AG1898" s="20">
        <v>0</v>
      </c>
      <c r="AH1898" s="20"/>
      <c r="AI1898" s="20">
        <v>0</v>
      </c>
      <c r="AJ1898" s="20">
        <v>0</v>
      </c>
      <c r="AK1898" s="20"/>
      <c r="AL1898" s="20"/>
      <c r="AM1898" s="20">
        <v>0</v>
      </c>
      <c r="AN1898" s="20"/>
      <c r="AO1898" s="20">
        <v>1200</v>
      </c>
    </row>
    <row r="1899" spans="1:41" s="15" customFormat="1" ht="14.25" x14ac:dyDescent="0.2">
      <c r="A1899" s="18" t="s">
        <v>1520</v>
      </c>
      <c r="B1899" s="19" t="s">
        <v>1521</v>
      </c>
      <c r="C1899" s="20">
        <v>848202.59</v>
      </c>
      <c r="D1899" s="20">
        <v>848202.59</v>
      </c>
      <c r="E1899" s="20">
        <v>848202.59</v>
      </c>
      <c r="F1899" s="20">
        <v>848202.59</v>
      </c>
      <c r="G1899" s="20">
        <v>848202.59</v>
      </c>
      <c r="H1899" s="20">
        <v>848202.59</v>
      </c>
      <c r="I1899" s="20">
        <v>848202.59</v>
      </c>
      <c r="J1899" s="20">
        <v>848202.59</v>
      </c>
      <c r="K1899" s="20">
        <v>848202.59</v>
      </c>
      <c r="L1899" s="20">
        <v>848202.59</v>
      </c>
      <c r="M1899" s="20">
        <v>848202.59</v>
      </c>
      <c r="N1899" s="20">
        <v>848202.59</v>
      </c>
      <c r="O1899" s="20">
        <v>848202.59</v>
      </c>
      <c r="P1899" s="20">
        <v>848202.59</v>
      </c>
      <c r="Q1899" s="20">
        <v>848202.59</v>
      </c>
      <c r="R1899" s="20">
        <v>848202.59</v>
      </c>
      <c r="S1899" s="20">
        <v>848202.59</v>
      </c>
      <c r="T1899" s="20">
        <v>848202.59</v>
      </c>
      <c r="U1899" s="20">
        <v>848202.59</v>
      </c>
      <c r="V1899" s="20">
        <v>848202.59</v>
      </c>
      <c r="W1899" s="20">
        <v>848202.59</v>
      </c>
      <c r="X1899" s="20">
        <v>848202.59</v>
      </c>
      <c r="Y1899" s="20">
        <v>848202.59</v>
      </c>
      <c r="Z1899" s="20">
        <v>848202.59</v>
      </c>
      <c r="AA1899" s="20">
        <v>848202.59</v>
      </c>
      <c r="AB1899" s="20">
        <v>848202.59</v>
      </c>
      <c r="AC1899" s="20">
        <v>848202.59</v>
      </c>
      <c r="AD1899" s="20">
        <v>848202.59</v>
      </c>
      <c r="AE1899" s="20">
        <v>848202.59</v>
      </c>
      <c r="AF1899" s="20">
        <v>848202.59</v>
      </c>
      <c r="AG1899" s="20">
        <v>0</v>
      </c>
      <c r="AH1899" s="20"/>
      <c r="AI1899" s="20"/>
      <c r="AJ1899" s="20"/>
      <c r="AK1899" s="20"/>
      <c r="AL1899" s="20"/>
      <c r="AM1899" s="20"/>
      <c r="AN1899" s="20"/>
      <c r="AO1899" s="20"/>
    </row>
    <row r="1900" spans="1:41" s="15" customFormat="1" ht="14.25" x14ac:dyDescent="0.2">
      <c r="A1900" s="18" t="s">
        <v>1522</v>
      </c>
      <c r="B1900" s="19" t="s">
        <v>1523</v>
      </c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  <c r="M1900" s="20"/>
      <c r="N1900" s="20"/>
      <c r="O1900" s="20">
        <v>27045.599999999999</v>
      </c>
      <c r="P1900" s="20">
        <v>35616.720000000001</v>
      </c>
      <c r="Q1900" s="20">
        <v>43984.68</v>
      </c>
      <c r="R1900" s="20">
        <v>52438.42</v>
      </c>
      <c r="S1900" s="20">
        <v>60898.93</v>
      </c>
      <c r="T1900" s="20">
        <v>60898.93</v>
      </c>
      <c r="U1900" s="20">
        <v>69488.11</v>
      </c>
      <c r="V1900" s="20">
        <v>69488.11</v>
      </c>
      <c r="W1900" s="20">
        <v>69488.11</v>
      </c>
      <c r="X1900" s="20">
        <v>69488.11</v>
      </c>
      <c r="Y1900" s="20">
        <v>69488.11</v>
      </c>
      <c r="Z1900" s="20">
        <v>69488.11</v>
      </c>
      <c r="AA1900" s="20">
        <v>69488.11</v>
      </c>
      <c r="AB1900" s="20">
        <v>69488.11</v>
      </c>
      <c r="AC1900" s="20">
        <v>69488.11</v>
      </c>
      <c r="AD1900" s="20">
        <v>69488.11</v>
      </c>
      <c r="AE1900" s="20">
        <v>69488.11</v>
      </c>
      <c r="AF1900" s="20">
        <v>69488.11</v>
      </c>
      <c r="AG1900" s="20">
        <v>0</v>
      </c>
      <c r="AH1900" s="20"/>
      <c r="AI1900" s="20"/>
      <c r="AJ1900" s="20"/>
      <c r="AK1900" s="20"/>
      <c r="AL1900" s="20"/>
      <c r="AM1900" s="20"/>
      <c r="AN1900" s="20"/>
      <c r="AO1900" s="20"/>
    </row>
    <row r="1901" spans="1:41" s="15" customFormat="1" ht="14.25" x14ac:dyDescent="0.2">
      <c r="A1901" s="18" t="s">
        <v>1524</v>
      </c>
      <c r="B1901" s="19" t="s">
        <v>1525</v>
      </c>
      <c r="C1901" s="20"/>
      <c r="D1901" s="20"/>
      <c r="E1901" s="20"/>
      <c r="F1901" s="20"/>
      <c r="G1901" s="20"/>
      <c r="H1901" s="20"/>
      <c r="I1901" s="20"/>
      <c r="J1901" s="20"/>
      <c r="K1901" s="20"/>
      <c r="L1901" s="20"/>
      <c r="M1901" s="20"/>
      <c r="N1901" s="20"/>
      <c r="O1901" s="20"/>
      <c r="P1901" s="20"/>
      <c r="Q1901" s="20"/>
      <c r="R1901" s="20"/>
      <c r="S1901" s="20"/>
      <c r="T1901" s="20"/>
      <c r="U1901" s="20"/>
      <c r="V1901" s="20"/>
      <c r="W1901" s="20"/>
      <c r="X1901" s="20"/>
      <c r="Y1901" s="20"/>
      <c r="Z1901" s="20"/>
      <c r="AA1901" s="20"/>
      <c r="AB1901" s="20"/>
      <c r="AC1901" s="20"/>
      <c r="AD1901" s="20"/>
      <c r="AE1901" s="20"/>
      <c r="AF1901" s="20"/>
      <c r="AG1901" s="20"/>
      <c r="AH1901" s="20"/>
      <c r="AI1901" s="20"/>
      <c r="AJ1901" s="20"/>
      <c r="AK1901" s="20"/>
      <c r="AL1901" s="20">
        <v>20000</v>
      </c>
      <c r="AM1901" s="20">
        <v>20000</v>
      </c>
      <c r="AN1901" s="20">
        <v>20000</v>
      </c>
      <c r="AO1901" s="20">
        <v>20000</v>
      </c>
    </row>
    <row r="1902" spans="1:41" ht="14.25" x14ac:dyDescent="0.2">
      <c r="A1902" s="2">
        <v>190809</v>
      </c>
      <c r="B1902" s="3" t="s">
        <v>266</v>
      </c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  <c r="AK1902" s="9"/>
      <c r="AL1902" s="9"/>
      <c r="AM1902" s="9"/>
      <c r="AN1902" s="9"/>
      <c r="AO1902" s="9"/>
    </row>
    <row r="1903" spans="1:41" ht="14.25" x14ac:dyDescent="0.2">
      <c r="A1903" s="2">
        <v>1909</v>
      </c>
      <c r="B1903" s="3" t="s">
        <v>405</v>
      </c>
      <c r="C1903" s="20">
        <f t="shared" ref="C1903:AB1903" si="58">SUM(C1905:C1915)</f>
        <v>-1.0913936421275139E-11</v>
      </c>
      <c r="D1903" s="20">
        <f t="shared" si="58"/>
        <v>0</v>
      </c>
      <c r="E1903" s="20">
        <f t="shared" si="58"/>
        <v>2.9103830456733704E-11</v>
      </c>
      <c r="F1903" s="20">
        <f t="shared" si="58"/>
        <v>0</v>
      </c>
      <c r="G1903" s="20">
        <f t="shared" si="58"/>
        <v>0</v>
      </c>
      <c r="H1903" s="20">
        <f t="shared" si="58"/>
        <v>0</v>
      </c>
      <c r="I1903" s="20">
        <f t="shared" si="58"/>
        <v>-1.0913936421275139E-10</v>
      </c>
      <c r="J1903" s="20">
        <f t="shared" si="58"/>
        <v>1.8189894035458565E-10</v>
      </c>
      <c r="K1903" s="20">
        <f t="shared" si="58"/>
        <v>1.7462298274040222E-10</v>
      </c>
      <c r="L1903" s="20">
        <f t="shared" si="58"/>
        <v>-5.8207660913467407E-11</v>
      </c>
      <c r="M1903" s="20">
        <f t="shared" si="58"/>
        <v>1.0913936421275139E-10</v>
      </c>
      <c r="N1903" s="20">
        <f t="shared" si="58"/>
        <v>9.4587448984384537E-11</v>
      </c>
      <c r="O1903" s="20">
        <f t="shared" si="58"/>
        <v>0</v>
      </c>
      <c r="P1903" s="20">
        <f t="shared" si="58"/>
        <v>0</v>
      </c>
      <c r="Q1903" s="20">
        <f t="shared" si="58"/>
        <v>0</v>
      </c>
      <c r="R1903" s="20">
        <f t="shared" si="58"/>
        <v>0</v>
      </c>
      <c r="S1903" s="20">
        <f t="shared" si="58"/>
        <v>0</v>
      </c>
      <c r="T1903" s="20">
        <f t="shared" si="58"/>
        <v>1.0686562745831907E-11</v>
      </c>
      <c r="U1903" s="20">
        <f t="shared" si="58"/>
        <v>-1.3642420526593924E-11</v>
      </c>
      <c r="V1903" s="20">
        <f t="shared" si="58"/>
        <v>-3.637978807091713E-11</v>
      </c>
      <c r="W1903" s="20">
        <f t="shared" si="58"/>
        <v>-6.0026650317013264E-11</v>
      </c>
      <c r="X1903" s="20">
        <f t="shared" si="58"/>
        <v>-2.7284841053187847E-11</v>
      </c>
      <c r="Y1903" s="20">
        <f t="shared" si="58"/>
        <v>0</v>
      </c>
      <c r="Z1903" s="20">
        <f t="shared" si="58"/>
        <v>-1.1641532182693481E-10</v>
      </c>
      <c r="AA1903" s="20">
        <f t="shared" si="58"/>
        <v>0</v>
      </c>
      <c r="AB1903" s="20">
        <f t="shared" si="58"/>
        <v>4.3655745685100555E-11</v>
      </c>
      <c r="AC1903" s="20">
        <f>SUM(AC1905:AC1915)</f>
        <v>-6.9121597334742546E-11</v>
      </c>
      <c r="AD1903" s="20">
        <f t="shared" ref="AD1903:AO1903" si="59">SUM(AD1905:AD1915)</f>
        <v>2.1464074961841106E-10</v>
      </c>
      <c r="AE1903" s="20">
        <f t="shared" si="59"/>
        <v>-1.127773430198431E-10</v>
      </c>
      <c r="AF1903" s="20">
        <f t="shared" si="59"/>
        <v>9.4587448984384537E-11</v>
      </c>
      <c r="AG1903" s="20">
        <f t="shared" si="59"/>
        <v>-4.8203219193965197E-11</v>
      </c>
      <c r="AH1903" s="20">
        <f t="shared" si="59"/>
        <v>3.6925484891980886E-10</v>
      </c>
      <c r="AI1903" s="20">
        <f t="shared" si="59"/>
        <v>-1.6189005691558123E-10</v>
      </c>
      <c r="AJ1903" s="20">
        <f t="shared" si="59"/>
        <v>-3.3651303965598345E-10</v>
      </c>
      <c r="AK1903" s="20">
        <f t="shared" si="59"/>
        <v>-2.9831426218152046E-10</v>
      </c>
      <c r="AL1903" s="20">
        <f t="shared" si="59"/>
        <v>-2.4101609596982598E-10</v>
      </c>
      <c r="AM1903" s="20">
        <f t="shared" si="59"/>
        <v>0</v>
      </c>
      <c r="AN1903" s="20">
        <f t="shared" si="59"/>
        <v>1.7962520360015333E-11</v>
      </c>
      <c r="AO1903" s="20">
        <f t="shared" si="59"/>
        <v>0</v>
      </c>
    </row>
    <row r="1904" spans="1:41" ht="14.25" x14ac:dyDescent="0.2">
      <c r="A1904" s="2">
        <v>190901</v>
      </c>
      <c r="B1904" s="3" t="s">
        <v>406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  <c r="AE1904" s="9"/>
      <c r="AF1904" s="9"/>
      <c r="AG1904" s="9"/>
      <c r="AH1904" s="9"/>
      <c r="AI1904" s="9"/>
      <c r="AJ1904" s="9"/>
      <c r="AK1904" s="9"/>
      <c r="AL1904" s="9"/>
      <c r="AM1904" s="9"/>
      <c r="AN1904" s="9"/>
      <c r="AO1904" s="9"/>
    </row>
    <row r="1905" spans="1:42" s="15" customFormat="1" ht="14.25" x14ac:dyDescent="0.2">
      <c r="A1905" s="18" t="s">
        <v>1526</v>
      </c>
      <c r="B1905" s="19" t="s">
        <v>1527</v>
      </c>
      <c r="C1905" s="20">
        <v>-88700.57</v>
      </c>
      <c r="D1905" s="20">
        <v>-91200.77</v>
      </c>
      <c r="E1905" s="20">
        <v>-74079.679999999993</v>
      </c>
      <c r="F1905" s="20">
        <v>-363600.25</v>
      </c>
      <c r="G1905" s="20">
        <v>-739024.42</v>
      </c>
      <c r="H1905" s="20">
        <v>-892346.14</v>
      </c>
      <c r="I1905" s="20">
        <v>-1053101.06</v>
      </c>
      <c r="J1905" s="20">
        <v>-1206342.3999999999</v>
      </c>
      <c r="K1905" s="20">
        <v>-1251493.8899999999</v>
      </c>
      <c r="L1905" s="20">
        <v>-1318189.57</v>
      </c>
      <c r="M1905" s="20">
        <v>-1340017.8899999999</v>
      </c>
      <c r="N1905" s="20">
        <v>-1307931.8799999999</v>
      </c>
      <c r="O1905" s="20">
        <v>0</v>
      </c>
      <c r="P1905" s="20">
        <v>0</v>
      </c>
      <c r="Q1905" s="20">
        <v>0</v>
      </c>
      <c r="R1905" s="20">
        <v>0</v>
      </c>
      <c r="S1905" s="20">
        <v>0</v>
      </c>
      <c r="T1905" s="20">
        <v>-122624.56</v>
      </c>
      <c r="U1905" s="20">
        <v>-297767.34000000003</v>
      </c>
      <c r="V1905" s="20">
        <v>-487414.57</v>
      </c>
      <c r="W1905" s="20">
        <v>-694948.42</v>
      </c>
      <c r="X1905" s="20">
        <v>-926407.38</v>
      </c>
      <c r="Y1905" s="20">
        <v>-1164552.95</v>
      </c>
      <c r="Z1905" s="20">
        <v>-1276844.58</v>
      </c>
      <c r="AA1905" s="20">
        <v>-1481296.83</v>
      </c>
      <c r="AB1905" s="20">
        <v>-1700140.23</v>
      </c>
      <c r="AC1905" s="20">
        <v>-2239423.83</v>
      </c>
      <c r="AD1905" s="20">
        <v>-2449213.0099999998</v>
      </c>
      <c r="AE1905" s="20">
        <v>-2977067.48</v>
      </c>
      <c r="AF1905" s="20">
        <v>-3339355.96</v>
      </c>
      <c r="AG1905" s="20">
        <v>-3798060.02</v>
      </c>
      <c r="AH1905" s="20">
        <v>-4159884.03</v>
      </c>
      <c r="AI1905" s="20">
        <v>-4506153.1100000003</v>
      </c>
      <c r="AJ1905" s="20">
        <v>-4878062.28</v>
      </c>
      <c r="AK1905" s="20">
        <v>-5067930.4400000004</v>
      </c>
      <c r="AL1905" s="20">
        <v>-5089915.79</v>
      </c>
      <c r="AM1905" s="20">
        <v>0</v>
      </c>
      <c r="AN1905" s="20">
        <v>-258932.13</v>
      </c>
      <c r="AO1905" s="20">
        <v>0</v>
      </c>
    </row>
    <row r="1906" spans="1:42" s="15" customFormat="1" ht="14.25" x14ac:dyDescent="0.2">
      <c r="A1906" s="18" t="s">
        <v>1528</v>
      </c>
      <c r="B1906" s="19" t="s">
        <v>1529</v>
      </c>
      <c r="C1906" s="20">
        <v>35439.26</v>
      </c>
      <c r="D1906" s="20">
        <v>118725.92</v>
      </c>
      <c r="E1906" s="20">
        <v>208310.54</v>
      </c>
      <c r="F1906" s="20">
        <v>309115.39</v>
      </c>
      <c r="G1906" s="20">
        <v>445951.09</v>
      </c>
      <c r="H1906" s="20">
        <v>516915.91</v>
      </c>
      <c r="I1906" s="20">
        <v>651097.01</v>
      </c>
      <c r="J1906" s="20">
        <v>738066.03</v>
      </c>
      <c r="K1906" s="20">
        <v>813490.8</v>
      </c>
      <c r="L1906" s="20">
        <v>837602.6</v>
      </c>
      <c r="M1906" s="20">
        <v>797694.9</v>
      </c>
      <c r="N1906" s="20">
        <v>883789.8</v>
      </c>
      <c r="O1906" s="20">
        <v>0</v>
      </c>
      <c r="P1906" s="20">
        <v>0</v>
      </c>
      <c r="Q1906" s="20">
        <v>0</v>
      </c>
      <c r="R1906" s="20">
        <v>0</v>
      </c>
      <c r="S1906" s="20">
        <v>0</v>
      </c>
      <c r="T1906" s="20">
        <v>84490.13</v>
      </c>
      <c r="U1906" s="20">
        <v>182794.06</v>
      </c>
      <c r="V1906" s="20">
        <v>286247.96999999997</v>
      </c>
      <c r="W1906" s="20">
        <v>365584.02</v>
      </c>
      <c r="X1906" s="20">
        <v>436313.51</v>
      </c>
      <c r="Y1906" s="20">
        <v>468677.24</v>
      </c>
      <c r="Z1906" s="20">
        <v>660128.22</v>
      </c>
      <c r="AA1906" s="20">
        <v>717196.52</v>
      </c>
      <c r="AB1906" s="20">
        <v>917651.73</v>
      </c>
      <c r="AC1906" s="20">
        <v>1169635.74</v>
      </c>
      <c r="AD1906" s="20">
        <v>1274129.24</v>
      </c>
      <c r="AE1906" s="20">
        <v>1413739.89</v>
      </c>
      <c r="AF1906" s="20">
        <v>1560495.85</v>
      </c>
      <c r="AG1906" s="20">
        <v>1789153.31</v>
      </c>
      <c r="AH1906" s="20">
        <v>1940135.87</v>
      </c>
      <c r="AI1906" s="20">
        <v>2115552.9900000002</v>
      </c>
      <c r="AJ1906" s="20">
        <v>2306430.29</v>
      </c>
      <c r="AK1906" s="20">
        <v>2399257.5</v>
      </c>
      <c r="AL1906" s="20">
        <v>2449244.5699999998</v>
      </c>
      <c r="AM1906" s="20">
        <v>0</v>
      </c>
      <c r="AN1906" s="20">
        <v>137307.04</v>
      </c>
      <c r="AO1906" s="20">
        <v>0</v>
      </c>
    </row>
    <row r="1907" spans="1:42" s="15" customFormat="1" ht="14.25" x14ac:dyDescent="0.2">
      <c r="A1907" s="18" t="s">
        <v>1530</v>
      </c>
      <c r="B1907" s="19" t="s">
        <v>1531</v>
      </c>
      <c r="C1907" s="20">
        <v>69400.789999999994</v>
      </c>
      <c r="D1907" s="20">
        <v>24667.51</v>
      </c>
      <c r="E1907" s="20">
        <v>-70781.759999999995</v>
      </c>
      <c r="F1907" s="20">
        <v>25756.25</v>
      </c>
      <c r="G1907" s="20">
        <v>186882.47</v>
      </c>
      <c r="H1907" s="20">
        <v>181820.34</v>
      </c>
      <c r="I1907" s="20">
        <v>135160.71</v>
      </c>
      <c r="J1907" s="20">
        <v>126433.78</v>
      </c>
      <c r="K1907" s="20">
        <v>88259.87</v>
      </c>
      <c r="L1907" s="20">
        <v>83657.64</v>
      </c>
      <c r="M1907" s="20">
        <v>99539.74</v>
      </c>
      <c r="N1907" s="20">
        <v>-11001.07</v>
      </c>
      <c r="O1907" s="20">
        <v>0</v>
      </c>
      <c r="P1907" s="20">
        <v>0</v>
      </c>
      <c r="Q1907" s="20">
        <v>0</v>
      </c>
      <c r="R1907" s="20">
        <v>0</v>
      </c>
      <c r="S1907" s="20">
        <v>0</v>
      </c>
      <c r="T1907" s="20">
        <v>-291.77999999999997</v>
      </c>
      <c r="U1907" s="20">
        <v>6027.7</v>
      </c>
      <c r="V1907" s="20">
        <v>14422.41</v>
      </c>
      <c r="W1907" s="20">
        <v>36373.54</v>
      </c>
      <c r="X1907" s="20">
        <v>96563.82</v>
      </c>
      <c r="Y1907" s="20">
        <v>143001.01</v>
      </c>
      <c r="Z1907" s="20">
        <v>98611.73</v>
      </c>
      <c r="AA1907" s="20">
        <v>169858.66</v>
      </c>
      <c r="AB1907" s="20">
        <v>255926.3</v>
      </c>
      <c r="AC1907" s="20">
        <v>370379.25</v>
      </c>
      <c r="AD1907" s="20">
        <v>381099.75</v>
      </c>
      <c r="AE1907" s="20">
        <v>497852.21</v>
      </c>
      <c r="AF1907" s="20">
        <v>571051.73</v>
      </c>
      <c r="AG1907" s="20">
        <v>650810.4</v>
      </c>
      <c r="AH1907" s="20">
        <v>779181.29</v>
      </c>
      <c r="AI1907" s="20">
        <v>840238.83</v>
      </c>
      <c r="AJ1907" s="20">
        <v>920558.4</v>
      </c>
      <c r="AK1907" s="20">
        <v>952548.58</v>
      </c>
      <c r="AL1907" s="20">
        <v>893924.53</v>
      </c>
      <c r="AM1907" s="20">
        <v>0</v>
      </c>
      <c r="AN1907" s="20">
        <v>142481.45000000001</v>
      </c>
      <c r="AO1907" s="20">
        <v>0</v>
      </c>
    </row>
    <row r="1908" spans="1:42" s="15" customFormat="1" ht="14.25" x14ac:dyDescent="0.2">
      <c r="A1908" s="18" t="s">
        <v>1532</v>
      </c>
      <c r="B1908" s="19" t="s">
        <v>1533</v>
      </c>
      <c r="C1908" s="20">
        <v>-6418.31</v>
      </c>
      <c r="D1908" s="20">
        <v>1137.5</v>
      </c>
      <c r="E1908" s="20">
        <v>-9032.24</v>
      </c>
      <c r="F1908" s="20">
        <v>69712.179999999993</v>
      </c>
      <c r="G1908" s="20">
        <v>116329.88</v>
      </c>
      <c r="H1908" s="20">
        <v>168923.32</v>
      </c>
      <c r="I1908" s="20">
        <v>229844.06</v>
      </c>
      <c r="J1908" s="20">
        <v>272391.84000000003</v>
      </c>
      <c r="K1908" s="20">
        <v>249613.35</v>
      </c>
      <c r="L1908" s="20">
        <v>231222.74</v>
      </c>
      <c r="M1908" s="20">
        <v>212256.17</v>
      </c>
      <c r="N1908" s="20">
        <v>190206.05</v>
      </c>
      <c r="O1908" s="20">
        <v>0</v>
      </c>
      <c r="P1908" s="20">
        <v>0</v>
      </c>
      <c r="Q1908" s="20">
        <v>0</v>
      </c>
      <c r="R1908" s="20">
        <v>0</v>
      </c>
      <c r="S1908" s="20">
        <v>0</v>
      </c>
      <c r="T1908" s="20">
        <v>-26620.92</v>
      </c>
      <c r="U1908" s="20">
        <v>-32703.54</v>
      </c>
      <c r="V1908" s="20">
        <v>-31559.88</v>
      </c>
      <c r="W1908" s="20">
        <v>-39178.080000000002</v>
      </c>
      <c r="X1908" s="20">
        <v>-23113.83</v>
      </c>
      <c r="Y1908" s="20">
        <v>74445.570000000007</v>
      </c>
      <c r="Z1908" s="20">
        <v>113680.25</v>
      </c>
      <c r="AA1908" s="20">
        <v>132705.63</v>
      </c>
      <c r="AB1908" s="20">
        <v>143133.56</v>
      </c>
      <c r="AC1908" s="20">
        <v>213509.77</v>
      </c>
      <c r="AD1908" s="20">
        <v>251019.24</v>
      </c>
      <c r="AE1908" s="20">
        <v>334461.65000000002</v>
      </c>
      <c r="AF1908" s="20">
        <v>375340.38</v>
      </c>
      <c r="AG1908" s="20">
        <v>441266.46</v>
      </c>
      <c r="AH1908" s="20">
        <v>432940.99</v>
      </c>
      <c r="AI1908" s="20">
        <v>482494.93</v>
      </c>
      <c r="AJ1908" s="20">
        <v>512839.58</v>
      </c>
      <c r="AK1908" s="20">
        <v>523646.25</v>
      </c>
      <c r="AL1908" s="20">
        <v>512168.85</v>
      </c>
      <c r="AM1908" s="20">
        <v>0</v>
      </c>
      <c r="AN1908" s="20">
        <v>-87581.08</v>
      </c>
      <c r="AO1908" s="20">
        <v>0</v>
      </c>
    </row>
    <row r="1909" spans="1:42" s="15" customFormat="1" ht="14.25" x14ac:dyDescent="0.2">
      <c r="A1909" s="18" t="s">
        <v>1534</v>
      </c>
      <c r="B1909" s="19" t="s">
        <v>1535</v>
      </c>
      <c r="C1909" s="20">
        <v>23151.52</v>
      </c>
      <c r="D1909" s="20">
        <v>14629.35</v>
      </c>
      <c r="E1909" s="20">
        <v>58898.46</v>
      </c>
      <c r="F1909" s="20">
        <v>112560.4</v>
      </c>
      <c r="G1909" s="20">
        <v>161345.57999999999</v>
      </c>
      <c r="H1909" s="20">
        <v>225990.77</v>
      </c>
      <c r="I1909" s="20">
        <v>267376.53999999998</v>
      </c>
      <c r="J1909" s="20">
        <v>325463.33</v>
      </c>
      <c r="K1909" s="20">
        <v>387720.44</v>
      </c>
      <c r="L1909" s="20">
        <v>459833.96</v>
      </c>
      <c r="M1909" s="20">
        <v>541094.56999999995</v>
      </c>
      <c r="N1909" s="20">
        <v>567911.31999999995</v>
      </c>
      <c r="O1909" s="20">
        <v>0</v>
      </c>
      <c r="P1909" s="20">
        <v>0</v>
      </c>
      <c r="Q1909" s="20">
        <v>0</v>
      </c>
      <c r="R1909" s="20">
        <v>0</v>
      </c>
      <c r="S1909" s="20">
        <v>0</v>
      </c>
      <c r="T1909" s="20">
        <v>84225.47</v>
      </c>
      <c r="U1909" s="20">
        <v>167007.73000000001</v>
      </c>
      <c r="V1909" s="20">
        <v>245374.75</v>
      </c>
      <c r="W1909" s="20">
        <v>366863.25</v>
      </c>
      <c r="X1909" s="20">
        <v>444214.6</v>
      </c>
      <c r="Y1909" s="20">
        <v>508166.91</v>
      </c>
      <c r="Z1909" s="20">
        <v>412041.38</v>
      </c>
      <c r="AA1909" s="20">
        <v>468102.63</v>
      </c>
      <c r="AB1909" s="20">
        <v>464738</v>
      </c>
      <c r="AC1909" s="20">
        <v>595371.99</v>
      </c>
      <c r="AD1909" s="20">
        <v>649714.38</v>
      </c>
      <c r="AE1909" s="20">
        <v>812171.48</v>
      </c>
      <c r="AF1909" s="20">
        <v>915812.22</v>
      </c>
      <c r="AG1909" s="20">
        <v>1015075.04</v>
      </c>
      <c r="AH1909" s="20">
        <v>1152905.27</v>
      </c>
      <c r="AI1909" s="20">
        <v>1256260.68</v>
      </c>
      <c r="AJ1909" s="20">
        <v>1344804.65</v>
      </c>
      <c r="AK1909" s="20">
        <v>1403371.54</v>
      </c>
      <c r="AL1909" s="20">
        <v>1491809.58</v>
      </c>
      <c r="AM1909" s="20">
        <v>0</v>
      </c>
      <c r="AN1909" s="20">
        <v>74597.13</v>
      </c>
      <c r="AO1909" s="20">
        <v>0</v>
      </c>
    </row>
    <row r="1910" spans="1:42" s="15" customFormat="1" ht="14.25" x14ac:dyDescent="0.2">
      <c r="A1910" s="18" t="s">
        <v>1536</v>
      </c>
      <c r="B1910" s="19" t="s">
        <v>1537</v>
      </c>
      <c r="C1910" s="20">
        <v>3088</v>
      </c>
      <c r="D1910" s="20">
        <v>-1609</v>
      </c>
      <c r="E1910" s="20">
        <v>-16904</v>
      </c>
      <c r="F1910" s="20">
        <v>-34329</v>
      </c>
      <c r="G1910" s="20">
        <v>-61407</v>
      </c>
      <c r="H1910" s="20">
        <v>-78132</v>
      </c>
      <c r="I1910" s="20">
        <v>-98264.5</v>
      </c>
      <c r="J1910" s="20">
        <v>-121543.5</v>
      </c>
      <c r="K1910" s="20">
        <v>-137406.5</v>
      </c>
      <c r="L1910" s="20">
        <v>-152777.5</v>
      </c>
      <c r="M1910" s="20">
        <v>-173366.5</v>
      </c>
      <c r="N1910" s="20">
        <v>-188307.5</v>
      </c>
      <c r="O1910" s="20">
        <v>0</v>
      </c>
      <c r="P1910" s="20">
        <v>0</v>
      </c>
      <c r="Q1910" s="20">
        <v>0</v>
      </c>
      <c r="R1910" s="20">
        <v>0</v>
      </c>
      <c r="S1910" s="20">
        <v>0</v>
      </c>
      <c r="T1910" s="20">
        <v>-15442</v>
      </c>
      <c r="U1910" s="20">
        <v>-28022</v>
      </c>
      <c r="V1910" s="20">
        <v>-37143</v>
      </c>
      <c r="W1910" s="20">
        <v>-47504</v>
      </c>
      <c r="X1910" s="20">
        <v>-55817</v>
      </c>
      <c r="Y1910" s="20">
        <v>-67689</v>
      </c>
      <c r="Z1910" s="20">
        <v>-77094</v>
      </c>
      <c r="AA1910" s="20">
        <v>-85476</v>
      </c>
      <c r="AB1910" s="20">
        <v>-95012</v>
      </c>
      <c r="AC1910" s="20">
        <v>-106640.4</v>
      </c>
      <c r="AD1910" s="20">
        <v>-115791.4</v>
      </c>
      <c r="AE1910" s="20">
        <v>-126681.4</v>
      </c>
      <c r="AF1910" s="20">
        <v>-132828.4</v>
      </c>
      <c r="AG1910" s="20">
        <v>-143543.4</v>
      </c>
      <c r="AH1910" s="20">
        <v>-145338.4</v>
      </c>
      <c r="AI1910" s="20">
        <v>-157257.4</v>
      </c>
      <c r="AJ1910" s="20">
        <v>-164493.5</v>
      </c>
      <c r="AK1910" s="20">
        <v>-172749.5</v>
      </c>
      <c r="AL1910" s="20">
        <v>-181387.5</v>
      </c>
      <c r="AM1910" s="20">
        <v>0</v>
      </c>
      <c r="AN1910" s="20">
        <v>-8456</v>
      </c>
      <c r="AO1910" s="20">
        <v>0</v>
      </c>
    </row>
    <row r="1911" spans="1:42" s="15" customFormat="1" ht="14.25" x14ac:dyDescent="0.2">
      <c r="A1911" s="18" t="s">
        <v>1538</v>
      </c>
      <c r="B1911" s="19" t="s">
        <v>1539</v>
      </c>
      <c r="C1911" s="20">
        <v>-12972.97</v>
      </c>
      <c r="D1911" s="20">
        <v>-10990.49</v>
      </c>
      <c r="E1911" s="20">
        <v>-18125.099999999999</v>
      </c>
      <c r="F1911" s="20">
        <v>-20239.490000000002</v>
      </c>
      <c r="G1911" s="20">
        <v>-22123.3</v>
      </c>
      <c r="H1911" s="20">
        <v>-30821.87</v>
      </c>
      <c r="I1911" s="20">
        <v>-29116.52</v>
      </c>
      <c r="J1911" s="20">
        <v>-15098.41</v>
      </c>
      <c r="K1911" s="20">
        <v>-31243.41</v>
      </c>
      <c r="L1911" s="20">
        <v>-24113.95</v>
      </c>
      <c r="M1911" s="20">
        <v>-16695.36</v>
      </c>
      <c r="N1911" s="20">
        <v>-8307.4599999999991</v>
      </c>
      <c r="O1911" s="20">
        <v>0</v>
      </c>
      <c r="P1911" s="20">
        <v>0</v>
      </c>
      <c r="Q1911" s="20">
        <v>0</v>
      </c>
      <c r="R1911" s="20">
        <v>0</v>
      </c>
      <c r="S1911" s="20">
        <v>0</v>
      </c>
      <c r="T1911" s="20">
        <v>-5353.06</v>
      </c>
      <c r="U1911" s="20">
        <v>-2809.56</v>
      </c>
      <c r="V1911" s="20">
        <v>1842.35</v>
      </c>
      <c r="W1911" s="20">
        <v>4242.49</v>
      </c>
      <c r="X1911" s="20">
        <v>15251.01</v>
      </c>
      <c r="Y1911" s="20">
        <v>16367.81</v>
      </c>
      <c r="Z1911" s="20">
        <v>45293.72</v>
      </c>
      <c r="AA1911" s="20">
        <v>54996.51</v>
      </c>
      <c r="AB1911" s="20">
        <v>-8843.09</v>
      </c>
      <c r="AC1911" s="20">
        <v>-19084.810000000001</v>
      </c>
      <c r="AD1911" s="20">
        <v>-3288.5</v>
      </c>
      <c r="AE1911" s="20">
        <v>34935.67</v>
      </c>
      <c r="AF1911" s="20">
        <v>42537.75</v>
      </c>
      <c r="AG1911" s="20">
        <v>38810.65</v>
      </c>
      <c r="AH1911" s="20">
        <v>-9483.17</v>
      </c>
      <c r="AI1911" s="20">
        <v>-40131.61</v>
      </c>
      <c r="AJ1911" s="20">
        <v>-52834.83</v>
      </c>
      <c r="AK1911" s="20">
        <v>-48693.22</v>
      </c>
      <c r="AL1911" s="20">
        <v>-80846.28</v>
      </c>
      <c r="AM1911" s="20">
        <v>0</v>
      </c>
      <c r="AN1911" s="20">
        <v>1300.08</v>
      </c>
      <c r="AO1911" s="20">
        <v>0</v>
      </c>
    </row>
    <row r="1912" spans="1:42" s="15" customFormat="1" ht="14.25" x14ac:dyDescent="0.2">
      <c r="A1912" s="18" t="s">
        <v>1540</v>
      </c>
      <c r="B1912" s="19" t="s">
        <v>1541</v>
      </c>
      <c r="C1912" s="20">
        <v>-1620.19</v>
      </c>
      <c r="D1912" s="20">
        <v>198.04</v>
      </c>
      <c r="E1912" s="20">
        <v>-5979.05</v>
      </c>
      <c r="F1912" s="20">
        <v>-23893.18</v>
      </c>
      <c r="G1912" s="20">
        <v>-23177.18</v>
      </c>
      <c r="H1912" s="20">
        <v>-27959.68</v>
      </c>
      <c r="I1912" s="20">
        <v>-27729.57</v>
      </c>
      <c r="J1912" s="20">
        <v>-30655.5</v>
      </c>
      <c r="K1912" s="20">
        <v>-39470.839999999997</v>
      </c>
      <c r="L1912" s="20">
        <v>-37426.1</v>
      </c>
      <c r="M1912" s="20">
        <v>-32816.54</v>
      </c>
      <c r="N1912" s="20">
        <v>-36209.56</v>
      </c>
      <c r="O1912" s="20">
        <v>0</v>
      </c>
      <c r="P1912" s="20">
        <v>0</v>
      </c>
      <c r="Q1912" s="20">
        <v>0</v>
      </c>
      <c r="R1912" s="20">
        <v>0</v>
      </c>
      <c r="S1912" s="20">
        <v>0</v>
      </c>
      <c r="T1912" s="20">
        <v>1616.72</v>
      </c>
      <c r="U1912" s="20">
        <v>5472.95</v>
      </c>
      <c r="V1912" s="20">
        <v>8229.9699999999993</v>
      </c>
      <c r="W1912" s="20">
        <v>8567.2000000000007</v>
      </c>
      <c r="X1912" s="20">
        <v>12995.27</v>
      </c>
      <c r="Y1912" s="20">
        <v>21583.41</v>
      </c>
      <c r="Z1912" s="20">
        <v>24183.279999999999</v>
      </c>
      <c r="AA1912" s="20">
        <v>23912.880000000001</v>
      </c>
      <c r="AB1912" s="20">
        <v>22545.73</v>
      </c>
      <c r="AC1912" s="20">
        <v>16252.29</v>
      </c>
      <c r="AD1912" s="20">
        <v>12330.3</v>
      </c>
      <c r="AE1912" s="20">
        <v>10587.98</v>
      </c>
      <c r="AF1912" s="20">
        <v>6946.43</v>
      </c>
      <c r="AG1912" s="20">
        <v>6487.56</v>
      </c>
      <c r="AH1912" s="20">
        <v>9542.18</v>
      </c>
      <c r="AI1912" s="20">
        <v>8994.69</v>
      </c>
      <c r="AJ1912" s="20">
        <v>10757.69</v>
      </c>
      <c r="AK1912" s="20">
        <v>10549.29</v>
      </c>
      <c r="AL1912" s="20">
        <v>5002.04</v>
      </c>
      <c r="AM1912" s="20">
        <v>0</v>
      </c>
      <c r="AN1912" s="20">
        <v>-716.49</v>
      </c>
      <c r="AO1912" s="20">
        <v>0</v>
      </c>
    </row>
    <row r="1913" spans="1:42" s="15" customFormat="1" ht="14.25" x14ac:dyDescent="0.2">
      <c r="A1913" s="18" t="s">
        <v>1542</v>
      </c>
      <c r="B1913" s="19" t="s">
        <v>1543</v>
      </c>
      <c r="C1913" s="20">
        <v>-29278.44</v>
      </c>
      <c r="D1913" s="20">
        <v>-69246.86</v>
      </c>
      <c r="E1913" s="20">
        <v>-91738.78</v>
      </c>
      <c r="F1913" s="20">
        <v>-100312.42</v>
      </c>
      <c r="G1913" s="20">
        <v>-96167.34</v>
      </c>
      <c r="H1913" s="20">
        <v>-102314.04</v>
      </c>
      <c r="I1913" s="20">
        <v>-116645.24</v>
      </c>
      <c r="J1913" s="20">
        <v>-130093.74</v>
      </c>
      <c r="K1913" s="20">
        <v>-127075.88</v>
      </c>
      <c r="L1913" s="20">
        <v>-130979.38</v>
      </c>
      <c r="M1913" s="20">
        <v>-145248.88</v>
      </c>
      <c r="N1913" s="20">
        <v>-151898.88</v>
      </c>
      <c r="O1913" s="20">
        <v>0</v>
      </c>
      <c r="P1913" s="20">
        <v>0</v>
      </c>
      <c r="Q1913" s="20">
        <v>0</v>
      </c>
      <c r="R1913" s="20"/>
      <c r="S1913" s="20"/>
      <c r="T1913" s="20"/>
      <c r="U1913" s="20"/>
      <c r="V1913" s="20"/>
      <c r="W1913" s="20"/>
      <c r="X1913" s="20"/>
      <c r="Y1913" s="20"/>
      <c r="Z1913" s="20"/>
      <c r="AA1913" s="20"/>
      <c r="AB1913" s="20"/>
      <c r="AC1913" s="20"/>
      <c r="AD1913" s="20"/>
      <c r="AE1913" s="20"/>
      <c r="AF1913" s="20"/>
      <c r="AG1913" s="20"/>
      <c r="AH1913" s="20"/>
      <c r="AI1913" s="20"/>
      <c r="AJ1913" s="20"/>
      <c r="AK1913" s="20"/>
      <c r="AL1913" s="20"/>
      <c r="AM1913" s="20"/>
      <c r="AN1913" s="20"/>
      <c r="AO1913" s="20"/>
    </row>
    <row r="1914" spans="1:42" s="15" customFormat="1" ht="14.25" x14ac:dyDescent="0.2">
      <c r="A1914" s="18" t="s">
        <v>1544</v>
      </c>
      <c r="B1914" s="19" t="s">
        <v>1545</v>
      </c>
      <c r="C1914" s="20"/>
      <c r="D1914" s="20"/>
      <c r="E1914" s="20"/>
      <c r="F1914" s="20"/>
      <c r="G1914" s="20"/>
      <c r="H1914" s="20"/>
      <c r="I1914" s="20"/>
      <c r="J1914" s="20"/>
      <c r="K1914" s="20"/>
      <c r="L1914" s="20">
        <v>2050</v>
      </c>
      <c r="M1914" s="20">
        <v>2050</v>
      </c>
      <c r="N1914" s="20">
        <v>2050</v>
      </c>
      <c r="O1914" s="20">
        <v>0</v>
      </c>
      <c r="P1914" s="20"/>
      <c r="Q1914" s="20"/>
      <c r="R1914" s="20"/>
      <c r="S1914" s="20"/>
      <c r="T1914" s="20"/>
      <c r="U1914" s="20"/>
      <c r="V1914" s="20"/>
      <c r="W1914" s="20"/>
      <c r="X1914" s="20"/>
      <c r="Y1914" s="20"/>
      <c r="Z1914" s="20"/>
      <c r="AA1914" s="20"/>
      <c r="AB1914" s="20"/>
      <c r="AC1914" s="20"/>
      <c r="AD1914" s="20"/>
      <c r="AE1914" s="20"/>
      <c r="AF1914" s="20"/>
      <c r="AG1914" s="20"/>
      <c r="AH1914" s="20"/>
      <c r="AI1914" s="20"/>
      <c r="AJ1914" s="20"/>
      <c r="AK1914" s="20"/>
      <c r="AL1914" s="20"/>
      <c r="AM1914" s="20"/>
      <c r="AN1914" s="20"/>
      <c r="AO1914" s="20"/>
    </row>
    <row r="1915" spans="1:42" s="15" customFormat="1" ht="14.25" x14ac:dyDescent="0.2">
      <c r="A1915" s="18" t="s">
        <v>1546</v>
      </c>
      <c r="B1915" s="19" t="s">
        <v>1547</v>
      </c>
      <c r="C1915" s="20">
        <v>7910.91</v>
      </c>
      <c r="D1915" s="20">
        <v>13688.8</v>
      </c>
      <c r="E1915" s="20">
        <v>19431.61</v>
      </c>
      <c r="F1915" s="20">
        <v>25230.12</v>
      </c>
      <c r="G1915" s="20">
        <v>31390.22</v>
      </c>
      <c r="H1915" s="20">
        <v>37923.39</v>
      </c>
      <c r="I1915" s="20">
        <v>41378.57</v>
      </c>
      <c r="J1915" s="20">
        <v>41378.57</v>
      </c>
      <c r="K1915" s="20">
        <v>47606.06</v>
      </c>
      <c r="L1915" s="20">
        <v>49119.56</v>
      </c>
      <c r="M1915" s="20">
        <v>55509.79</v>
      </c>
      <c r="N1915" s="20">
        <v>59699.18</v>
      </c>
      <c r="O1915" s="20">
        <v>0</v>
      </c>
      <c r="P1915" s="20">
        <v>0</v>
      </c>
      <c r="Q1915" s="20">
        <v>0</v>
      </c>
      <c r="R1915" s="20"/>
      <c r="S1915" s="20"/>
      <c r="T1915" s="20"/>
      <c r="U1915" s="20"/>
      <c r="V1915" s="20"/>
      <c r="W1915" s="20"/>
      <c r="X1915" s="20"/>
      <c r="Y1915" s="20"/>
      <c r="Z1915" s="20"/>
      <c r="AA1915" s="20"/>
      <c r="AB1915" s="20"/>
      <c r="AC1915" s="20"/>
      <c r="AD1915" s="20"/>
      <c r="AE1915" s="20"/>
      <c r="AF1915" s="20"/>
      <c r="AG1915" s="20"/>
      <c r="AH1915" s="20"/>
      <c r="AI1915" s="20"/>
      <c r="AJ1915" s="20"/>
      <c r="AK1915" s="20"/>
      <c r="AL1915" s="20"/>
      <c r="AM1915" s="20"/>
      <c r="AN1915" s="20"/>
      <c r="AO1915" s="20"/>
    </row>
    <row r="1916" spans="1:42" ht="14.25" x14ac:dyDescent="0.2">
      <c r="A1916" s="2">
        <v>190902</v>
      </c>
      <c r="B1916" s="3" t="s">
        <v>407</v>
      </c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9"/>
      <c r="AL1916" s="9"/>
      <c r="AM1916" s="9"/>
      <c r="AN1916" s="9"/>
      <c r="AO1916" s="9"/>
    </row>
    <row r="1917" spans="1:42" ht="14.25" x14ac:dyDescent="0.2">
      <c r="A1917" s="28">
        <v>2</v>
      </c>
      <c r="B1917" s="29" t="s">
        <v>408</v>
      </c>
      <c r="C1917" s="30">
        <f>+C1918+C2075+C2208+C2269</f>
        <v>-70331419.389999986</v>
      </c>
      <c r="D1917" s="30">
        <f t="shared" ref="D1917:AO1917" si="60">+D1918+D2075+D2208+D2269</f>
        <v>-72189524.340000004</v>
      </c>
      <c r="E1917" s="30">
        <f t="shared" si="60"/>
        <v>-70203970.609999985</v>
      </c>
      <c r="F1917" s="30">
        <f t="shared" si="60"/>
        <v>-70865923.429999992</v>
      </c>
      <c r="G1917" s="30">
        <f t="shared" si="60"/>
        <v>-69905298.129999995</v>
      </c>
      <c r="H1917" s="30">
        <f t="shared" si="60"/>
        <v>-70399114.689999998</v>
      </c>
      <c r="I1917" s="30">
        <f t="shared" si="60"/>
        <v>-71931500.909999996</v>
      </c>
      <c r="J1917" s="30">
        <f t="shared" si="60"/>
        <v>-71000018.060000002</v>
      </c>
      <c r="K1917" s="30">
        <f t="shared" si="60"/>
        <v>-71202651.900000006</v>
      </c>
      <c r="L1917" s="30">
        <f t="shared" si="60"/>
        <v>-71975528.150000006</v>
      </c>
      <c r="M1917" s="30">
        <f t="shared" si="60"/>
        <v>-73173980.829999998</v>
      </c>
      <c r="N1917" s="30">
        <f t="shared" si="60"/>
        <v>-68754596.640000001</v>
      </c>
      <c r="O1917" s="30">
        <f t="shared" si="60"/>
        <v>-70368013.839999989</v>
      </c>
      <c r="P1917" s="30">
        <f t="shared" si="60"/>
        <v>-72368422.86999999</v>
      </c>
      <c r="Q1917" s="30">
        <f t="shared" si="60"/>
        <v>-73890101.840000004</v>
      </c>
      <c r="R1917" s="30">
        <f t="shared" si="60"/>
        <v>-73372151.889999986</v>
      </c>
      <c r="S1917" s="30">
        <f t="shared" si="60"/>
        <v>-73585697.310000002</v>
      </c>
      <c r="T1917" s="30">
        <f t="shared" si="60"/>
        <v>-75344647.219999999</v>
      </c>
      <c r="U1917" s="30">
        <f t="shared" si="60"/>
        <v>-75690088.360000014</v>
      </c>
      <c r="V1917" s="30">
        <f t="shared" si="60"/>
        <v>-77270773.700000003</v>
      </c>
      <c r="W1917" s="30">
        <f t="shared" si="60"/>
        <v>-78924772.060000002</v>
      </c>
      <c r="X1917" s="30">
        <f t="shared" si="60"/>
        <v>-79836598.86999999</v>
      </c>
      <c r="Y1917" s="30">
        <f t="shared" si="60"/>
        <v>-80214103.179999992</v>
      </c>
      <c r="Z1917" s="30">
        <f t="shared" si="60"/>
        <v>-80252720.709999993</v>
      </c>
      <c r="AA1917" s="30">
        <f t="shared" si="60"/>
        <v>-82633702.810000002</v>
      </c>
      <c r="AB1917" s="30">
        <f t="shared" si="60"/>
        <v>-84073406.390000001</v>
      </c>
      <c r="AC1917" s="30">
        <f t="shared" si="60"/>
        <v>-85883778.379999995</v>
      </c>
      <c r="AD1917" s="30">
        <f t="shared" si="60"/>
        <v>-86499865.299999997</v>
      </c>
      <c r="AE1917" s="30">
        <f t="shared" si="60"/>
        <v>-88499659.429999992</v>
      </c>
      <c r="AF1917" s="30">
        <f t="shared" si="60"/>
        <v>-89479230.299999982</v>
      </c>
      <c r="AG1917" s="30">
        <f t="shared" si="60"/>
        <v>-89146154.439999998</v>
      </c>
      <c r="AH1917" s="30">
        <f t="shared" si="60"/>
        <v>-90916684.370000005</v>
      </c>
      <c r="AI1917" s="30">
        <f t="shared" si="60"/>
        <v>-92737828.849999979</v>
      </c>
      <c r="AJ1917" s="30">
        <f t="shared" si="60"/>
        <v>-93444556.190000013</v>
      </c>
      <c r="AK1917" s="30">
        <f t="shared" si="60"/>
        <v>-94256264.510000005</v>
      </c>
      <c r="AL1917" s="30">
        <f t="shared" si="60"/>
        <v>-92672002.86999999</v>
      </c>
      <c r="AM1917" s="30">
        <f t="shared" si="60"/>
        <v>-94238032.459999993</v>
      </c>
      <c r="AN1917" s="30">
        <f t="shared" si="60"/>
        <v>-95576486.409999996</v>
      </c>
      <c r="AO1917" s="30">
        <f t="shared" si="60"/>
        <v>-98569523.539999992</v>
      </c>
      <c r="AP1917" s="23">
        <f>+AO1917+AO2334</f>
        <v>-139926800.57999998</v>
      </c>
    </row>
    <row r="1918" spans="1:42" ht="14.25" x14ac:dyDescent="0.2">
      <c r="A1918" s="2">
        <v>21</v>
      </c>
      <c r="B1918" s="3" t="s">
        <v>409</v>
      </c>
      <c r="C1918" s="20">
        <f>+C1952+C1959+C2000</f>
        <v>-57549512.929999992</v>
      </c>
      <c r="D1918" s="20">
        <f t="shared" ref="D1918:AO1918" si="61">+D1952+D1959+D2000</f>
        <v>-57838183.949999996</v>
      </c>
      <c r="E1918" s="20">
        <f t="shared" si="61"/>
        <v>-56159398.599999994</v>
      </c>
      <c r="F1918" s="20">
        <f t="shared" si="61"/>
        <v>-56178428.719999999</v>
      </c>
      <c r="G1918" s="20">
        <f t="shared" si="61"/>
        <v>-55225122.32</v>
      </c>
      <c r="H1918" s="20">
        <f t="shared" si="61"/>
        <v>-55603648.700000003</v>
      </c>
      <c r="I1918" s="20">
        <f t="shared" si="61"/>
        <v>-55352603.109999999</v>
      </c>
      <c r="J1918" s="20">
        <f t="shared" si="61"/>
        <v>-55168774.329999998</v>
      </c>
      <c r="K1918" s="20">
        <f t="shared" si="61"/>
        <v>-55442192.980000004</v>
      </c>
      <c r="L1918" s="20">
        <f t="shared" si="61"/>
        <v>-56181527.200000003</v>
      </c>
      <c r="M1918" s="20">
        <f t="shared" si="61"/>
        <v>-54553959.329999998</v>
      </c>
      <c r="N1918" s="20">
        <f t="shared" si="61"/>
        <v>-52808374.200000003</v>
      </c>
      <c r="O1918" s="20">
        <f t="shared" si="61"/>
        <v>-54240762.189999998</v>
      </c>
      <c r="P1918" s="20">
        <f t="shared" si="61"/>
        <v>-55162688.369999997</v>
      </c>
      <c r="Q1918" s="20">
        <f t="shared" si="61"/>
        <v>-55167555.869999997</v>
      </c>
      <c r="R1918" s="20">
        <f t="shared" si="61"/>
        <v>-56214050.849999994</v>
      </c>
      <c r="S1918" s="20">
        <f t="shared" si="61"/>
        <v>-56369441.009999998</v>
      </c>
      <c r="T1918" s="20">
        <f t="shared" si="61"/>
        <v>-56652244.54999999</v>
      </c>
      <c r="U1918" s="20">
        <f t="shared" si="61"/>
        <v>-57216642.160000011</v>
      </c>
      <c r="V1918" s="20">
        <f t="shared" si="61"/>
        <v>-58267237.270000003</v>
      </c>
      <c r="W1918" s="20">
        <f t="shared" si="61"/>
        <v>-60042375.109999999</v>
      </c>
      <c r="X1918" s="20">
        <f t="shared" si="61"/>
        <v>-60922362.519999988</v>
      </c>
      <c r="Y1918" s="20">
        <f t="shared" si="61"/>
        <v>-61350928.979999989</v>
      </c>
      <c r="Z1918" s="20">
        <f t="shared" si="61"/>
        <v>-61949831.86999999</v>
      </c>
      <c r="AA1918" s="20">
        <f t="shared" si="61"/>
        <v>-63933955.939999998</v>
      </c>
      <c r="AB1918" s="20">
        <f t="shared" si="61"/>
        <v>-65398232.669999987</v>
      </c>
      <c r="AC1918" s="20">
        <f t="shared" si="61"/>
        <v>-66328947.790000007</v>
      </c>
      <c r="AD1918" s="20">
        <f t="shared" si="61"/>
        <v>-66669743.439999998</v>
      </c>
      <c r="AE1918" s="20">
        <f t="shared" si="61"/>
        <v>-67688301.280000001</v>
      </c>
      <c r="AF1918" s="20">
        <f t="shared" si="61"/>
        <v>-67736697.00999999</v>
      </c>
      <c r="AG1918" s="20">
        <f t="shared" si="61"/>
        <v>-68544266.719999984</v>
      </c>
      <c r="AH1918" s="20">
        <f t="shared" si="61"/>
        <v>-69524208.099999994</v>
      </c>
      <c r="AI1918" s="20">
        <f t="shared" si="61"/>
        <v>-70672435.169999987</v>
      </c>
      <c r="AJ1918" s="20">
        <f t="shared" si="61"/>
        <v>-70979409.590000004</v>
      </c>
      <c r="AK1918" s="20">
        <f t="shared" si="61"/>
        <v>-71450324.950000003</v>
      </c>
      <c r="AL1918" s="20">
        <f t="shared" si="61"/>
        <v>-71972208.129999995</v>
      </c>
      <c r="AM1918" s="20">
        <f t="shared" si="61"/>
        <v>-73142121.959999993</v>
      </c>
      <c r="AN1918" s="20">
        <f t="shared" si="61"/>
        <v>-74716670.909999996</v>
      </c>
      <c r="AO1918" s="20">
        <f t="shared" si="61"/>
        <v>-77425722.049999997</v>
      </c>
    </row>
    <row r="1919" spans="1:42" x14ac:dyDescent="0.2">
      <c r="A1919" s="5">
        <v>2101</v>
      </c>
      <c r="B1919" s="6" t="s">
        <v>410</v>
      </c>
      <c r="C1919" s="12"/>
      <c r="D1919" s="12"/>
      <c r="E1919" s="12"/>
      <c r="F1919" s="12"/>
      <c r="G1919" s="12"/>
      <c r="H1919" s="12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2"/>
      <c r="AI1919" s="12"/>
      <c r="AJ1919" s="12"/>
      <c r="AK1919" s="12"/>
      <c r="AL1919" s="12"/>
      <c r="AM1919" s="12"/>
      <c r="AN1919" s="12"/>
      <c r="AO1919" s="12"/>
    </row>
    <row r="1920" spans="1:42" x14ac:dyDescent="0.2">
      <c r="A1920" s="5">
        <v>210101</v>
      </c>
      <c r="B1920" s="6" t="s">
        <v>411</v>
      </c>
      <c r="C1920" s="12"/>
      <c r="D1920" s="12"/>
      <c r="E1920" s="12"/>
      <c r="F1920" s="12"/>
      <c r="G1920" s="12"/>
      <c r="H1920" s="12"/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2"/>
      <c r="AI1920" s="12"/>
      <c r="AJ1920" s="12"/>
      <c r="AK1920" s="12"/>
      <c r="AL1920" s="12"/>
      <c r="AM1920" s="12"/>
      <c r="AN1920" s="12"/>
      <c r="AO1920" s="12"/>
    </row>
    <row r="1921" spans="1:41" x14ac:dyDescent="0.2">
      <c r="A1921" s="5">
        <v>210102</v>
      </c>
      <c r="B1921" s="6" t="s">
        <v>412</v>
      </c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  <c r="AM1921" s="12"/>
      <c r="AN1921" s="12"/>
      <c r="AO1921" s="12"/>
    </row>
    <row r="1922" spans="1:41" x14ac:dyDescent="0.2">
      <c r="A1922" s="5">
        <v>210103</v>
      </c>
      <c r="B1922" s="6" t="s">
        <v>413</v>
      </c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2"/>
      <c r="AI1922" s="12"/>
      <c r="AJ1922" s="12"/>
      <c r="AK1922" s="12"/>
      <c r="AL1922" s="12"/>
      <c r="AM1922" s="12"/>
      <c r="AN1922" s="12"/>
      <c r="AO1922" s="12"/>
    </row>
    <row r="1923" spans="1:41" x14ac:dyDescent="0.2">
      <c r="A1923" s="5">
        <v>210104</v>
      </c>
      <c r="B1923" s="6" t="s">
        <v>414</v>
      </c>
      <c r="C1923" s="12"/>
      <c r="D1923" s="12"/>
      <c r="E1923" s="12"/>
      <c r="F1923" s="12"/>
      <c r="G1923" s="12"/>
      <c r="H1923" s="12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12"/>
      <c r="AI1923" s="12"/>
      <c r="AJ1923" s="12"/>
      <c r="AK1923" s="12"/>
      <c r="AL1923" s="12"/>
      <c r="AM1923" s="12"/>
      <c r="AN1923" s="12"/>
      <c r="AO1923" s="12"/>
    </row>
    <row r="1924" spans="1:41" x14ac:dyDescent="0.2">
      <c r="A1924" s="5">
        <v>210105</v>
      </c>
      <c r="B1924" s="6" t="s">
        <v>415</v>
      </c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2"/>
      <c r="AI1924" s="12"/>
      <c r="AJ1924" s="12"/>
      <c r="AK1924" s="12"/>
      <c r="AL1924" s="12"/>
      <c r="AM1924" s="12"/>
      <c r="AN1924" s="12"/>
      <c r="AO1924" s="12"/>
    </row>
    <row r="1925" spans="1:41" x14ac:dyDescent="0.2">
      <c r="A1925" s="5">
        <v>210106</v>
      </c>
      <c r="B1925" s="6" t="s">
        <v>416</v>
      </c>
      <c r="C1925" s="12"/>
      <c r="D1925" s="12"/>
      <c r="E1925" s="12"/>
      <c r="F1925" s="12"/>
      <c r="G1925" s="12"/>
      <c r="H1925" s="12"/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  <c r="AG1925" s="12"/>
      <c r="AH1925" s="12"/>
      <c r="AI1925" s="12"/>
      <c r="AJ1925" s="12"/>
      <c r="AK1925" s="12"/>
      <c r="AL1925" s="12"/>
      <c r="AM1925" s="12"/>
      <c r="AN1925" s="12"/>
      <c r="AO1925" s="12"/>
    </row>
    <row r="1926" spans="1:41" x14ac:dyDescent="0.2">
      <c r="A1926" s="5">
        <v>210107</v>
      </c>
      <c r="B1926" s="6" t="s">
        <v>417</v>
      </c>
      <c r="C1926" s="12"/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12"/>
      <c r="AI1926" s="12"/>
      <c r="AJ1926" s="12"/>
      <c r="AK1926" s="12"/>
      <c r="AL1926" s="12"/>
      <c r="AM1926" s="12"/>
      <c r="AN1926" s="12"/>
      <c r="AO1926" s="12"/>
    </row>
    <row r="1927" spans="1:41" x14ac:dyDescent="0.2">
      <c r="A1927" s="5">
        <v>21010701</v>
      </c>
      <c r="B1927" s="6" t="s">
        <v>418</v>
      </c>
      <c r="C1927" s="12"/>
      <c r="D1927" s="12"/>
      <c r="E1927" s="12"/>
      <c r="F1927" s="12"/>
      <c r="G1927" s="12"/>
      <c r="H1927" s="12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2"/>
      <c r="AI1927" s="12"/>
      <c r="AJ1927" s="12"/>
      <c r="AK1927" s="12"/>
      <c r="AL1927" s="12"/>
      <c r="AM1927" s="12"/>
      <c r="AN1927" s="12"/>
      <c r="AO1927" s="12"/>
    </row>
    <row r="1928" spans="1:41" x14ac:dyDescent="0.2">
      <c r="A1928" s="5">
        <v>21010702</v>
      </c>
      <c r="B1928" s="6" t="s">
        <v>419</v>
      </c>
      <c r="C1928" s="12"/>
      <c r="D1928" s="12"/>
      <c r="E1928" s="12"/>
      <c r="F1928" s="12"/>
      <c r="G1928" s="12"/>
      <c r="H1928" s="12"/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  <c r="AG1928" s="12"/>
      <c r="AH1928" s="12"/>
      <c r="AI1928" s="12"/>
      <c r="AJ1928" s="12"/>
      <c r="AK1928" s="12"/>
      <c r="AL1928" s="12"/>
      <c r="AM1928" s="12"/>
      <c r="AN1928" s="12"/>
      <c r="AO1928" s="12"/>
    </row>
    <row r="1929" spans="1:41" x14ac:dyDescent="0.2">
      <c r="A1929" s="5">
        <v>210108</v>
      </c>
      <c r="B1929" s="6" t="s">
        <v>420</v>
      </c>
      <c r="C1929" s="12"/>
      <c r="D1929" s="12"/>
      <c r="E1929" s="12"/>
      <c r="F1929" s="12"/>
      <c r="G1929" s="12"/>
      <c r="H1929" s="12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2"/>
      <c r="AI1929" s="12"/>
      <c r="AJ1929" s="12"/>
      <c r="AK1929" s="12"/>
      <c r="AL1929" s="12"/>
      <c r="AM1929" s="12"/>
      <c r="AN1929" s="12"/>
      <c r="AO1929" s="12"/>
    </row>
    <row r="1930" spans="1:41" x14ac:dyDescent="0.2">
      <c r="A1930" s="5">
        <v>21010801</v>
      </c>
      <c r="B1930" s="6" t="s">
        <v>421</v>
      </c>
      <c r="C1930" s="12"/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12"/>
      <c r="AI1930" s="12"/>
      <c r="AJ1930" s="12"/>
      <c r="AK1930" s="12"/>
      <c r="AL1930" s="12"/>
      <c r="AM1930" s="12"/>
      <c r="AN1930" s="12"/>
      <c r="AO1930" s="12"/>
    </row>
    <row r="1931" spans="1:41" x14ac:dyDescent="0.2">
      <c r="A1931" s="5">
        <v>21010802</v>
      </c>
      <c r="B1931" s="6" t="s">
        <v>422</v>
      </c>
      <c r="C1931" s="12"/>
      <c r="D1931" s="12"/>
      <c r="E1931" s="12"/>
      <c r="F1931" s="12"/>
      <c r="G1931" s="12"/>
      <c r="H1931" s="12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12"/>
      <c r="AI1931" s="12"/>
      <c r="AJ1931" s="12"/>
      <c r="AK1931" s="12"/>
      <c r="AL1931" s="12"/>
      <c r="AM1931" s="12"/>
      <c r="AN1931" s="12"/>
      <c r="AO1931" s="12"/>
    </row>
    <row r="1932" spans="1:41" x14ac:dyDescent="0.2">
      <c r="A1932" s="5">
        <v>210109</v>
      </c>
      <c r="B1932" s="6" t="s">
        <v>423</v>
      </c>
      <c r="C1932" s="12"/>
      <c r="D1932" s="12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  <c r="AG1932" s="12"/>
      <c r="AH1932" s="12"/>
      <c r="AI1932" s="12"/>
      <c r="AJ1932" s="12"/>
      <c r="AK1932" s="12"/>
      <c r="AL1932" s="12"/>
      <c r="AM1932" s="12"/>
      <c r="AN1932" s="12"/>
      <c r="AO1932" s="12"/>
    </row>
    <row r="1933" spans="1:41" x14ac:dyDescent="0.2">
      <c r="A1933" s="5">
        <v>21010901</v>
      </c>
      <c r="B1933" s="6" t="s">
        <v>424</v>
      </c>
      <c r="C1933" s="12"/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12"/>
      <c r="AL1933" s="12"/>
      <c r="AM1933" s="12"/>
      <c r="AN1933" s="12"/>
      <c r="AO1933" s="12"/>
    </row>
    <row r="1934" spans="1:41" x14ac:dyDescent="0.2">
      <c r="A1934" s="5">
        <v>21010902</v>
      </c>
      <c r="B1934" s="6" t="s">
        <v>425</v>
      </c>
      <c r="C1934" s="12"/>
      <c r="D1934" s="12"/>
      <c r="E1934" s="12"/>
      <c r="F1934" s="12"/>
      <c r="G1934" s="12"/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2"/>
      <c r="AB1934" s="12"/>
      <c r="AC1934" s="12"/>
      <c r="AD1934" s="12"/>
      <c r="AE1934" s="12"/>
      <c r="AF1934" s="12"/>
      <c r="AG1934" s="12"/>
      <c r="AH1934" s="12"/>
      <c r="AI1934" s="12"/>
      <c r="AJ1934" s="12"/>
      <c r="AK1934" s="12"/>
      <c r="AL1934" s="12"/>
      <c r="AM1934" s="12"/>
      <c r="AN1934" s="12"/>
      <c r="AO1934" s="12"/>
    </row>
    <row r="1935" spans="1:41" ht="25.5" x14ac:dyDescent="0.2">
      <c r="A1935" s="5">
        <v>2101090201</v>
      </c>
      <c r="B1935" s="4" t="s">
        <v>426</v>
      </c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1"/>
      <c r="AM1935" s="11"/>
      <c r="AN1935" s="11"/>
      <c r="AO1935" s="11"/>
    </row>
    <row r="1936" spans="1:41" x14ac:dyDescent="0.2">
      <c r="A1936" s="5">
        <v>2101090202</v>
      </c>
      <c r="B1936" s="6" t="s">
        <v>427</v>
      </c>
      <c r="C1936" s="12"/>
      <c r="D1936" s="12"/>
      <c r="E1936" s="12"/>
      <c r="F1936" s="12"/>
      <c r="G1936" s="12"/>
      <c r="H1936" s="12"/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  <c r="AG1936" s="12"/>
      <c r="AH1936" s="12"/>
      <c r="AI1936" s="12"/>
      <c r="AJ1936" s="12"/>
      <c r="AK1936" s="12"/>
      <c r="AL1936" s="12"/>
      <c r="AM1936" s="12"/>
      <c r="AN1936" s="12"/>
      <c r="AO1936" s="12"/>
    </row>
    <row r="1937" spans="1:41" x14ac:dyDescent="0.2">
      <c r="A1937" s="5">
        <v>21010909</v>
      </c>
      <c r="B1937" s="6" t="s">
        <v>428</v>
      </c>
      <c r="C1937" s="12"/>
      <c r="D1937" s="12"/>
      <c r="E1937" s="12"/>
      <c r="F1937" s="12"/>
      <c r="G1937" s="12"/>
      <c r="H1937" s="12"/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2"/>
      <c r="AI1937" s="12"/>
      <c r="AJ1937" s="12"/>
      <c r="AK1937" s="12"/>
      <c r="AL1937" s="12"/>
      <c r="AM1937" s="12"/>
      <c r="AN1937" s="12"/>
      <c r="AO1937" s="12"/>
    </row>
    <row r="1938" spans="1:41" x14ac:dyDescent="0.2">
      <c r="A1938" s="5">
        <v>2101090901</v>
      </c>
      <c r="B1938" s="6" t="s">
        <v>429</v>
      </c>
      <c r="C1938" s="12"/>
      <c r="D1938" s="12"/>
      <c r="E1938" s="12"/>
      <c r="F1938" s="12"/>
      <c r="G1938" s="12"/>
      <c r="H1938" s="12"/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  <c r="AG1938" s="12"/>
      <c r="AH1938" s="12"/>
      <c r="AI1938" s="12"/>
      <c r="AJ1938" s="12"/>
      <c r="AK1938" s="12"/>
      <c r="AL1938" s="12"/>
      <c r="AM1938" s="12"/>
      <c r="AN1938" s="12"/>
      <c r="AO1938" s="12"/>
    </row>
    <row r="1939" spans="1:41" x14ac:dyDescent="0.2">
      <c r="A1939" s="5">
        <v>2101090902</v>
      </c>
      <c r="B1939" s="6" t="s">
        <v>430</v>
      </c>
      <c r="C1939" s="12"/>
      <c r="D1939" s="12"/>
      <c r="E1939" s="12"/>
      <c r="F1939" s="12"/>
      <c r="G1939" s="12"/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12"/>
      <c r="AI1939" s="12"/>
      <c r="AJ1939" s="12"/>
      <c r="AK1939" s="12"/>
      <c r="AL1939" s="12"/>
      <c r="AM1939" s="12"/>
      <c r="AN1939" s="12"/>
      <c r="AO1939" s="12"/>
    </row>
    <row r="1940" spans="1:41" x14ac:dyDescent="0.2">
      <c r="A1940" s="5">
        <v>210110</v>
      </c>
      <c r="B1940" s="6" t="s">
        <v>431</v>
      </c>
      <c r="C1940" s="12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12"/>
      <c r="AL1940" s="12"/>
      <c r="AM1940" s="12"/>
      <c r="AN1940" s="12"/>
      <c r="AO1940" s="12"/>
    </row>
    <row r="1941" spans="1:41" x14ac:dyDescent="0.2">
      <c r="A1941" s="5">
        <v>210111</v>
      </c>
      <c r="B1941" s="6" t="s">
        <v>432</v>
      </c>
      <c r="C1941" s="12"/>
      <c r="D1941" s="12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12"/>
      <c r="AI1941" s="12"/>
      <c r="AJ1941" s="12"/>
      <c r="AK1941" s="12"/>
      <c r="AL1941" s="12"/>
      <c r="AM1941" s="12"/>
      <c r="AN1941" s="12"/>
      <c r="AO1941" s="12"/>
    </row>
    <row r="1942" spans="1:41" x14ac:dyDescent="0.2">
      <c r="A1942" s="5">
        <v>210112</v>
      </c>
      <c r="B1942" s="6" t="s">
        <v>433</v>
      </c>
      <c r="C1942" s="12"/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  <c r="AG1942" s="12"/>
      <c r="AH1942" s="12"/>
      <c r="AI1942" s="12"/>
      <c r="AJ1942" s="12"/>
      <c r="AK1942" s="12"/>
      <c r="AL1942" s="12"/>
      <c r="AM1942" s="12"/>
      <c r="AN1942" s="12"/>
      <c r="AO1942" s="12"/>
    </row>
    <row r="1943" spans="1:41" x14ac:dyDescent="0.2">
      <c r="A1943" s="5">
        <v>21011201</v>
      </c>
      <c r="B1943" s="6" t="s">
        <v>434</v>
      </c>
      <c r="C1943" s="12"/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12"/>
      <c r="AL1943" s="12"/>
      <c r="AM1943" s="12"/>
      <c r="AN1943" s="12"/>
      <c r="AO1943" s="12"/>
    </row>
    <row r="1944" spans="1:41" x14ac:dyDescent="0.2">
      <c r="A1944" s="5">
        <v>21011202</v>
      </c>
      <c r="B1944" s="6" t="s">
        <v>430</v>
      </c>
      <c r="C1944" s="12"/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  <c r="AM1944" s="12"/>
      <c r="AN1944" s="12"/>
      <c r="AO1944" s="12"/>
    </row>
    <row r="1945" spans="1:41" x14ac:dyDescent="0.2">
      <c r="A1945" s="5">
        <v>210113</v>
      </c>
      <c r="B1945" s="6" t="s">
        <v>435</v>
      </c>
      <c r="C1945" s="12"/>
      <c r="D1945" s="12"/>
      <c r="E1945" s="12"/>
      <c r="F1945" s="12"/>
      <c r="G1945" s="12"/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12"/>
      <c r="AI1945" s="12"/>
      <c r="AJ1945" s="12"/>
      <c r="AK1945" s="12"/>
      <c r="AL1945" s="12"/>
      <c r="AM1945" s="12"/>
      <c r="AN1945" s="12"/>
      <c r="AO1945" s="12"/>
    </row>
    <row r="1946" spans="1:41" x14ac:dyDescent="0.2">
      <c r="A1946" s="5">
        <v>21011301</v>
      </c>
      <c r="B1946" s="6" t="s">
        <v>434</v>
      </c>
      <c r="C1946" s="12"/>
      <c r="D1946" s="12"/>
      <c r="E1946" s="12"/>
      <c r="F1946" s="12"/>
      <c r="G1946" s="12"/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  <c r="AG1946" s="12"/>
      <c r="AH1946" s="12"/>
      <c r="AI1946" s="12"/>
      <c r="AJ1946" s="12"/>
      <c r="AK1946" s="12"/>
      <c r="AL1946" s="12"/>
      <c r="AM1946" s="12"/>
      <c r="AN1946" s="12"/>
      <c r="AO1946" s="12"/>
    </row>
    <row r="1947" spans="1:41" x14ac:dyDescent="0.2">
      <c r="A1947" s="5">
        <v>21011302</v>
      </c>
      <c r="B1947" s="6" t="s">
        <v>430</v>
      </c>
      <c r="C1947" s="12"/>
      <c r="D1947" s="12"/>
      <c r="E1947" s="12"/>
      <c r="F1947" s="12"/>
      <c r="G1947" s="12"/>
      <c r="H1947" s="12"/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12"/>
      <c r="AI1947" s="12"/>
      <c r="AJ1947" s="12"/>
      <c r="AK1947" s="12"/>
      <c r="AL1947" s="12"/>
      <c r="AM1947" s="12"/>
      <c r="AN1947" s="12"/>
      <c r="AO1947" s="12"/>
    </row>
    <row r="1948" spans="1:41" x14ac:dyDescent="0.2">
      <c r="A1948" s="5">
        <v>210114</v>
      </c>
      <c r="B1948" s="6" t="s">
        <v>436</v>
      </c>
      <c r="C1948" s="12"/>
      <c r="D1948" s="12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  <c r="AG1948" s="12"/>
      <c r="AH1948" s="12"/>
      <c r="AI1948" s="12"/>
      <c r="AJ1948" s="12"/>
      <c r="AK1948" s="12"/>
      <c r="AL1948" s="12"/>
      <c r="AM1948" s="12"/>
      <c r="AN1948" s="12"/>
      <c r="AO1948" s="12"/>
    </row>
    <row r="1949" spans="1:41" x14ac:dyDescent="0.2">
      <c r="A1949" s="5">
        <v>210115</v>
      </c>
      <c r="B1949" s="6" t="s">
        <v>437</v>
      </c>
      <c r="C1949" s="12"/>
      <c r="D1949" s="12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12"/>
      <c r="AL1949" s="12"/>
      <c r="AM1949" s="12"/>
      <c r="AN1949" s="12"/>
      <c r="AO1949" s="12"/>
    </row>
    <row r="1950" spans="1:41" x14ac:dyDescent="0.2">
      <c r="A1950" s="5">
        <v>210116</v>
      </c>
      <c r="B1950" s="6" t="s">
        <v>438</v>
      </c>
      <c r="C1950" s="12"/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2"/>
      <c r="AE1950" s="12"/>
      <c r="AF1950" s="12"/>
      <c r="AG1950" s="12"/>
      <c r="AH1950" s="12"/>
      <c r="AI1950" s="12"/>
      <c r="AJ1950" s="12"/>
      <c r="AK1950" s="12"/>
      <c r="AL1950" s="12"/>
      <c r="AM1950" s="12"/>
      <c r="AN1950" s="12"/>
      <c r="AO1950" s="12"/>
    </row>
    <row r="1951" spans="1:41" x14ac:dyDescent="0.2">
      <c r="A1951" s="5">
        <v>210119</v>
      </c>
      <c r="B1951" s="6" t="s">
        <v>439</v>
      </c>
      <c r="C1951" s="12"/>
      <c r="D1951" s="12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12"/>
      <c r="AI1951" s="12"/>
      <c r="AJ1951" s="12"/>
      <c r="AK1951" s="12"/>
      <c r="AL1951" s="12"/>
      <c r="AM1951" s="12"/>
      <c r="AN1951" s="12"/>
      <c r="AO1951" s="12"/>
    </row>
    <row r="1952" spans="1:41" ht="14.25" x14ac:dyDescent="0.2">
      <c r="A1952" s="2">
        <v>2102</v>
      </c>
      <c r="B1952" s="3" t="s">
        <v>440</v>
      </c>
      <c r="C1952" s="20">
        <f>+C1954+C1957</f>
        <v>-11855098.959999999</v>
      </c>
      <c r="D1952" s="20">
        <f t="shared" ref="D1952:AO1952" si="62">+D1954+D1957</f>
        <v>-12358467.75</v>
      </c>
      <c r="E1952" s="20">
        <f t="shared" si="62"/>
        <v>-12819549.51</v>
      </c>
      <c r="F1952" s="20">
        <f t="shared" si="62"/>
        <v>-13994008.26</v>
      </c>
      <c r="G1952" s="20">
        <f t="shared" si="62"/>
        <v>-13456435.930000002</v>
      </c>
      <c r="H1952" s="20">
        <f t="shared" si="62"/>
        <v>-13797852.6</v>
      </c>
      <c r="I1952" s="20">
        <f t="shared" si="62"/>
        <v>-13425262.640000001</v>
      </c>
      <c r="J1952" s="20">
        <f t="shared" si="62"/>
        <v>-12359344.969999999</v>
      </c>
      <c r="K1952" s="20">
        <f t="shared" si="62"/>
        <v>-12691626.460000001</v>
      </c>
      <c r="L1952" s="20">
        <f t="shared" si="62"/>
        <v>-12659623.23</v>
      </c>
      <c r="M1952" s="20">
        <f t="shared" si="62"/>
        <v>-11583099.949999999</v>
      </c>
      <c r="N1952" s="20">
        <f t="shared" si="62"/>
        <v>-8996389.4399999995</v>
      </c>
      <c r="O1952" s="20">
        <f t="shared" si="62"/>
        <v>-9273819.6600000001</v>
      </c>
      <c r="P1952" s="20">
        <f t="shared" si="62"/>
        <v>-9186684.2699999996</v>
      </c>
      <c r="Q1952" s="20">
        <f t="shared" si="62"/>
        <v>-9080806.6999999993</v>
      </c>
      <c r="R1952" s="20">
        <f t="shared" si="62"/>
        <v>-9089756.4399999995</v>
      </c>
      <c r="S1952" s="20">
        <f t="shared" si="62"/>
        <v>-9138817.6300000008</v>
      </c>
      <c r="T1952" s="20">
        <f t="shared" si="62"/>
        <v>-8941141.0700000003</v>
      </c>
      <c r="U1952" s="20">
        <f t="shared" si="62"/>
        <v>-8594779.3399999999</v>
      </c>
      <c r="V1952" s="20">
        <f t="shared" si="62"/>
        <v>-8424530.5500000007</v>
      </c>
      <c r="W1952" s="20">
        <f t="shared" si="62"/>
        <v>-8516447.25</v>
      </c>
      <c r="X1952" s="20">
        <f t="shared" si="62"/>
        <v>-8759472.0099999998</v>
      </c>
      <c r="Y1952" s="20">
        <f t="shared" si="62"/>
        <v>-8591487.5700000003</v>
      </c>
      <c r="Z1952" s="20">
        <f t="shared" si="62"/>
        <v>-8680213.3900000006</v>
      </c>
      <c r="AA1952" s="20">
        <f t="shared" si="62"/>
        <v>-8608862.3599999994</v>
      </c>
      <c r="AB1952" s="20">
        <f t="shared" si="62"/>
        <v>-8861691.0500000007</v>
      </c>
      <c r="AC1952" s="20">
        <f t="shared" si="62"/>
        <v>-9038122.9499999993</v>
      </c>
      <c r="AD1952" s="20">
        <f t="shared" si="62"/>
        <v>-9032755.6699999999</v>
      </c>
      <c r="AE1952" s="20">
        <f t="shared" si="62"/>
        <v>-9145037.3699999992</v>
      </c>
      <c r="AF1952" s="20">
        <f t="shared" si="62"/>
        <v>-9304097.8199999984</v>
      </c>
      <c r="AG1952" s="20">
        <f t="shared" si="62"/>
        <v>-9309795.5199999996</v>
      </c>
      <c r="AH1952" s="20">
        <f t="shared" si="62"/>
        <v>-9360501.129999999</v>
      </c>
      <c r="AI1952" s="20">
        <f t="shared" si="62"/>
        <v>-9575167.1799999997</v>
      </c>
      <c r="AJ1952" s="20">
        <f t="shared" si="62"/>
        <v>-9488384.870000001</v>
      </c>
      <c r="AK1952" s="20">
        <f t="shared" si="62"/>
        <v>-9603980.0099999998</v>
      </c>
      <c r="AL1952" s="20">
        <f t="shared" si="62"/>
        <v>-9642194.120000001</v>
      </c>
      <c r="AM1952" s="20">
        <f t="shared" si="62"/>
        <v>-10021813.75</v>
      </c>
      <c r="AN1952" s="20">
        <f t="shared" si="62"/>
        <v>-10554119</v>
      </c>
      <c r="AO1952" s="20">
        <f t="shared" si="62"/>
        <v>-10619274.189999999</v>
      </c>
    </row>
    <row r="1953" spans="1:41" ht="14.25" x14ac:dyDescent="0.2">
      <c r="A1953" s="2">
        <v>210201</v>
      </c>
      <c r="B1953" s="3" t="s">
        <v>441</v>
      </c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9"/>
      <c r="AI1953" s="9"/>
      <c r="AJ1953" s="9"/>
      <c r="AK1953" s="9"/>
      <c r="AL1953" s="9"/>
      <c r="AM1953" s="9"/>
      <c r="AN1953" s="9"/>
      <c r="AO1953" s="9"/>
    </row>
    <row r="1954" spans="1:41" s="15" customFormat="1" ht="14.25" x14ac:dyDescent="0.2">
      <c r="A1954" s="18" t="s">
        <v>1548</v>
      </c>
      <c r="B1954" s="19" t="s">
        <v>1549</v>
      </c>
      <c r="C1954" s="20">
        <v>-10880762.01</v>
      </c>
      <c r="D1954" s="20">
        <v>-11379808.109999999</v>
      </c>
      <c r="E1954" s="20">
        <v>-11880170.83</v>
      </c>
      <c r="F1954" s="20">
        <v>-13052911.449999999</v>
      </c>
      <c r="G1954" s="20">
        <v>-12515340.380000001</v>
      </c>
      <c r="H1954" s="20">
        <v>-12856758.82</v>
      </c>
      <c r="I1954" s="20">
        <v>-12484169.560000001</v>
      </c>
      <c r="J1954" s="20">
        <v>-11403815.609999999</v>
      </c>
      <c r="K1954" s="20">
        <v>-11737283.82</v>
      </c>
      <c r="L1954" s="20">
        <v>-11705279.300000001</v>
      </c>
      <c r="M1954" s="20">
        <v>-10628758.949999999</v>
      </c>
      <c r="N1954" s="20">
        <v>-8042049.5</v>
      </c>
      <c r="O1954" s="20">
        <v>-8319476.71</v>
      </c>
      <c r="P1954" s="20">
        <v>-8232342</v>
      </c>
      <c r="Q1954" s="20">
        <v>-8126466.21</v>
      </c>
      <c r="R1954" s="20">
        <v>-8135415.1200000001</v>
      </c>
      <c r="S1954" s="20">
        <v>-8184476.5700000003</v>
      </c>
      <c r="T1954" s="20">
        <v>-7986797.3399999999</v>
      </c>
      <c r="U1954" s="20">
        <v>-7640438.8799999999</v>
      </c>
      <c r="V1954" s="20">
        <v>-7470191.5</v>
      </c>
      <c r="W1954" s="20">
        <v>-8515769.6400000006</v>
      </c>
      <c r="X1954" s="20">
        <v>-8758792.1400000006</v>
      </c>
      <c r="Y1954" s="20">
        <v>-8590808.6899999995</v>
      </c>
      <c r="Z1954" s="20">
        <v>-8679533.6699999999</v>
      </c>
      <c r="AA1954" s="20">
        <v>-8608184.25</v>
      </c>
      <c r="AB1954" s="20">
        <v>-8861014.8900000006</v>
      </c>
      <c r="AC1954" s="20">
        <v>-9037443.5199999996</v>
      </c>
      <c r="AD1954" s="20">
        <v>-9032075.9900000002</v>
      </c>
      <c r="AE1954" s="20">
        <v>-9144360.5399999991</v>
      </c>
      <c r="AF1954" s="20">
        <v>-9303421.0299999993</v>
      </c>
      <c r="AG1954" s="20">
        <v>-9309118.7300000004</v>
      </c>
      <c r="AH1954" s="20">
        <v>-9359826.1099999994</v>
      </c>
      <c r="AI1954" s="20">
        <v>-9574493.0399999991</v>
      </c>
      <c r="AJ1954" s="20">
        <v>-9487714.2200000007</v>
      </c>
      <c r="AK1954" s="20">
        <v>-9603309.8300000001</v>
      </c>
      <c r="AL1954" s="20">
        <v>-9641523.9100000001</v>
      </c>
      <c r="AM1954" s="20">
        <v>-10021143.939999999</v>
      </c>
      <c r="AN1954" s="20">
        <v>-10553449.08</v>
      </c>
      <c r="AO1954" s="20">
        <v>-10618599.279999999</v>
      </c>
    </row>
    <row r="1955" spans="1:41" ht="14.25" x14ac:dyDescent="0.2">
      <c r="A1955" s="2">
        <v>21020102</v>
      </c>
      <c r="B1955" s="3" t="s">
        <v>443</v>
      </c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  <c r="AE1955" s="9"/>
      <c r="AF1955" s="9"/>
      <c r="AG1955" s="9"/>
      <c r="AH1955" s="9"/>
      <c r="AI1955" s="9"/>
      <c r="AJ1955" s="9"/>
      <c r="AK1955" s="9"/>
      <c r="AL1955" s="9"/>
      <c r="AM1955" s="9"/>
      <c r="AN1955" s="9"/>
      <c r="AO1955" s="9"/>
    </row>
    <row r="1956" spans="1:41" ht="14.25" x14ac:dyDescent="0.2">
      <c r="A1956" s="2">
        <v>210202</v>
      </c>
      <c r="B1956" s="3" t="s">
        <v>444</v>
      </c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  <c r="AH1956" s="9"/>
      <c r="AI1956" s="9"/>
      <c r="AJ1956" s="9"/>
      <c r="AK1956" s="9"/>
      <c r="AL1956" s="9"/>
      <c r="AM1956" s="9"/>
      <c r="AN1956" s="9"/>
      <c r="AO1956" s="9"/>
    </row>
    <row r="1957" spans="1:41" s="15" customFormat="1" ht="14.25" x14ac:dyDescent="0.2">
      <c r="A1957" s="18" t="s">
        <v>1550</v>
      </c>
      <c r="B1957" s="19" t="s">
        <v>1551</v>
      </c>
      <c r="C1957" s="20">
        <v>-974336.95</v>
      </c>
      <c r="D1957" s="20">
        <v>-978659.64</v>
      </c>
      <c r="E1957" s="20">
        <v>-939378.68</v>
      </c>
      <c r="F1957" s="20">
        <v>-941096.81</v>
      </c>
      <c r="G1957" s="20">
        <v>-941095.55</v>
      </c>
      <c r="H1957" s="20">
        <v>-941093.78</v>
      </c>
      <c r="I1957" s="20">
        <v>-941093.08</v>
      </c>
      <c r="J1957" s="20">
        <v>-955529.36</v>
      </c>
      <c r="K1957" s="20">
        <v>-954342.64</v>
      </c>
      <c r="L1957" s="20">
        <v>-954343.93</v>
      </c>
      <c r="M1957" s="20">
        <v>-954341</v>
      </c>
      <c r="N1957" s="20">
        <v>-954339.94</v>
      </c>
      <c r="O1957" s="20">
        <v>-954342.95</v>
      </c>
      <c r="P1957" s="20">
        <v>-954342.27</v>
      </c>
      <c r="Q1957" s="20">
        <v>-954340.49</v>
      </c>
      <c r="R1957" s="20">
        <v>-954341.32</v>
      </c>
      <c r="S1957" s="20">
        <v>-954341.06</v>
      </c>
      <c r="T1957" s="20">
        <v>-954343.73</v>
      </c>
      <c r="U1957" s="20">
        <v>-954340.46</v>
      </c>
      <c r="V1957" s="20">
        <v>-954339.05</v>
      </c>
      <c r="W1957" s="20">
        <v>-677.61</v>
      </c>
      <c r="X1957" s="20">
        <v>-679.87</v>
      </c>
      <c r="Y1957" s="20">
        <v>-678.88</v>
      </c>
      <c r="Z1957" s="20">
        <v>-679.72</v>
      </c>
      <c r="AA1957" s="20">
        <v>-678.11</v>
      </c>
      <c r="AB1957" s="20">
        <v>-676.16</v>
      </c>
      <c r="AC1957" s="20">
        <v>-679.43</v>
      </c>
      <c r="AD1957" s="20">
        <v>-679.68</v>
      </c>
      <c r="AE1957" s="20">
        <v>-676.83</v>
      </c>
      <c r="AF1957" s="20">
        <v>-676.79</v>
      </c>
      <c r="AG1957" s="20">
        <v>-676.79</v>
      </c>
      <c r="AH1957" s="20">
        <v>-675.02</v>
      </c>
      <c r="AI1957" s="20">
        <v>-674.14</v>
      </c>
      <c r="AJ1957" s="20">
        <v>-670.65</v>
      </c>
      <c r="AK1957" s="20">
        <v>-670.18</v>
      </c>
      <c r="AL1957" s="20">
        <v>-670.21</v>
      </c>
      <c r="AM1957" s="20">
        <v>-669.81</v>
      </c>
      <c r="AN1957" s="20">
        <v>-669.92</v>
      </c>
      <c r="AO1957" s="20">
        <v>-674.91</v>
      </c>
    </row>
    <row r="1958" spans="1:41" ht="14.25" x14ac:dyDescent="0.2">
      <c r="A1958" s="2">
        <v>21020202</v>
      </c>
      <c r="B1958" s="3" t="s">
        <v>443</v>
      </c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  <c r="AK1958" s="9"/>
      <c r="AL1958" s="9"/>
      <c r="AM1958" s="9"/>
      <c r="AN1958" s="9"/>
      <c r="AO1958" s="9"/>
    </row>
    <row r="1959" spans="1:41" ht="14.25" x14ac:dyDescent="0.2">
      <c r="A1959" s="2">
        <v>2103</v>
      </c>
      <c r="B1959" s="3" t="s">
        <v>445</v>
      </c>
      <c r="C1959" s="20">
        <f>+C1965+C1966+C1967+C1968+C1969</f>
        <v>-44593342.709999993</v>
      </c>
      <c r="D1959" s="20">
        <f t="shared" ref="D1959:AO1959" si="63">+D1965+D1966+D1967+D1968+D1969</f>
        <v>-44376876.129999995</v>
      </c>
      <c r="E1959" s="20">
        <f t="shared" si="63"/>
        <v>-42277898.799999997</v>
      </c>
      <c r="F1959" s="20">
        <f t="shared" si="63"/>
        <v>-41148626.490000002</v>
      </c>
      <c r="G1959" s="20">
        <f t="shared" si="63"/>
        <v>-40759306.480000004</v>
      </c>
      <c r="H1959" s="20">
        <f t="shared" si="63"/>
        <v>-40743889.43</v>
      </c>
      <c r="I1959" s="20">
        <f t="shared" si="63"/>
        <v>-40885939.549999997</v>
      </c>
      <c r="J1959" s="20">
        <f t="shared" si="63"/>
        <v>-41744988.920000002</v>
      </c>
      <c r="K1959" s="20">
        <f t="shared" si="63"/>
        <v>-41630227.5</v>
      </c>
      <c r="L1959" s="20">
        <f t="shared" si="63"/>
        <v>-42430342.109999999</v>
      </c>
      <c r="M1959" s="20">
        <f t="shared" si="63"/>
        <v>-41896590.469999999</v>
      </c>
      <c r="N1959" s="20">
        <f t="shared" si="63"/>
        <v>-42708190.520000003</v>
      </c>
      <c r="O1959" s="20">
        <f t="shared" si="63"/>
        <v>-43878027.420000002</v>
      </c>
      <c r="P1959" s="20">
        <f t="shared" si="63"/>
        <v>-44843572.530000001</v>
      </c>
      <c r="Q1959" s="20">
        <f t="shared" si="63"/>
        <v>-44888033.18</v>
      </c>
      <c r="R1959" s="20">
        <f t="shared" si="63"/>
        <v>-45834762.259999998</v>
      </c>
      <c r="S1959" s="20">
        <f t="shared" si="63"/>
        <v>-45830706.349999994</v>
      </c>
      <c r="T1959" s="20">
        <f t="shared" si="63"/>
        <v>-46185997.179999992</v>
      </c>
      <c r="U1959" s="20">
        <f t="shared" si="63"/>
        <v>-47136589.760000005</v>
      </c>
      <c r="V1959" s="20">
        <f t="shared" si="63"/>
        <v>-48241177.790000007</v>
      </c>
      <c r="W1959" s="20">
        <f t="shared" si="63"/>
        <v>-49900379.450000003</v>
      </c>
      <c r="X1959" s="20">
        <f t="shared" si="63"/>
        <v>-50492865.709999993</v>
      </c>
      <c r="Y1959" s="20">
        <f t="shared" si="63"/>
        <v>-50994599.039999992</v>
      </c>
      <c r="Z1959" s="20">
        <f t="shared" si="63"/>
        <v>-51486852.25999999</v>
      </c>
      <c r="AA1959" s="20">
        <f t="shared" si="63"/>
        <v>-53544670.049999997</v>
      </c>
      <c r="AB1959" s="20">
        <f t="shared" si="63"/>
        <v>-54749711.11999999</v>
      </c>
      <c r="AC1959" s="20">
        <f t="shared" si="63"/>
        <v>-55435226.140000001</v>
      </c>
      <c r="AD1959" s="20">
        <f t="shared" si="63"/>
        <v>-55629734.689999998</v>
      </c>
      <c r="AE1959" s="20">
        <f t="shared" si="63"/>
        <v>-56413240.670000002</v>
      </c>
      <c r="AF1959" s="20">
        <f t="shared" si="63"/>
        <v>-56187832.159999996</v>
      </c>
      <c r="AG1959" s="20">
        <f t="shared" si="63"/>
        <v>-56965429.289999992</v>
      </c>
      <c r="AH1959" s="20">
        <f t="shared" si="63"/>
        <v>-57839981.480000004</v>
      </c>
      <c r="AI1959" s="20">
        <f t="shared" si="63"/>
        <v>-58810266.489999995</v>
      </c>
      <c r="AJ1959" s="20">
        <f t="shared" si="63"/>
        <v>-59343552.420000002</v>
      </c>
      <c r="AK1959" s="20">
        <f t="shared" si="63"/>
        <v>-59675151.789999999</v>
      </c>
      <c r="AL1959" s="20">
        <f t="shared" si="63"/>
        <v>-60320847.439999998</v>
      </c>
      <c r="AM1959" s="20">
        <f t="shared" si="63"/>
        <v>-61172837.979999997</v>
      </c>
      <c r="AN1959" s="20">
        <f t="shared" si="63"/>
        <v>-62303578.200000003</v>
      </c>
      <c r="AO1959" s="20">
        <f t="shared" si="63"/>
        <v>-64947068.099999994</v>
      </c>
    </row>
    <row r="1960" spans="1:41" ht="14.25" x14ac:dyDescent="0.2">
      <c r="A1960" s="2">
        <v>210301</v>
      </c>
      <c r="B1960" s="3" t="s">
        <v>446</v>
      </c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9"/>
      <c r="AF1960" s="9"/>
      <c r="AG1960" s="9"/>
      <c r="AH1960" s="9"/>
      <c r="AI1960" s="9"/>
      <c r="AJ1960" s="9"/>
      <c r="AK1960" s="9"/>
      <c r="AL1960" s="9"/>
      <c r="AM1960" s="9"/>
      <c r="AN1960" s="9"/>
      <c r="AO1960" s="9"/>
    </row>
    <row r="1961" spans="1:41" ht="14.25" x14ac:dyDescent="0.2">
      <c r="A1961" s="2">
        <v>21030102</v>
      </c>
      <c r="B1961" s="3" t="s">
        <v>447</v>
      </c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  <c r="AE1961" s="9"/>
      <c r="AF1961" s="9"/>
      <c r="AG1961" s="9"/>
      <c r="AH1961" s="9"/>
      <c r="AI1961" s="9"/>
      <c r="AJ1961" s="9"/>
      <c r="AK1961" s="9"/>
      <c r="AL1961" s="9"/>
      <c r="AM1961" s="9"/>
      <c r="AN1961" s="9"/>
      <c r="AO1961" s="9"/>
    </row>
    <row r="1962" spans="1:41" ht="28.5" x14ac:dyDescent="0.2">
      <c r="A1962" s="2">
        <v>2103010201</v>
      </c>
      <c r="B1962" s="4" t="s">
        <v>448</v>
      </c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</row>
    <row r="1963" spans="1:41" ht="14.25" x14ac:dyDescent="0.2">
      <c r="A1963" s="2">
        <v>2103010202</v>
      </c>
      <c r="B1963" s="3" t="s">
        <v>449</v>
      </c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  <c r="AK1963" s="9"/>
      <c r="AL1963" s="9"/>
      <c r="AM1963" s="9"/>
      <c r="AN1963" s="9"/>
      <c r="AO1963" s="9"/>
    </row>
    <row r="1964" spans="1:41" ht="14.25" x14ac:dyDescent="0.2">
      <c r="A1964" s="2">
        <v>210303</v>
      </c>
      <c r="B1964" s="3" t="s">
        <v>450</v>
      </c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9"/>
      <c r="AL1964" s="9"/>
      <c r="AM1964" s="9"/>
      <c r="AN1964" s="9"/>
      <c r="AO1964" s="9"/>
    </row>
    <row r="1965" spans="1:41" s="15" customFormat="1" ht="14.25" x14ac:dyDescent="0.2">
      <c r="A1965" s="18" t="s">
        <v>1552</v>
      </c>
      <c r="B1965" s="19" t="s">
        <v>1553</v>
      </c>
      <c r="C1965" s="20"/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  <c r="N1965" s="20">
        <v>-35317.61</v>
      </c>
      <c r="O1965" s="20">
        <v>0</v>
      </c>
      <c r="P1965" s="20">
        <v>0</v>
      </c>
      <c r="Q1965" s="20">
        <v>0</v>
      </c>
      <c r="R1965" s="20"/>
      <c r="S1965" s="20"/>
      <c r="T1965" s="20"/>
      <c r="U1965" s="20"/>
      <c r="V1965" s="20"/>
      <c r="W1965" s="20"/>
      <c r="X1965" s="20"/>
      <c r="Y1965" s="20"/>
      <c r="Z1965" s="20"/>
      <c r="AA1965" s="20"/>
      <c r="AB1965" s="20"/>
      <c r="AC1965" s="20"/>
      <c r="AD1965" s="20"/>
      <c r="AE1965" s="20"/>
      <c r="AF1965" s="20"/>
      <c r="AG1965" s="20"/>
      <c r="AH1965" s="20"/>
      <c r="AI1965" s="20"/>
      <c r="AJ1965" s="20"/>
      <c r="AK1965" s="20"/>
      <c r="AL1965" s="20"/>
      <c r="AM1965" s="20"/>
      <c r="AN1965" s="20"/>
      <c r="AO1965" s="20"/>
    </row>
    <row r="1966" spans="1:41" s="15" customFormat="1" ht="14.25" x14ac:dyDescent="0.2">
      <c r="A1966" s="18" t="s">
        <v>1554</v>
      </c>
      <c r="B1966" s="19" t="s">
        <v>1555</v>
      </c>
      <c r="C1966" s="20">
        <v>-17296070.149999999</v>
      </c>
      <c r="D1966" s="20">
        <v>-17732705.219999999</v>
      </c>
      <c r="E1966" s="20">
        <v>-17252446.32</v>
      </c>
      <c r="F1966" s="20">
        <v>-17255127.170000002</v>
      </c>
      <c r="G1966" s="20">
        <v>-16883754.25</v>
      </c>
      <c r="H1966" s="20">
        <v>-16774253.529999999</v>
      </c>
      <c r="I1966" s="20">
        <v>-16658323.91</v>
      </c>
      <c r="J1966" s="20">
        <v>-17059124.59</v>
      </c>
      <c r="K1966" s="20">
        <v>-16473114.1</v>
      </c>
      <c r="L1966" s="20">
        <v>-15655401.300000001</v>
      </c>
      <c r="M1966" s="20">
        <v>-14680276.01</v>
      </c>
      <c r="N1966" s="20">
        <v>-14348574.970000001</v>
      </c>
      <c r="O1966" s="20">
        <v>-14326827.49</v>
      </c>
      <c r="P1966" s="20">
        <v>-14444304.84</v>
      </c>
      <c r="Q1966" s="20">
        <v>-14132876.59</v>
      </c>
      <c r="R1966" s="20">
        <v>-14526483.890000001</v>
      </c>
      <c r="S1966" s="20">
        <v>-14650257.720000001</v>
      </c>
      <c r="T1966" s="20">
        <v>-14758757.189999999</v>
      </c>
      <c r="U1966" s="20">
        <v>-15829853.34</v>
      </c>
      <c r="V1966" s="20">
        <v>-15524905.9</v>
      </c>
      <c r="W1966" s="20">
        <v>-14974957.84</v>
      </c>
      <c r="X1966" s="20">
        <v>-15072624.91</v>
      </c>
      <c r="Y1966" s="20">
        <v>-15777879.060000001</v>
      </c>
      <c r="Z1966" s="20">
        <v>-16487464.789999999</v>
      </c>
      <c r="AA1966" s="20">
        <v>-16876451.539999999</v>
      </c>
      <c r="AB1966" s="20">
        <v>-17150755.879999999</v>
      </c>
      <c r="AC1966" s="20">
        <v>-17222961.77</v>
      </c>
      <c r="AD1966" s="20">
        <v>-16971983.469999999</v>
      </c>
      <c r="AE1966" s="20">
        <v>-16867078.539999999</v>
      </c>
      <c r="AF1966" s="20">
        <v>-16850553.899999999</v>
      </c>
      <c r="AG1966" s="20">
        <v>-16724608.470000001</v>
      </c>
      <c r="AH1966" s="20">
        <v>-17830943.960000001</v>
      </c>
      <c r="AI1966" s="20">
        <v>-18178134.66</v>
      </c>
      <c r="AJ1966" s="20">
        <v>-18357424.059999999</v>
      </c>
      <c r="AK1966" s="20">
        <v>-18711173.440000001</v>
      </c>
      <c r="AL1966" s="20">
        <v>-18759199.199999999</v>
      </c>
      <c r="AM1966" s="20">
        <v>-19759662.73</v>
      </c>
      <c r="AN1966" s="20">
        <v>-20332660.699999999</v>
      </c>
      <c r="AO1966" s="20">
        <v>-21217880.620000001</v>
      </c>
    </row>
    <row r="1967" spans="1:41" s="15" customFormat="1" ht="14.25" x14ac:dyDescent="0.2">
      <c r="A1967" s="18" t="s">
        <v>1556</v>
      </c>
      <c r="B1967" s="19" t="s">
        <v>1557</v>
      </c>
      <c r="C1967" s="20">
        <v>-11800527.689999999</v>
      </c>
      <c r="D1967" s="20">
        <v>-11281828.5</v>
      </c>
      <c r="E1967" s="20">
        <v>-11407365.470000001</v>
      </c>
      <c r="F1967" s="20">
        <v>-11102213.4</v>
      </c>
      <c r="G1967" s="20">
        <v>-11273157.67</v>
      </c>
      <c r="H1967" s="20">
        <v>-11398851.720000001</v>
      </c>
      <c r="I1967" s="20">
        <v>-11598448.869999999</v>
      </c>
      <c r="J1967" s="20">
        <v>-11795994.9</v>
      </c>
      <c r="K1967" s="20">
        <v>-11418692.939999999</v>
      </c>
      <c r="L1967" s="20">
        <v>-10692040.140000001</v>
      </c>
      <c r="M1967" s="20">
        <v>-10577923.689999999</v>
      </c>
      <c r="N1967" s="20">
        <v>-9929318.1400000006</v>
      </c>
      <c r="O1967" s="20">
        <v>-10366783.18</v>
      </c>
      <c r="P1967" s="20">
        <v>-10487037.970000001</v>
      </c>
      <c r="Q1967" s="20">
        <v>-10260577.779999999</v>
      </c>
      <c r="R1967" s="20">
        <v>-10588690.49</v>
      </c>
      <c r="S1967" s="20">
        <v>-10594985.039999999</v>
      </c>
      <c r="T1967" s="20">
        <v>-10720931.640000001</v>
      </c>
      <c r="U1967" s="20">
        <v>-10422059.9</v>
      </c>
      <c r="V1967" s="20">
        <v>-10640761.949999999</v>
      </c>
      <c r="W1967" s="20">
        <v>-10689957.07</v>
      </c>
      <c r="X1967" s="20">
        <v>-10990054.949999999</v>
      </c>
      <c r="Y1967" s="20">
        <v>-11082144.58</v>
      </c>
      <c r="Z1967" s="20">
        <v>-11087497.699999999</v>
      </c>
      <c r="AA1967" s="20">
        <v>-11812690.800000001</v>
      </c>
      <c r="AB1967" s="20">
        <v>-12654769.810000001</v>
      </c>
      <c r="AC1967" s="20">
        <v>-12833313.33</v>
      </c>
      <c r="AD1967" s="20">
        <v>-13168607.58</v>
      </c>
      <c r="AE1967" s="20">
        <v>-13367528.109999999</v>
      </c>
      <c r="AF1967" s="20">
        <v>-13480637.32</v>
      </c>
      <c r="AG1967" s="20">
        <v>-14164100.99</v>
      </c>
      <c r="AH1967" s="20">
        <v>-13685612.85</v>
      </c>
      <c r="AI1967" s="20">
        <v>-14539779.779999999</v>
      </c>
      <c r="AJ1967" s="20">
        <v>-14492720.359999999</v>
      </c>
      <c r="AK1967" s="20">
        <v>-14829410.68</v>
      </c>
      <c r="AL1967" s="20">
        <v>-15173674.800000001</v>
      </c>
      <c r="AM1967" s="20">
        <v>-15173287.140000001</v>
      </c>
      <c r="AN1967" s="20">
        <v>-15725297.130000001</v>
      </c>
      <c r="AO1967" s="20">
        <v>-16243393.289999999</v>
      </c>
    </row>
    <row r="1968" spans="1:41" s="15" customFormat="1" ht="14.25" x14ac:dyDescent="0.2">
      <c r="A1968" s="18" t="s">
        <v>1558</v>
      </c>
      <c r="B1968" s="19" t="s">
        <v>1559</v>
      </c>
      <c r="C1968" s="20">
        <v>-15496744.869999999</v>
      </c>
      <c r="D1968" s="20">
        <v>-15362342.41</v>
      </c>
      <c r="E1968" s="20">
        <v>-13618087.01</v>
      </c>
      <c r="F1968" s="20">
        <v>-12791285.92</v>
      </c>
      <c r="G1968" s="20">
        <v>-12602394.560000001</v>
      </c>
      <c r="H1968" s="20">
        <v>-12570784.18</v>
      </c>
      <c r="I1968" s="20">
        <v>-12629166.77</v>
      </c>
      <c r="J1968" s="20">
        <v>-12889869.43</v>
      </c>
      <c r="K1968" s="20">
        <v>-13738420.460000001</v>
      </c>
      <c r="L1968" s="20">
        <v>-14947132.35</v>
      </c>
      <c r="M1968" s="20">
        <v>-15429515.050000001</v>
      </c>
      <c r="N1968" s="20">
        <v>-16004672.630000001</v>
      </c>
      <c r="O1968" s="20">
        <v>-16332223.609999999</v>
      </c>
      <c r="P1968" s="20">
        <v>-16742106.68</v>
      </c>
      <c r="Q1968" s="20">
        <v>-16981619.489999998</v>
      </c>
      <c r="R1968" s="20">
        <v>-17295991.829999998</v>
      </c>
      <c r="S1968" s="20">
        <v>-17161867.539999999</v>
      </c>
      <c r="T1968" s="20">
        <v>-17282712.300000001</v>
      </c>
      <c r="U1968" s="20">
        <v>-17072438.239999998</v>
      </c>
      <c r="V1968" s="20">
        <v>-17935708.850000001</v>
      </c>
      <c r="W1968" s="20">
        <v>-18750932.809999999</v>
      </c>
      <c r="X1968" s="20">
        <v>-18956715.579999998</v>
      </c>
      <c r="Y1968" s="20">
        <v>-18672105.129999999</v>
      </c>
      <c r="Z1968" s="20">
        <v>-18449419.5</v>
      </c>
      <c r="AA1968" s="20">
        <v>-19420057.440000001</v>
      </c>
      <c r="AB1968" s="20">
        <v>-19524765.16</v>
      </c>
      <c r="AC1968" s="20">
        <v>-19961530.77</v>
      </c>
      <c r="AD1968" s="20">
        <v>-20098723.370000001</v>
      </c>
      <c r="AE1968" s="20">
        <v>-20788213.75</v>
      </c>
      <c r="AF1968" s="20">
        <v>-20796220.670000002</v>
      </c>
      <c r="AG1968" s="20">
        <v>-21056299.559999999</v>
      </c>
      <c r="AH1968" s="20">
        <v>-21303004.399999999</v>
      </c>
      <c r="AI1968" s="20">
        <v>-21066299.210000001</v>
      </c>
      <c r="AJ1968" s="20">
        <v>-21207269.34</v>
      </c>
      <c r="AK1968" s="20">
        <v>-21145288.539999999</v>
      </c>
      <c r="AL1968" s="20">
        <v>-21466910.68</v>
      </c>
      <c r="AM1968" s="20">
        <v>-21304149.489999998</v>
      </c>
      <c r="AN1968" s="20">
        <v>-21312779.100000001</v>
      </c>
      <c r="AO1968" s="20">
        <v>-22482087.890000001</v>
      </c>
    </row>
    <row r="1969" spans="1:41" s="15" customFormat="1" ht="14.25" x14ac:dyDescent="0.2">
      <c r="A1969" s="18" t="s">
        <v>1560</v>
      </c>
      <c r="B1969" s="19" t="s">
        <v>1561</v>
      </c>
      <c r="C1969" s="20"/>
      <c r="D1969" s="20"/>
      <c r="E1969" s="20"/>
      <c r="F1969" s="20"/>
      <c r="G1969" s="20"/>
      <c r="H1969" s="20"/>
      <c r="I1969" s="20"/>
      <c r="J1969" s="20"/>
      <c r="K1969" s="20"/>
      <c r="L1969" s="20">
        <v>-1135768.32</v>
      </c>
      <c r="M1969" s="20">
        <v>-1208875.72</v>
      </c>
      <c r="N1969" s="20">
        <v>-2390307.17</v>
      </c>
      <c r="O1969" s="20">
        <v>-2852193.14</v>
      </c>
      <c r="P1969" s="20">
        <v>-3170123.04</v>
      </c>
      <c r="Q1969" s="20">
        <v>-3512959.32</v>
      </c>
      <c r="R1969" s="20">
        <v>-3423596.05</v>
      </c>
      <c r="S1969" s="20">
        <v>-3423596.05</v>
      </c>
      <c r="T1969" s="20">
        <v>-3423596.05</v>
      </c>
      <c r="U1969" s="20">
        <v>-3812238.28</v>
      </c>
      <c r="V1969" s="20">
        <v>-4139801.09</v>
      </c>
      <c r="W1969" s="20">
        <v>-5484531.7300000004</v>
      </c>
      <c r="X1969" s="20">
        <v>-5473470.2699999996</v>
      </c>
      <c r="Y1969" s="20">
        <v>-5462470.2699999996</v>
      </c>
      <c r="Z1969" s="20">
        <v>-5462470.2699999996</v>
      </c>
      <c r="AA1969" s="20">
        <v>-5435470.2699999996</v>
      </c>
      <c r="AB1969" s="20">
        <v>-5419420.2699999996</v>
      </c>
      <c r="AC1969" s="20">
        <v>-5417420.2699999996</v>
      </c>
      <c r="AD1969" s="20">
        <v>-5390420.2699999996</v>
      </c>
      <c r="AE1969" s="20">
        <v>-5390420.2699999996</v>
      </c>
      <c r="AF1969" s="20">
        <v>-5060420.2699999996</v>
      </c>
      <c r="AG1969" s="20">
        <v>-5020420.2699999996</v>
      </c>
      <c r="AH1969" s="20">
        <v>-5020420.2699999996</v>
      </c>
      <c r="AI1969" s="20">
        <v>-5026052.84</v>
      </c>
      <c r="AJ1969" s="20">
        <v>-5286138.66</v>
      </c>
      <c r="AK1969" s="20">
        <v>-4989279.13</v>
      </c>
      <c r="AL1969" s="20">
        <v>-4921062.76</v>
      </c>
      <c r="AM1969" s="20">
        <v>-4935738.62</v>
      </c>
      <c r="AN1969" s="20">
        <v>-4932841.2699999996</v>
      </c>
      <c r="AO1969" s="20">
        <v>-5003706.3</v>
      </c>
    </row>
    <row r="1970" spans="1:41" ht="14.25" x14ac:dyDescent="0.2">
      <c r="A1970" s="2">
        <v>21030302</v>
      </c>
      <c r="B1970" s="3" t="s">
        <v>443</v>
      </c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  <c r="AO1970" s="9"/>
    </row>
    <row r="1971" spans="1:41" ht="14.25" x14ac:dyDescent="0.2">
      <c r="A1971" s="2">
        <v>210305</v>
      </c>
      <c r="B1971" s="3" t="s">
        <v>451</v>
      </c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9"/>
      <c r="AL1971" s="9"/>
      <c r="AM1971" s="9"/>
      <c r="AN1971" s="9"/>
      <c r="AO1971" s="9"/>
    </row>
    <row r="1972" spans="1:41" ht="14.25" x14ac:dyDescent="0.2">
      <c r="A1972" s="2">
        <v>21030501</v>
      </c>
      <c r="B1972" s="3" t="s">
        <v>452</v>
      </c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  <c r="AK1972" s="9"/>
      <c r="AL1972" s="9"/>
      <c r="AM1972" s="9"/>
      <c r="AN1972" s="9"/>
      <c r="AO1972" s="9"/>
    </row>
    <row r="1973" spans="1:41" ht="14.25" x14ac:dyDescent="0.2">
      <c r="A1973" s="2">
        <v>21030502</v>
      </c>
      <c r="B1973" s="3" t="s">
        <v>453</v>
      </c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9"/>
      <c r="AF1973" s="9"/>
      <c r="AG1973" s="9"/>
      <c r="AH1973" s="9"/>
      <c r="AI1973" s="9"/>
      <c r="AJ1973" s="9"/>
      <c r="AK1973" s="9"/>
      <c r="AL1973" s="9"/>
      <c r="AM1973" s="9"/>
      <c r="AN1973" s="9"/>
      <c r="AO1973" s="9"/>
    </row>
    <row r="1974" spans="1:41" ht="14.25" x14ac:dyDescent="0.2">
      <c r="A1974" s="2">
        <v>210309</v>
      </c>
      <c r="B1974" s="3" t="s">
        <v>454</v>
      </c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9"/>
      <c r="AF1974" s="9"/>
      <c r="AG1974" s="9"/>
      <c r="AH1974" s="9"/>
      <c r="AI1974" s="9"/>
      <c r="AJ1974" s="9"/>
      <c r="AK1974" s="9"/>
      <c r="AL1974" s="9"/>
      <c r="AM1974" s="9"/>
      <c r="AN1974" s="9"/>
      <c r="AO1974" s="9"/>
    </row>
    <row r="1975" spans="1:41" ht="14.25" x14ac:dyDescent="0.2">
      <c r="A1975" s="2">
        <v>21030901</v>
      </c>
      <c r="B1975" s="3" t="s">
        <v>455</v>
      </c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  <c r="AK1975" s="9"/>
      <c r="AL1975" s="9"/>
      <c r="AM1975" s="9"/>
      <c r="AN1975" s="9"/>
      <c r="AO1975" s="9"/>
    </row>
    <row r="1976" spans="1:41" ht="14.25" x14ac:dyDescent="0.2">
      <c r="A1976" s="2">
        <v>21030902</v>
      </c>
      <c r="B1976" s="3" t="s">
        <v>443</v>
      </c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9"/>
      <c r="AL1976" s="9"/>
      <c r="AM1976" s="9"/>
      <c r="AN1976" s="9"/>
      <c r="AO1976" s="9"/>
    </row>
    <row r="1977" spans="1:41" ht="14.25" x14ac:dyDescent="0.2">
      <c r="A1977" s="2">
        <v>2107</v>
      </c>
      <c r="B1977" s="3" t="s">
        <v>456</v>
      </c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9"/>
      <c r="AL1977" s="9"/>
      <c r="AM1977" s="9"/>
      <c r="AN1977" s="9"/>
      <c r="AO1977" s="9"/>
    </row>
    <row r="1978" spans="1:41" ht="14.25" x14ac:dyDescent="0.2">
      <c r="A1978" s="2">
        <v>210701</v>
      </c>
      <c r="B1978" s="3" t="s">
        <v>457</v>
      </c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9"/>
      <c r="AF1978" s="9"/>
      <c r="AG1978" s="9"/>
      <c r="AH1978" s="9"/>
      <c r="AI1978" s="9"/>
      <c r="AJ1978" s="9"/>
      <c r="AK1978" s="9"/>
      <c r="AL1978" s="9"/>
      <c r="AM1978" s="9"/>
      <c r="AN1978" s="9"/>
      <c r="AO1978" s="9"/>
    </row>
    <row r="1979" spans="1:41" ht="14.25" x14ac:dyDescent="0.2">
      <c r="A1979" s="2">
        <v>21070101</v>
      </c>
      <c r="B1979" s="3" t="s">
        <v>442</v>
      </c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9"/>
      <c r="AI1979" s="9"/>
      <c r="AJ1979" s="9"/>
      <c r="AK1979" s="9"/>
      <c r="AL1979" s="9"/>
      <c r="AM1979" s="9"/>
      <c r="AN1979" s="9"/>
      <c r="AO1979" s="9"/>
    </row>
    <row r="1980" spans="1:41" ht="14.25" x14ac:dyDescent="0.2">
      <c r="A1980" s="2">
        <v>21070102</v>
      </c>
      <c r="B1980" s="3" t="s">
        <v>443</v>
      </c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  <c r="AK1980" s="9"/>
      <c r="AL1980" s="9"/>
      <c r="AM1980" s="9"/>
      <c r="AN1980" s="9"/>
      <c r="AO1980" s="9"/>
    </row>
    <row r="1981" spans="1:41" ht="14.25" x14ac:dyDescent="0.2">
      <c r="A1981" s="2">
        <v>210702</v>
      </c>
      <c r="B1981" s="3" t="s">
        <v>458</v>
      </c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  <c r="AK1981" s="9"/>
      <c r="AL1981" s="9"/>
      <c r="AM1981" s="9"/>
      <c r="AN1981" s="9"/>
      <c r="AO1981" s="9"/>
    </row>
    <row r="1982" spans="1:41" ht="14.25" x14ac:dyDescent="0.2">
      <c r="A1982" s="2">
        <v>21070201</v>
      </c>
      <c r="B1982" s="3" t="s">
        <v>442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9"/>
      <c r="AL1982" s="9"/>
      <c r="AM1982" s="9"/>
      <c r="AN1982" s="9"/>
      <c r="AO1982" s="9"/>
    </row>
    <row r="1983" spans="1:41" ht="14.25" x14ac:dyDescent="0.2">
      <c r="A1983" s="2">
        <v>21070202</v>
      </c>
      <c r="B1983" s="3" t="s">
        <v>443</v>
      </c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  <c r="AK1983" s="9"/>
      <c r="AL1983" s="9"/>
      <c r="AM1983" s="9"/>
      <c r="AN1983" s="9"/>
      <c r="AO1983" s="9"/>
    </row>
    <row r="1984" spans="1:41" ht="14.25" x14ac:dyDescent="0.2">
      <c r="A1984" s="2">
        <v>210703</v>
      </c>
      <c r="B1984" s="3" t="s">
        <v>459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  <c r="AK1984" s="9"/>
      <c r="AL1984" s="9"/>
      <c r="AM1984" s="9"/>
      <c r="AN1984" s="9"/>
      <c r="AO1984" s="9"/>
    </row>
    <row r="1985" spans="1:41" ht="14.25" x14ac:dyDescent="0.2">
      <c r="A1985" s="2">
        <v>21070301</v>
      </c>
      <c r="B1985" s="3" t="s">
        <v>442</v>
      </c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  <c r="AH1985" s="9"/>
      <c r="AI1985" s="9"/>
      <c r="AJ1985" s="9"/>
      <c r="AK1985" s="9"/>
      <c r="AL1985" s="9"/>
      <c r="AM1985" s="9"/>
      <c r="AN1985" s="9"/>
      <c r="AO1985" s="9"/>
    </row>
    <row r="1986" spans="1:41" ht="14.25" x14ac:dyDescent="0.2">
      <c r="A1986" s="2">
        <v>21070302</v>
      </c>
      <c r="B1986" s="3" t="s">
        <v>443</v>
      </c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  <c r="AK1986" s="9"/>
      <c r="AL1986" s="9"/>
      <c r="AM1986" s="9"/>
      <c r="AN1986" s="9"/>
      <c r="AO1986" s="9"/>
    </row>
    <row r="1987" spans="1:41" ht="14.25" x14ac:dyDescent="0.2">
      <c r="A1987" s="2">
        <v>210704</v>
      </c>
      <c r="B1987" s="3" t="s">
        <v>460</v>
      </c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9"/>
      <c r="AL1987" s="9"/>
      <c r="AM1987" s="9"/>
      <c r="AN1987" s="9"/>
      <c r="AO1987" s="9"/>
    </row>
    <row r="1988" spans="1:41" ht="14.25" x14ac:dyDescent="0.2">
      <c r="A1988" s="2">
        <v>21070401</v>
      </c>
      <c r="B1988" s="3" t="s">
        <v>461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9"/>
      <c r="AL1988" s="9"/>
      <c r="AM1988" s="9"/>
      <c r="AN1988" s="9"/>
      <c r="AO1988" s="9"/>
    </row>
    <row r="1989" spans="1:41" ht="14.25" x14ac:dyDescent="0.2">
      <c r="A1989" s="2">
        <v>2107040101</v>
      </c>
      <c r="B1989" s="3" t="s">
        <v>442</v>
      </c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9"/>
      <c r="AL1989" s="9"/>
      <c r="AM1989" s="9"/>
      <c r="AN1989" s="9"/>
      <c r="AO1989" s="9"/>
    </row>
    <row r="1990" spans="1:41" ht="14.25" x14ac:dyDescent="0.2">
      <c r="A1990" s="2">
        <v>2107040102</v>
      </c>
      <c r="B1990" s="3" t="s">
        <v>443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9"/>
      <c r="AI1990" s="9"/>
      <c r="AJ1990" s="9"/>
      <c r="AK1990" s="9"/>
      <c r="AL1990" s="9"/>
      <c r="AM1990" s="9"/>
      <c r="AN1990" s="9"/>
      <c r="AO1990" s="9"/>
    </row>
    <row r="1991" spans="1:41" ht="14.25" x14ac:dyDescent="0.2">
      <c r="A1991" s="2">
        <v>21070402</v>
      </c>
      <c r="B1991" s="3" t="s">
        <v>462</v>
      </c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  <c r="AF1991" s="9"/>
      <c r="AG1991" s="9"/>
      <c r="AH1991" s="9"/>
      <c r="AI1991" s="9"/>
      <c r="AJ1991" s="9"/>
      <c r="AK1991" s="9"/>
      <c r="AL1991" s="9"/>
      <c r="AM1991" s="9"/>
      <c r="AN1991" s="9"/>
      <c r="AO1991" s="9"/>
    </row>
    <row r="1992" spans="1:41" ht="14.25" x14ac:dyDescent="0.2">
      <c r="A1992" s="2">
        <v>2107040201</v>
      </c>
      <c r="B1992" s="3" t="s">
        <v>442</v>
      </c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9"/>
      <c r="AI1992" s="9"/>
      <c r="AJ1992" s="9"/>
      <c r="AK1992" s="9"/>
      <c r="AL1992" s="9"/>
      <c r="AM1992" s="9"/>
      <c r="AN1992" s="9"/>
      <c r="AO1992" s="9"/>
    </row>
    <row r="1993" spans="1:41" ht="14.25" x14ac:dyDescent="0.2">
      <c r="A1993" s="2">
        <v>2107040202</v>
      </c>
      <c r="B1993" s="3" t="s">
        <v>443</v>
      </c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9"/>
      <c r="AL1993" s="9"/>
      <c r="AM1993" s="9"/>
      <c r="AN1993" s="9"/>
      <c r="AO1993" s="9"/>
    </row>
    <row r="1994" spans="1:41" ht="14.25" x14ac:dyDescent="0.2">
      <c r="A1994" s="2">
        <v>21070409</v>
      </c>
      <c r="B1994" s="3" t="s">
        <v>463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  <c r="AK1994" s="9"/>
      <c r="AL1994" s="9"/>
      <c r="AM1994" s="9"/>
      <c r="AN1994" s="9"/>
      <c r="AO1994" s="9"/>
    </row>
    <row r="1995" spans="1:41" ht="14.25" x14ac:dyDescent="0.2">
      <c r="A1995" s="2">
        <v>2107040901</v>
      </c>
      <c r="B1995" s="3" t="s">
        <v>442</v>
      </c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  <c r="AF1995" s="9"/>
      <c r="AG1995" s="9"/>
      <c r="AH1995" s="9"/>
      <c r="AI1995" s="9"/>
      <c r="AJ1995" s="9"/>
      <c r="AK1995" s="9"/>
      <c r="AL1995" s="9"/>
      <c r="AM1995" s="9"/>
      <c r="AN1995" s="9"/>
      <c r="AO1995" s="9"/>
    </row>
    <row r="1996" spans="1:41" ht="14.25" x14ac:dyDescent="0.2">
      <c r="A1996" s="2">
        <v>2107040902</v>
      </c>
      <c r="B1996" s="3" t="s">
        <v>443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9"/>
      <c r="AI1996" s="9"/>
      <c r="AJ1996" s="9"/>
      <c r="AK1996" s="9"/>
      <c r="AL1996" s="9"/>
      <c r="AM1996" s="9"/>
      <c r="AN1996" s="9"/>
      <c r="AO1996" s="9"/>
    </row>
    <row r="1997" spans="1:41" ht="14.25" x14ac:dyDescent="0.2">
      <c r="A1997" s="2">
        <v>210709</v>
      </c>
      <c r="B1997" s="3" t="s">
        <v>464</v>
      </c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  <c r="AH1997" s="9"/>
      <c r="AI1997" s="9"/>
      <c r="AJ1997" s="9"/>
      <c r="AK1997" s="9"/>
      <c r="AL1997" s="9"/>
      <c r="AM1997" s="9"/>
      <c r="AN1997" s="9"/>
      <c r="AO1997" s="9"/>
    </row>
    <row r="1998" spans="1:41" ht="14.25" x14ac:dyDescent="0.2">
      <c r="A1998" s="2">
        <v>21070901</v>
      </c>
      <c r="B1998" s="3" t="s">
        <v>442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  <c r="AH1998" s="9"/>
      <c r="AI1998" s="9"/>
      <c r="AJ1998" s="9"/>
      <c r="AK1998" s="9"/>
      <c r="AL1998" s="9"/>
      <c r="AM1998" s="9"/>
      <c r="AN1998" s="9"/>
      <c r="AO1998" s="9"/>
    </row>
    <row r="1999" spans="1:41" ht="14.25" x14ac:dyDescent="0.2">
      <c r="A1999" s="2">
        <v>21070902</v>
      </c>
      <c r="B1999" s="3" t="s">
        <v>443</v>
      </c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  <c r="AK1999" s="9"/>
      <c r="AL1999" s="9"/>
      <c r="AM1999" s="9"/>
      <c r="AN1999" s="9"/>
      <c r="AO1999" s="9"/>
    </row>
    <row r="2000" spans="1:41" ht="14.25" x14ac:dyDescent="0.2">
      <c r="A2000" s="2">
        <v>2108</v>
      </c>
      <c r="B2000" s="3" t="s">
        <v>465</v>
      </c>
      <c r="C2000" s="20">
        <f>+C2006+C2007+C2008+C2009+C2010</f>
        <v>-1101071.26</v>
      </c>
      <c r="D2000" s="20">
        <f t="shared" ref="D2000:AO2000" si="64">+D2006+D2007+D2008+D2009+D2010</f>
        <v>-1102840.0699999998</v>
      </c>
      <c r="E2000" s="20">
        <f t="shared" si="64"/>
        <v>-1061950.29</v>
      </c>
      <c r="F2000" s="20">
        <f t="shared" si="64"/>
        <v>-1035793.97</v>
      </c>
      <c r="G2000" s="20">
        <f t="shared" si="64"/>
        <v>-1009379.91</v>
      </c>
      <c r="H2000" s="20">
        <f t="shared" si="64"/>
        <v>-1061906.67</v>
      </c>
      <c r="I2000" s="20">
        <f t="shared" si="64"/>
        <v>-1041400.9199999999</v>
      </c>
      <c r="J2000" s="20">
        <f t="shared" si="64"/>
        <v>-1064440.44</v>
      </c>
      <c r="K2000" s="20">
        <f t="shared" si="64"/>
        <v>-1120339.02</v>
      </c>
      <c r="L2000" s="20">
        <f t="shared" si="64"/>
        <v>-1091561.8599999999</v>
      </c>
      <c r="M2000" s="20">
        <f t="shared" si="64"/>
        <v>-1074268.9100000001</v>
      </c>
      <c r="N2000" s="20">
        <f t="shared" si="64"/>
        <v>-1103794.24</v>
      </c>
      <c r="O2000" s="20">
        <f t="shared" si="64"/>
        <v>-1088915.1100000001</v>
      </c>
      <c r="P2000" s="20">
        <f t="shared" si="64"/>
        <v>-1132431.5699999998</v>
      </c>
      <c r="Q2000" s="20">
        <f t="shared" si="64"/>
        <v>-1198715.99</v>
      </c>
      <c r="R2000" s="20">
        <f t="shared" si="64"/>
        <v>-1289532.1500000001</v>
      </c>
      <c r="S2000" s="20">
        <f t="shared" si="64"/>
        <v>-1399917.03</v>
      </c>
      <c r="T2000" s="20">
        <f t="shared" si="64"/>
        <v>-1525106.2999999998</v>
      </c>
      <c r="U2000" s="20">
        <f t="shared" si="64"/>
        <v>-1485273.06</v>
      </c>
      <c r="V2000" s="20">
        <f t="shared" si="64"/>
        <v>-1601528.93</v>
      </c>
      <c r="W2000" s="20">
        <f t="shared" si="64"/>
        <v>-1625548.4100000001</v>
      </c>
      <c r="X2000" s="20">
        <f t="shared" si="64"/>
        <v>-1670024.7999999998</v>
      </c>
      <c r="Y2000" s="20">
        <f t="shared" si="64"/>
        <v>-1764842.3699999999</v>
      </c>
      <c r="Z2000" s="20">
        <f t="shared" si="64"/>
        <v>-1782766.2199999997</v>
      </c>
      <c r="AA2000" s="20">
        <f t="shared" si="64"/>
        <v>-1780423.5299999998</v>
      </c>
      <c r="AB2000" s="20">
        <f t="shared" si="64"/>
        <v>-1786830.5</v>
      </c>
      <c r="AC2000" s="20">
        <f t="shared" si="64"/>
        <v>-1855598.7000000002</v>
      </c>
      <c r="AD2000" s="20">
        <f t="shared" si="64"/>
        <v>-2007253.08</v>
      </c>
      <c r="AE2000" s="20">
        <f t="shared" si="64"/>
        <v>-2130023.2400000002</v>
      </c>
      <c r="AF2000" s="20">
        <f t="shared" si="64"/>
        <v>-2244767.0300000003</v>
      </c>
      <c r="AG2000" s="20">
        <f t="shared" si="64"/>
        <v>-2269041.91</v>
      </c>
      <c r="AH2000" s="20">
        <f t="shared" si="64"/>
        <v>-2323725.4899999998</v>
      </c>
      <c r="AI2000" s="20">
        <f t="shared" si="64"/>
        <v>-2287001.5</v>
      </c>
      <c r="AJ2000" s="20">
        <f t="shared" si="64"/>
        <v>-2147472.2999999998</v>
      </c>
      <c r="AK2000" s="20">
        <f t="shared" si="64"/>
        <v>-2171193.15</v>
      </c>
      <c r="AL2000" s="20">
        <f t="shared" si="64"/>
        <v>-2009166.5699999998</v>
      </c>
      <c r="AM2000" s="20">
        <f t="shared" si="64"/>
        <v>-1947470.2300000002</v>
      </c>
      <c r="AN2000" s="20">
        <f t="shared" si="64"/>
        <v>-1858973.71</v>
      </c>
      <c r="AO2000" s="20">
        <f t="shared" si="64"/>
        <v>-1859379.76</v>
      </c>
    </row>
    <row r="2001" spans="1:41" x14ac:dyDescent="0.2">
      <c r="A2001" s="5">
        <v>210801</v>
      </c>
      <c r="B2001" s="6" t="s">
        <v>466</v>
      </c>
      <c r="C2001" s="12"/>
      <c r="D2001" s="12"/>
      <c r="E2001" s="12"/>
      <c r="F2001" s="12"/>
      <c r="G2001" s="12"/>
      <c r="H2001" s="12"/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2"/>
      <c r="AE2001" s="12"/>
      <c r="AF2001" s="12"/>
      <c r="AG2001" s="12"/>
      <c r="AH2001" s="12"/>
      <c r="AI2001" s="12"/>
      <c r="AJ2001" s="12"/>
      <c r="AK2001" s="12"/>
      <c r="AL2001" s="12"/>
      <c r="AM2001" s="12"/>
      <c r="AN2001" s="12"/>
      <c r="AO2001" s="12"/>
    </row>
    <row r="2002" spans="1:41" ht="28.5" x14ac:dyDescent="0.2">
      <c r="A2002" s="2">
        <v>210802</v>
      </c>
      <c r="B2002" s="4" t="s">
        <v>467</v>
      </c>
      <c r="C2002" s="11"/>
      <c r="D2002" s="11"/>
      <c r="E2002" s="11"/>
      <c r="F2002" s="11"/>
      <c r="G2002" s="11"/>
      <c r="H2002" s="11"/>
      <c r="I2002" s="11"/>
      <c r="J2002" s="11"/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11"/>
      <c r="AG2002" s="11"/>
      <c r="AH2002" s="11"/>
      <c r="AI2002" s="11"/>
      <c r="AJ2002" s="11"/>
      <c r="AK2002" s="11"/>
      <c r="AL2002" s="11"/>
      <c r="AM2002" s="11"/>
      <c r="AN2002" s="11"/>
      <c r="AO2002" s="11"/>
    </row>
    <row r="2003" spans="1:41" ht="14.25" x14ac:dyDescent="0.2">
      <c r="A2003" s="2">
        <v>21080201</v>
      </c>
      <c r="B2003" s="3" t="s">
        <v>442</v>
      </c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  <c r="AH2003" s="9"/>
      <c r="AI2003" s="9"/>
      <c r="AJ2003" s="9"/>
      <c r="AK2003" s="9"/>
      <c r="AL2003" s="9"/>
      <c r="AM2003" s="9"/>
      <c r="AN2003" s="9"/>
      <c r="AO2003" s="9"/>
    </row>
    <row r="2004" spans="1:41" ht="14.25" x14ac:dyDescent="0.2">
      <c r="A2004" s="2">
        <v>21080202</v>
      </c>
      <c r="B2004" s="3" t="s">
        <v>443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  <c r="AH2004" s="9"/>
      <c r="AI2004" s="9"/>
      <c r="AJ2004" s="9"/>
      <c r="AK2004" s="9"/>
      <c r="AL2004" s="9"/>
      <c r="AM2004" s="9"/>
      <c r="AN2004" s="9"/>
      <c r="AO2004" s="9"/>
    </row>
    <row r="2005" spans="1:41" ht="14.25" x14ac:dyDescent="0.2">
      <c r="A2005" s="2">
        <v>210803</v>
      </c>
      <c r="B2005" s="3" t="s">
        <v>468</v>
      </c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9"/>
      <c r="AF2005" s="9"/>
      <c r="AG2005" s="9"/>
      <c r="AH2005" s="9"/>
      <c r="AI2005" s="9"/>
      <c r="AJ2005" s="9"/>
      <c r="AK2005" s="9"/>
      <c r="AL2005" s="9"/>
      <c r="AM2005" s="9"/>
      <c r="AN2005" s="9"/>
      <c r="AO2005" s="9"/>
    </row>
    <row r="2006" spans="1:41" s="15" customFormat="1" ht="14.25" x14ac:dyDescent="0.2">
      <c r="A2006" s="18" t="s">
        <v>1562</v>
      </c>
      <c r="B2006" s="19" t="s">
        <v>1553</v>
      </c>
      <c r="C2006" s="20"/>
      <c r="D2006" s="20"/>
      <c r="E2006" s="20"/>
      <c r="F2006" s="20"/>
      <c r="G2006" s="20"/>
      <c r="H2006" s="20"/>
      <c r="I2006" s="20"/>
      <c r="J2006" s="20"/>
      <c r="K2006" s="20"/>
      <c r="L2006" s="20"/>
      <c r="M2006" s="20"/>
      <c r="N2006" s="20">
        <v>-828.11</v>
      </c>
      <c r="O2006" s="20">
        <v>0</v>
      </c>
      <c r="P2006" s="20">
        <v>0</v>
      </c>
      <c r="Q2006" s="20">
        <v>0</v>
      </c>
      <c r="R2006" s="20"/>
      <c r="S2006" s="20"/>
      <c r="T2006" s="20"/>
      <c r="U2006" s="20"/>
      <c r="V2006" s="20"/>
      <c r="W2006" s="20"/>
      <c r="X2006" s="20"/>
      <c r="Y2006" s="20"/>
      <c r="Z2006" s="20"/>
      <c r="AA2006" s="20"/>
      <c r="AB2006" s="20"/>
      <c r="AC2006" s="20"/>
      <c r="AD2006" s="20"/>
      <c r="AE2006" s="20"/>
      <c r="AF2006" s="20"/>
      <c r="AG2006" s="20"/>
      <c r="AH2006" s="20"/>
      <c r="AI2006" s="20"/>
      <c r="AJ2006" s="20"/>
      <c r="AK2006" s="20"/>
      <c r="AL2006" s="20"/>
      <c r="AM2006" s="20"/>
      <c r="AN2006" s="20"/>
      <c r="AO2006" s="20"/>
    </row>
    <row r="2007" spans="1:41" s="15" customFormat="1" ht="14.25" x14ac:dyDescent="0.2">
      <c r="A2007" s="18" t="s">
        <v>1563</v>
      </c>
      <c r="B2007" s="19" t="s">
        <v>1564</v>
      </c>
      <c r="C2007" s="20">
        <v>-324353.09000000003</v>
      </c>
      <c r="D2007" s="20">
        <v>-329716.34999999998</v>
      </c>
      <c r="E2007" s="20">
        <v>-362614.84</v>
      </c>
      <c r="F2007" s="20">
        <v>-352625.62</v>
      </c>
      <c r="G2007" s="20">
        <v>-337438.08</v>
      </c>
      <c r="H2007" s="20">
        <v>-373875.69</v>
      </c>
      <c r="I2007" s="20">
        <v>-362716.94</v>
      </c>
      <c r="J2007" s="20">
        <v>-347407.16</v>
      </c>
      <c r="K2007" s="20">
        <v>-384485.94</v>
      </c>
      <c r="L2007" s="20">
        <v>-373579.07</v>
      </c>
      <c r="M2007" s="20">
        <v>-343871.06</v>
      </c>
      <c r="N2007" s="20">
        <v>-363944.94</v>
      </c>
      <c r="O2007" s="20">
        <v>-356262.22</v>
      </c>
      <c r="P2007" s="20">
        <v>-364033.86</v>
      </c>
      <c r="Q2007" s="20">
        <v>-380374.23</v>
      </c>
      <c r="R2007" s="20">
        <v>-373487.04</v>
      </c>
      <c r="S2007" s="20">
        <v>-382347.23</v>
      </c>
      <c r="T2007" s="20">
        <v>-403616.79</v>
      </c>
      <c r="U2007" s="20">
        <v>-370055.37</v>
      </c>
      <c r="V2007" s="20">
        <v>-392518.63</v>
      </c>
      <c r="W2007" s="20">
        <v>-396133.47</v>
      </c>
      <c r="X2007" s="20">
        <v>-375045.22</v>
      </c>
      <c r="Y2007" s="20">
        <v>-392272.97</v>
      </c>
      <c r="Z2007" s="20">
        <v>-423055.73</v>
      </c>
      <c r="AA2007" s="20">
        <v>-414061.87</v>
      </c>
      <c r="AB2007" s="20">
        <v>-418248.86</v>
      </c>
      <c r="AC2007" s="20">
        <v>-443842.87</v>
      </c>
      <c r="AD2007" s="20">
        <v>-465813.82</v>
      </c>
      <c r="AE2007" s="20">
        <v>-436663.03</v>
      </c>
      <c r="AF2007" s="20">
        <v>-452327.24</v>
      </c>
      <c r="AG2007" s="20">
        <v>-449731.56</v>
      </c>
      <c r="AH2007" s="20">
        <v>-442477.32</v>
      </c>
      <c r="AI2007" s="20">
        <v>-470299.4</v>
      </c>
      <c r="AJ2007" s="20">
        <v>-474715.64</v>
      </c>
      <c r="AK2007" s="20">
        <v>-463002.12</v>
      </c>
      <c r="AL2007" s="20">
        <v>-481688.95</v>
      </c>
      <c r="AM2007" s="20">
        <v>-498899.44</v>
      </c>
      <c r="AN2007" s="20">
        <v>-492879.73</v>
      </c>
      <c r="AO2007" s="20">
        <v>-521150.97</v>
      </c>
    </row>
    <row r="2008" spans="1:41" s="15" customFormat="1" ht="14.25" x14ac:dyDescent="0.2">
      <c r="A2008" s="18" t="s">
        <v>1565</v>
      </c>
      <c r="B2008" s="19" t="s">
        <v>1566</v>
      </c>
      <c r="C2008" s="20">
        <v>-248766.35</v>
      </c>
      <c r="D2008" s="20">
        <v>-236217.97</v>
      </c>
      <c r="E2008" s="20">
        <v>-246428.59</v>
      </c>
      <c r="F2008" s="20">
        <v>-252598.59</v>
      </c>
      <c r="G2008" s="20">
        <v>-261580.58</v>
      </c>
      <c r="H2008" s="20">
        <v>-268030.05</v>
      </c>
      <c r="I2008" s="20">
        <v>-248928.24</v>
      </c>
      <c r="J2008" s="20">
        <v>-251622.08</v>
      </c>
      <c r="K2008" s="20">
        <v>-250230.69</v>
      </c>
      <c r="L2008" s="20">
        <v>-249967.61</v>
      </c>
      <c r="M2008" s="20">
        <v>-254998.34</v>
      </c>
      <c r="N2008" s="20">
        <v>-230119.1</v>
      </c>
      <c r="O2008" s="20">
        <v>-219227.65</v>
      </c>
      <c r="P2008" s="20">
        <v>-218644.21</v>
      </c>
      <c r="Q2008" s="20">
        <v>-231802.72</v>
      </c>
      <c r="R2008" s="20">
        <v>-249173.43</v>
      </c>
      <c r="S2008" s="20">
        <v>-255333.5</v>
      </c>
      <c r="T2008" s="20">
        <v>-274941.34999999998</v>
      </c>
      <c r="U2008" s="20">
        <v>-229228.57</v>
      </c>
      <c r="V2008" s="20">
        <v>-221834.78</v>
      </c>
      <c r="W2008" s="20">
        <v>-243153.05</v>
      </c>
      <c r="X2008" s="20">
        <v>-249242.85</v>
      </c>
      <c r="Y2008" s="20">
        <v>-263606.39</v>
      </c>
      <c r="Z2008" s="20">
        <v>-269222.01</v>
      </c>
      <c r="AA2008" s="20">
        <v>-258507.31</v>
      </c>
      <c r="AB2008" s="20">
        <v>-252575.93</v>
      </c>
      <c r="AC2008" s="20">
        <v>-274339.62</v>
      </c>
      <c r="AD2008" s="20">
        <v>-306661.53000000003</v>
      </c>
      <c r="AE2008" s="20">
        <v>-325357.53000000003</v>
      </c>
      <c r="AF2008" s="20">
        <v>-333253.08</v>
      </c>
      <c r="AG2008" s="20">
        <v>-292981.18</v>
      </c>
      <c r="AH2008" s="20">
        <v>-273077.86</v>
      </c>
      <c r="AI2008" s="20">
        <v>-298529.39</v>
      </c>
      <c r="AJ2008" s="20">
        <v>-320545.21000000002</v>
      </c>
      <c r="AK2008" s="20">
        <v>-340973.9</v>
      </c>
      <c r="AL2008" s="20">
        <v>-368421.81</v>
      </c>
      <c r="AM2008" s="20">
        <v>-335234.03999999998</v>
      </c>
      <c r="AN2008" s="20">
        <v>-319119.19</v>
      </c>
      <c r="AO2008" s="20">
        <v>-328379.34999999998</v>
      </c>
    </row>
    <row r="2009" spans="1:41" s="15" customFormat="1" ht="14.25" x14ac:dyDescent="0.2">
      <c r="A2009" s="18" t="s">
        <v>1567</v>
      </c>
      <c r="B2009" s="19" t="s">
        <v>1568</v>
      </c>
      <c r="C2009" s="20">
        <v>-527951.81999999995</v>
      </c>
      <c r="D2009" s="20">
        <v>-536905.75</v>
      </c>
      <c r="E2009" s="20">
        <v>-452906.86</v>
      </c>
      <c r="F2009" s="20">
        <v>-430569.76</v>
      </c>
      <c r="G2009" s="20">
        <v>-410361.25</v>
      </c>
      <c r="H2009" s="20">
        <v>-420000.93</v>
      </c>
      <c r="I2009" s="20">
        <v>-429755.74</v>
      </c>
      <c r="J2009" s="20">
        <v>-465411.2</v>
      </c>
      <c r="K2009" s="20">
        <v>-485622.39</v>
      </c>
      <c r="L2009" s="20">
        <v>-465960.69</v>
      </c>
      <c r="M2009" s="20">
        <v>-462026.78</v>
      </c>
      <c r="N2009" s="20">
        <v>-478003.93</v>
      </c>
      <c r="O2009" s="20">
        <v>-459108.94</v>
      </c>
      <c r="P2009" s="20">
        <v>-472414.52</v>
      </c>
      <c r="Q2009" s="20">
        <v>-481703.88</v>
      </c>
      <c r="R2009" s="20">
        <v>-535760.84</v>
      </c>
      <c r="S2009" s="20">
        <v>-602252.12</v>
      </c>
      <c r="T2009" s="20">
        <v>-658398.74</v>
      </c>
      <c r="U2009" s="20">
        <v>-667315.49</v>
      </c>
      <c r="V2009" s="20">
        <v>-734505.22</v>
      </c>
      <c r="W2009" s="20">
        <v>-695784.03</v>
      </c>
      <c r="X2009" s="20">
        <v>-708913.23</v>
      </c>
      <c r="Y2009" s="20">
        <v>-727575.83</v>
      </c>
      <c r="Z2009" s="20">
        <v>-661634.07999999996</v>
      </c>
      <c r="AA2009" s="20">
        <v>-634408.74</v>
      </c>
      <c r="AB2009" s="20">
        <v>-599958.72</v>
      </c>
      <c r="AC2009" s="20">
        <v>-573451.55000000005</v>
      </c>
      <c r="AD2009" s="20">
        <v>-644044.71</v>
      </c>
      <c r="AE2009" s="20">
        <v>-710336.15</v>
      </c>
      <c r="AF2009" s="20">
        <v>-778436.79</v>
      </c>
      <c r="AG2009" s="20">
        <v>-804891.4</v>
      </c>
      <c r="AH2009" s="20">
        <v>-840093.91</v>
      </c>
      <c r="AI2009" s="20">
        <v>-721270.72</v>
      </c>
      <c r="AJ2009" s="20">
        <v>-767122.61</v>
      </c>
      <c r="AK2009" s="20">
        <v>-819627.13</v>
      </c>
      <c r="AL2009" s="20">
        <v>-799470.33</v>
      </c>
      <c r="AM2009" s="20">
        <v>-725534.68</v>
      </c>
      <c r="AN2009" s="20">
        <v>-648086.64</v>
      </c>
      <c r="AO2009" s="20">
        <v>-638519.01</v>
      </c>
    </row>
    <row r="2010" spans="1:41" s="15" customFormat="1" ht="14.25" x14ac:dyDescent="0.2">
      <c r="A2010" s="18" t="s">
        <v>1569</v>
      </c>
      <c r="B2010" s="19" t="s">
        <v>1570</v>
      </c>
      <c r="C2010" s="20"/>
      <c r="D2010" s="20"/>
      <c r="E2010" s="20"/>
      <c r="F2010" s="20"/>
      <c r="G2010" s="20"/>
      <c r="H2010" s="20"/>
      <c r="I2010" s="20"/>
      <c r="J2010" s="20"/>
      <c r="K2010" s="20"/>
      <c r="L2010" s="20">
        <v>-2054.4899999999998</v>
      </c>
      <c r="M2010" s="20">
        <v>-13372.73</v>
      </c>
      <c r="N2010" s="20">
        <v>-30898.16</v>
      </c>
      <c r="O2010" s="20">
        <v>-54316.3</v>
      </c>
      <c r="P2010" s="20">
        <v>-77338.98</v>
      </c>
      <c r="Q2010" s="20">
        <v>-104835.16</v>
      </c>
      <c r="R2010" s="20">
        <v>-131110.84</v>
      </c>
      <c r="S2010" s="20">
        <v>-159984.18</v>
      </c>
      <c r="T2010" s="20">
        <v>-188149.42</v>
      </c>
      <c r="U2010" s="20">
        <v>-218673.63</v>
      </c>
      <c r="V2010" s="20">
        <v>-252670.3</v>
      </c>
      <c r="W2010" s="20">
        <v>-290477.86</v>
      </c>
      <c r="X2010" s="20">
        <v>-336823.5</v>
      </c>
      <c r="Y2010" s="20">
        <v>-381387.18</v>
      </c>
      <c r="Z2010" s="20">
        <v>-428854.4</v>
      </c>
      <c r="AA2010" s="20">
        <v>-473445.61</v>
      </c>
      <c r="AB2010" s="20">
        <v>-516046.99</v>
      </c>
      <c r="AC2010" s="20">
        <v>-563964.66</v>
      </c>
      <c r="AD2010" s="20">
        <v>-590733.02</v>
      </c>
      <c r="AE2010" s="20">
        <v>-657666.53</v>
      </c>
      <c r="AF2010" s="20">
        <v>-680749.92</v>
      </c>
      <c r="AG2010" s="20">
        <v>-721437.77</v>
      </c>
      <c r="AH2010" s="20">
        <v>-768076.4</v>
      </c>
      <c r="AI2010" s="20">
        <v>-796901.99</v>
      </c>
      <c r="AJ2010" s="20">
        <v>-585088.84</v>
      </c>
      <c r="AK2010" s="20">
        <v>-547590</v>
      </c>
      <c r="AL2010" s="20">
        <v>-359585.48</v>
      </c>
      <c r="AM2010" s="20">
        <v>-387802.07</v>
      </c>
      <c r="AN2010" s="20">
        <v>-398888.15</v>
      </c>
      <c r="AO2010" s="20">
        <v>-371330.43</v>
      </c>
    </row>
    <row r="2011" spans="1:41" ht="14.25" x14ac:dyDescent="0.2">
      <c r="A2011" s="2">
        <v>21080302</v>
      </c>
      <c r="B2011" s="3" t="s">
        <v>443</v>
      </c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  <c r="AH2011" s="9"/>
      <c r="AI2011" s="9"/>
      <c r="AJ2011" s="9"/>
      <c r="AK2011" s="9"/>
      <c r="AL2011" s="9"/>
      <c r="AM2011" s="9"/>
      <c r="AN2011" s="9"/>
      <c r="AO2011" s="9"/>
    </row>
    <row r="2012" spans="1:41" ht="14.25" x14ac:dyDescent="0.2">
      <c r="A2012" s="2">
        <v>210807</v>
      </c>
      <c r="B2012" s="3" t="s">
        <v>469</v>
      </c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9"/>
      <c r="AL2012" s="9"/>
      <c r="AM2012" s="9"/>
      <c r="AN2012" s="9"/>
      <c r="AO2012" s="9"/>
    </row>
    <row r="2013" spans="1:41" ht="14.25" x14ac:dyDescent="0.2">
      <c r="A2013" s="2">
        <v>21080701</v>
      </c>
      <c r="B2013" s="3" t="s">
        <v>442</v>
      </c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  <c r="AO2013" s="9"/>
    </row>
    <row r="2014" spans="1:41" ht="14.25" x14ac:dyDescent="0.2">
      <c r="A2014" s="2">
        <v>21080702</v>
      </c>
      <c r="B2014" s="3" t="s">
        <v>443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  <c r="AK2014" s="9"/>
      <c r="AL2014" s="9"/>
      <c r="AM2014" s="9"/>
      <c r="AN2014" s="9"/>
      <c r="AO2014" s="9"/>
    </row>
    <row r="2015" spans="1:41" ht="14.25" x14ac:dyDescent="0.2">
      <c r="A2015" s="2">
        <v>22</v>
      </c>
      <c r="B2015" s="3" t="s">
        <v>470</v>
      </c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  <c r="AH2015" s="9"/>
      <c r="AI2015" s="9"/>
      <c r="AJ2015" s="9"/>
      <c r="AK2015" s="9"/>
      <c r="AL2015" s="9"/>
      <c r="AM2015" s="9"/>
      <c r="AN2015" s="9"/>
      <c r="AO2015" s="9"/>
    </row>
    <row r="2016" spans="1:41" ht="14.25" x14ac:dyDescent="0.2">
      <c r="A2016" s="2">
        <v>2201</v>
      </c>
      <c r="B2016" s="3" t="s">
        <v>470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  <c r="AH2016" s="9"/>
      <c r="AI2016" s="9"/>
      <c r="AJ2016" s="9"/>
      <c r="AK2016" s="9"/>
      <c r="AL2016" s="9"/>
      <c r="AM2016" s="9"/>
      <c r="AN2016" s="9"/>
      <c r="AO2016" s="9"/>
    </row>
    <row r="2017" spans="1:41" ht="14.25" x14ac:dyDescent="0.2">
      <c r="A2017" s="2">
        <v>220107</v>
      </c>
      <c r="B2017" s="3" t="s">
        <v>35</v>
      </c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  <c r="AK2017" s="9"/>
      <c r="AL2017" s="9"/>
      <c r="AM2017" s="9"/>
      <c r="AN2017" s="9"/>
      <c r="AO2017" s="9"/>
    </row>
    <row r="2018" spans="1:41" ht="14.25" x14ac:dyDescent="0.2">
      <c r="A2018" s="2">
        <v>2208</v>
      </c>
      <c r="B2018" s="3" t="s">
        <v>471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  <c r="AK2018" s="9"/>
      <c r="AL2018" s="9"/>
      <c r="AM2018" s="9"/>
      <c r="AN2018" s="9"/>
      <c r="AO2018" s="9"/>
    </row>
    <row r="2019" spans="1:41" ht="14.25" x14ac:dyDescent="0.2">
      <c r="A2019" s="2">
        <v>220807</v>
      </c>
      <c r="B2019" s="3" t="s">
        <v>35</v>
      </c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9"/>
      <c r="AI2019" s="9"/>
      <c r="AJ2019" s="9"/>
      <c r="AK2019" s="9"/>
      <c r="AL2019" s="9"/>
      <c r="AM2019" s="9"/>
      <c r="AN2019" s="9"/>
      <c r="AO2019" s="9"/>
    </row>
    <row r="2020" spans="1:41" ht="14.25" x14ac:dyDescent="0.2">
      <c r="A2020" s="2">
        <v>23</v>
      </c>
      <c r="B2020" s="3" t="s">
        <v>472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  <c r="AH2020" s="9"/>
      <c r="AI2020" s="9"/>
      <c r="AJ2020" s="9"/>
      <c r="AK2020" s="9"/>
      <c r="AL2020" s="9"/>
      <c r="AM2020" s="9"/>
      <c r="AN2020" s="9"/>
      <c r="AO2020" s="9"/>
    </row>
    <row r="2021" spans="1:41" x14ac:dyDescent="0.2">
      <c r="A2021" s="5">
        <v>2301</v>
      </c>
      <c r="B2021" s="6" t="s">
        <v>473</v>
      </c>
      <c r="C2021" s="12"/>
      <c r="D2021" s="12"/>
      <c r="E2021" s="12"/>
      <c r="F2021" s="12"/>
      <c r="G2021" s="12"/>
      <c r="H2021" s="12"/>
      <c r="I2021" s="12"/>
      <c r="J2021" s="12"/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  <c r="AA2021" s="12"/>
      <c r="AB2021" s="12"/>
      <c r="AC2021" s="12"/>
      <c r="AD2021" s="12"/>
      <c r="AE2021" s="12"/>
      <c r="AF2021" s="12"/>
      <c r="AG2021" s="12"/>
      <c r="AH2021" s="12"/>
      <c r="AI2021" s="12"/>
      <c r="AJ2021" s="12"/>
      <c r="AK2021" s="12"/>
      <c r="AL2021" s="12"/>
      <c r="AM2021" s="12"/>
      <c r="AN2021" s="12"/>
      <c r="AO2021" s="12"/>
    </row>
    <row r="2022" spans="1:41" x14ac:dyDescent="0.2">
      <c r="A2022" s="5">
        <v>230101</v>
      </c>
      <c r="B2022" s="6" t="s">
        <v>474</v>
      </c>
      <c r="C2022" s="12"/>
      <c r="D2022" s="12"/>
      <c r="E2022" s="12"/>
      <c r="F2022" s="12"/>
      <c r="G2022" s="12"/>
      <c r="H2022" s="12"/>
      <c r="I2022" s="12"/>
      <c r="J2022" s="12"/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  <c r="AA2022" s="12"/>
      <c r="AB2022" s="12"/>
      <c r="AC2022" s="12"/>
      <c r="AD2022" s="12"/>
      <c r="AE2022" s="12"/>
      <c r="AF2022" s="12"/>
      <c r="AG2022" s="12"/>
      <c r="AH2022" s="12"/>
      <c r="AI2022" s="12"/>
      <c r="AJ2022" s="12"/>
      <c r="AK2022" s="12"/>
      <c r="AL2022" s="12"/>
      <c r="AM2022" s="12"/>
      <c r="AN2022" s="12"/>
      <c r="AO2022" s="12"/>
    </row>
    <row r="2023" spans="1:41" ht="14.25" x14ac:dyDescent="0.2">
      <c r="A2023" s="2">
        <v>2302</v>
      </c>
      <c r="B2023" s="3" t="s">
        <v>475</v>
      </c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9"/>
      <c r="AI2023" s="9"/>
      <c r="AJ2023" s="9"/>
      <c r="AK2023" s="9"/>
      <c r="AL2023" s="9"/>
      <c r="AM2023" s="9"/>
      <c r="AN2023" s="9"/>
      <c r="AO2023" s="9"/>
    </row>
    <row r="2024" spans="1:41" ht="14.25" x14ac:dyDescent="0.2">
      <c r="A2024" s="2">
        <v>230201</v>
      </c>
      <c r="B2024" s="3" t="s">
        <v>476</v>
      </c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  <c r="AH2024" s="9"/>
      <c r="AI2024" s="9"/>
      <c r="AJ2024" s="9"/>
      <c r="AK2024" s="9"/>
      <c r="AL2024" s="9"/>
      <c r="AM2024" s="9"/>
      <c r="AN2024" s="9"/>
      <c r="AO2024" s="9"/>
    </row>
    <row r="2025" spans="1:41" ht="14.25" x14ac:dyDescent="0.2">
      <c r="A2025" s="2">
        <v>2303</v>
      </c>
      <c r="B2025" s="3" t="s">
        <v>477</v>
      </c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9"/>
      <c r="AI2025" s="9"/>
      <c r="AJ2025" s="9"/>
      <c r="AK2025" s="9"/>
      <c r="AL2025" s="9"/>
      <c r="AM2025" s="9"/>
      <c r="AN2025" s="9"/>
      <c r="AO2025" s="9"/>
    </row>
    <row r="2026" spans="1:41" ht="14.25" x14ac:dyDescent="0.2">
      <c r="A2026" s="2">
        <v>230301</v>
      </c>
      <c r="B2026" s="3" t="s">
        <v>478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9"/>
      <c r="AI2026" s="9"/>
      <c r="AJ2026" s="9"/>
      <c r="AK2026" s="9"/>
      <c r="AL2026" s="9"/>
      <c r="AM2026" s="9"/>
      <c r="AN2026" s="9"/>
      <c r="AO2026" s="9"/>
    </row>
    <row r="2027" spans="1:41" ht="14.25" x14ac:dyDescent="0.2">
      <c r="A2027" s="2">
        <v>2308</v>
      </c>
      <c r="B2027" s="3" t="s">
        <v>479</v>
      </c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9"/>
      <c r="AL2027" s="9"/>
      <c r="AM2027" s="9"/>
      <c r="AN2027" s="9"/>
      <c r="AO2027" s="9"/>
    </row>
    <row r="2028" spans="1:41" x14ac:dyDescent="0.2">
      <c r="A2028" s="5">
        <v>230801</v>
      </c>
      <c r="B2028" s="6" t="s">
        <v>480</v>
      </c>
      <c r="C2028" s="12"/>
      <c r="D2028" s="12"/>
      <c r="E2028" s="12"/>
      <c r="F2028" s="12"/>
      <c r="G2028" s="12"/>
      <c r="H2028" s="12"/>
      <c r="I2028" s="12"/>
      <c r="J2028" s="12"/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  <c r="AC2028" s="12"/>
      <c r="AD2028" s="12"/>
      <c r="AE2028" s="12"/>
      <c r="AF2028" s="12"/>
      <c r="AG2028" s="12"/>
      <c r="AH2028" s="12"/>
      <c r="AI2028" s="12"/>
      <c r="AJ2028" s="12"/>
      <c r="AK2028" s="12"/>
      <c r="AL2028" s="12"/>
      <c r="AM2028" s="12"/>
      <c r="AN2028" s="12"/>
      <c r="AO2028" s="12"/>
    </row>
    <row r="2029" spans="1:41" ht="14.25" x14ac:dyDescent="0.2">
      <c r="A2029" s="2">
        <v>230802</v>
      </c>
      <c r="B2029" s="3" t="s">
        <v>481</v>
      </c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  <c r="AO2029" s="9"/>
    </row>
    <row r="2030" spans="1:41" ht="14.25" x14ac:dyDescent="0.2">
      <c r="A2030" s="2">
        <v>230803</v>
      </c>
      <c r="B2030" s="3" t="s">
        <v>482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  <c r="AO2030" s="9"/>
    </row>
    <row r="2031" spans="1:41" ht="14.25" x14ac:dyDescent="0.2">
      <c r="A2031" s="2">
        <v>24</v>
      </c>
      <c r="B2031" s="3" t="s">
        <v>483</v>
      </c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  <c r="AO2031" s="9"/>
    </row>
    <row r="2032" spans="1:41" ht="28.5" x14ac:dyDescent="0.2">
      <c r="A2032" s="2">
        <v>2402</v>
      </c>
      <c r="B2032" s="4" t="s">
        <v>484</v>
      </c>
      <c r="C2032" s="11"/>
      <c r="D2032" s="11"/>
      <c r="E2032" s="11"/>
      <c r="F2032" s="11"/>
      <c r="G2032" s="11"/>
      <c r="H2032" s="11"/>
      <c r="I2032" s="11"/>
      <c r="J2032" s="11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11"/>
      <c r="AG2032" s="11"/>
      <c r="AH2032" s="11"/>
      <c r="AI2032" s="11"/>
      <c r="AJ2032" s="11"/>
      <c r="AK2032" s="11"/>
      <c r="AL2032" s="11"/>
      <c r="AM2032" s="11"/>
      <c r="AN2032" s="11"/>
      <c r="AO2032" s="11"/>
    </row>
    <row r="2033" spans="1:41" ht="14.25" x14ac:dyDescent="0.2">
      <c r="A2033" s="2">
        <v>240202</v>
      </c>
      <c r="B2033" s="3" t="s">
        <v>485</v>
      </c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9"/>
      <c r="AL2033" s="9"/>
      <c r="AM2033" s="9"/>
      <c r="AN2033" s="9"/>
      <c r="AO2033" s="9"/>
    </row>
    <row r="2034" spans="1:41" ht="14.25" x14ac:dyDescent="0.2">
      <c r="A2034" s="2">
        <v>24020201</v>
      </c>
      <c r="B2034" s="3" t="s">
        <v>486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9"/>
      <c r="AN2034" s="9"/>
      <c r="AO2034" s="9"/>
    </row>
    <row r="2035" spans="1:41" ht="14.25" x14ac:dyDescent="0.2">
      <c r="A2035" s="2">
        <v>24020202</v>
      </c>
      <c r="B2035" s="3" t="s">
        <v>160</v>
      </c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  <c r="AO2035" s="9"/>
    </row>
    <row r="2036" spans="1:41" ht="14.25" x14ac:dyDescent="0.2">
      <c r="A2036" s="2">
        <v>240209</v>
      </c>
      <c r="B2036" s="3" t="s">
        <v>487</v>
      </c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9"/>
      <c r="AI2036" s="9"/>
      <c r="AJ2036" s="9"/>
      <c r="AK2036" s="9"/>
      <c r="AL2036" s="9"/>
      <c r="AM2036" s="9"/>
      <c r="AN2036" s="9"/>
      <c r="AO2036" s="9"/>
    </row>
    <row r="2037" spans="1:41" ht="28.5" x14ac:dyDescent="0.2">
      <c r="A2037" s="2">
        <v>2403</v>
      </c>
      <c r="B2037" s="4" t="s">
        <v>488</v>
      </c>
      <c r="C2037" s="11"/>
      <c r="D2037" s="11"/>
      <c r="E2037" s="11"/>
      <c r="F2037" s="11"/>
      <c r="G2037" s="11"/>
      <c r="H2037" s="11"/>
      <c r="I2037" s="11"/>
      <c r="J2037" s="11"/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1"/>
      <c r="AJ2037" s="11"/>
      <c r="AK2037" s="11"/>
      <c r="AL2037" s="11"/>
      <c r="AM2037" s="11"/>
      <c r="AN2037" s="11"/>
      <c r="AO2037" s="11"/>
    </row>
    <row r="2038" spans="1:41" x14ac:dyDescent="0.2">
      <c r="A2038" s="5">
        <v>240301</v>
      </c>
      <c r="B2038" s="6" t="s">
        <v>95</v>
      </c>
      <c r="C2038" s="12"/>
      <c r="D2038" s="12"/>
      <c r="E2038" s="12"/>
      <c r="F2038" s="12"/>
      <c r="G2038" s="12"/>
      <c r="H2038" s="12"/>
      <c r="I2038" s="12"/>
      <c r="J2038" s="12"/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  <c r="AC2038" s="12"/>
      <c r="AD2038" s="12"/>
      <c r="AE2038" s="12"/>
      <c r="AF2038" s="12"/>
      <c r="AG2038" s="12"/>
      <c r="AH2038" s="12"/>
      <c r="AI2038" s="12"/>
      <c r="AJ2038" s="12"/>
      <c r="AK2038" s="12"/>
      <c r="AL2038" s="12"/>
      <c r="AM2038" s="12"/>
      <c r="AN2038" s="12"/>
      <c r="AO2038" s="12"/>
    </row>
    <row r="2039" spans="1:41" ht="14.25" x14ac:dyDescent="0.2">
      <c r="A2039" s="2">
        <v>240302</v>
      </c>
      <c r="B2039" s="3" t="s">
        <v>485</v>
      </c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  <c r="AO2039" s="9"/>
    </row>
    <row r="2040" spans="1:41" ht="14.25" x14ac:dyDescent="0.2">
      <c r="A2040" s="2">
        <v>24030201</v>
      </c>
      <c r="B2040" s="3" t="s">
        <v>486</v>
      </c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9"/>
      <c r="AI2040" s="9"/>
      <c r="AJ2040" s="9"/>
      <c r="AK2040" s="9"/>
      <c r="AL2040" s="9"/>
      <c r="AM2040" s="9"/>
      <c r="AN2040" s="9"/>
      <c r="AO2040" s="9"/>
    </row>
    <row r="2041" spans="1:41" ht="14.25" x14ac:dyDescent="0.2">
      <c r="A2041" s="2">
        <v>24030202</v>
      </c>
      <c r="B2041" s="3" t="s">
        <v>160</v>
      </c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9"/>
      <c r="AI2041" s="9"/>
      <c r="AJ2041" s="9"/>
      <c r="AK2041" s="9"/>
      <c r="AL2041" s="9"/>
      <c r="AM2041" s="9"/>
      <c r="AN2041" s="9"/>
      <c r="AO2041" s="9"/>
    </row>
    <row r="2042" spans="1:41" ht="14.25" x14ac:dyDescent="0.2">
      <c r="A2042" s="2">
        <v>240304</v>
      </c>
      <c r="B2042" s="3" t="s">
        <v>489</v>
      </c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9"/>
      <c r="AI2042" s="9"/>
      <c r="AJ2042" s="9"/>
      <c r="AK2042" s="9"/>
      <c r="AL2042" s="9"/>
      <c r="AM2042" s="9"/>
      <c r="AN2042" s="9"/>
      <c r="AO2042" s="9"/>
    </row>
    <row r="2043" spans="1:41" ht="14.25" x14ac:dyDescent="0.2">
      <c r="A2043" s="2">
        <v>240306</v>
      </c>
      <c r="B2043" s="3" t="s">
        <v>490</v>
      </c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9"/>
      <c r="AI2043" s="9"/>
      <c r="AJ2043" s="9"/>
      <c r="AK2043" s="9"/>
      <c r="AL2043" s="9"/>
      <c r="AM2043" s="9"/>
      <c r="AN2043" s="9"/>
      <c r="AO2043" s="9"/>
    </row>
    <row r="2044" spans="1:41" ht="14.25" x14ac:dyDescent="0.2">
      <c r="A2044" s="2">
        <v>240309</v>
      </c>
      <c r="B2044" s="3" t="s">
        <v>487</v>
      </c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  <c r="AK2044" s="9"/>
      <c r="AL2044" s="9"/>
      <c r="AM2044" s="9"/>
      <c r="AN2044" s="9"/>
      <c r="AO2044" s="9"/>
    </row>
    <row r="2045" spans="1:41" ht="28.5" x14ac:dyDescent="0.2">
      <c r="A2045" s="2">
        <v>2404</v>
      </c>
      <c r="B2045" s="4" t="s">
        <v>491</v>
      </c>
      <c r="C2045" s="11"/>
      <c r="D2045" s="11"/>
      <c r="E2045" s="11"/>
      <c r="F2045" s="11"/>
      <c r="G2045" s="11"/>
      <c r="H2045" s="11"/>
      <c r="I2045" s="11"/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11"/>
      <c r="AG2045" s="11"/>
      <c r="AH2045" s="11"/>
      <c r="AI2045" s="11"/>
      <c r="AJ2045" s="11"/>
      <c r="AK2045" s="11"/>
      <c r="AL2045" s="11"/>
      <c r="AM2045" s="11"/>
      <c r="AN2045" s="11"/>
      <c r="AO2045" s="11"/>
    </row>
    <row r="2046" spans="1:41" x14ac:dyDescent="0.2">
      <c r="A2046" s="5">
        <v>240401</v>
      </c>
      <c r="B2046" s="6" t="s">
        <v>95</v>
      </c>
      <c r="C2046" s="12"/>
      <c r="D2046" s="12"/>
      <c r="E2046" s="12"/>
      <c r="F2046" s="12"/>
      <c r="G2046" s="12"/>
      <c r="H2046" s="12"/>
      <c r="I2046" s="12"/>
      <c r="J2046" s="12"/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2"/>
      <c r="AE2046" s="12"/>
      <c r="AF2046" s="12"/>
      <c r="AG2046" s="12"/>
      <c r="AH2046" s="12"/>
      <c r="AI2046" s="12"/>
      <c r="AJ2046" s="12"/>
      <c r="AK2046" s="12"/>
      <c r="AL2046" s="12"/>
      <c r="AM2046" s="12"/>
      <c r="AN2046" s="12"/>
      <c r="AO2046" s="12"/>
    </row>
    <row r="2047" spans="1:41" ht="14.25" x14ac:dyDescent="0.2">
      <c r="A2047" s="2">
        <v>240402</v>
      </c>
      <c r="B2047" s="3" t="s">
        <v>485</v>
      </c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9"/>
      <c r="AI2047" s="9"/>
      <c r="AJ2047" s="9"/>
      <c r="AK2047" s="9"/>
      <c r="AL2047" s="9"/>
      <c r="AM2047" s="9"/>
      <c r="AN2047" s="9"/>
      <c r="AO2047" s="9"/>
    </row>
    <row r="2048" spans="1:41" ht="14.25" x14ac:dyDescent="0.2">
      <c r="A2048" s="2">
        <v>24040201</v>
      </c>
      <c r="B2048" s="3" t="s">
        <v>486</v>
      </c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  <c r="AO2048" s="9"/>
    </row>
    <row r="2049" spans="1:41" ht="14.25" x14ac:dyDescent="0.2">
      <c r="A2049" s="2">
        <v>24040202</v>
      </c>
      <c r="B2049" s="3" t="s">
        <v>160</v>
      </c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  <c r="AO2049" s="9"/>
    </row>
    <row r="2050" spans="1:41" ht="14.25" x14ac:dyDescent="0.2">
      <c r="A2050" s="2">
        <v>240409</v>
      </c>
      <c r="B2050" s="3" t="s">
        <v>487</v>
      </c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  <c r="AO2050" s="9"/>
    </row>
    <row r="2051" spans="1:41" ht="28.5" x14ac:dyDescent="0.2">
      <c r="A2051" s="2">
        <v>2405</v>
      </c>
      <c r="B2051" s="4" t="s">
        <v>492</v>
      </c>
      <c r="C2051" s="11"/>
      <c r="D2051" s="11"/>
      <c r="E2051" s="11"/>
      <c r="F2051" s="11"/>
      <c r="G2051" s="11"/>
      <c r="H2051" s="11"/>
      <c r="I2051" s="11"/>
      <c r="J2051" s="11"/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11"/>
      <c r="AG2051" s="11"/>
      <c r="AH2051" s="11"/>
      <c r="AI2051" s="11"/>
      <c r="AJ2051" s="11"/>
      <c r="AK2051" s="11"/>
      <c r="AL2051" s="11"/>
      <c r="AM2051" s="11"/>
      <c r="AN2051" s="11"/>
      <c r="AO2051" s="11"/>
    </row>
    <row r="2052" spans="1:41" ht="14.25" x14ac:dyDescent="0.2">
      <c r="A2052" s="2">
        <v>240502</v>
      </c>
      <c r="B2052" s="3" t="s">
        <v>485</v>
      </c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  <c r="AK2052" s="9"/>
      <c r="AL2052" s="9"/>
      <c r="AM2052" s="9"/>
      <c r="AN2052" s="9"/>
      <c r="AO2052" s="9"/>
    </row>
    <row r="2053" spans="1:41" ht="14.25" x14ac:dyDescent="0.2">
      <c r="A2053" s="2">
        <v>24050201</v>
      </c>
      <c r="B2053" s="3" t="s">
        <v>486</v>
      </c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  <c r="AO2053" s="9"/>
    </row>
    <row r="2054" spans="1:41" ht="14.25" x14ac:dyDescent="0.2">
      <c r="A2054" s="2">
        <v>24050202</v>
      </c>
      <c r="B2054" s="3" t="s">
        <v>160</v>
      </c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  <c r="AO2054" s="9"/>
    </row>
    <row r="2055" spans="1:41" ht="14.25" x14ac:dyDescent="0.2">
      <c r="A2055" s="2">
        <v>240509</v>
      </c>
      <c r="B2055" s="3" t="s">
        <v>487</v>
      </c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  <c r="AH2055" s="9"/>
      <c r="AI2055" s="9"/>
      <c r="AJ2055" s="9"/>
      <c r="AK2055" s="9"/>
      <c r="AL2055" s="9"/>
      <c r="AM2055" s="9"/>
      <c r="AN2055" s="9"/>
      <c r="AO2055" s="9"/>
    </row>
    <row r="2056" spans="1:41" ht="14.25" x14ac:dyDescent="0.2">
      <c r="A2056" s="2">
        <v>2406</v>
      </c>
      <c r="B2056" s="3" t="s">
        <v>493</v>
      </c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9"/>
    </row>
    <row r="2057" spans="1:41" ht="14.25" x14ac:dyDescent="0.2">
      <c r="A2057" s="2">
        <v>240602</v>
      </c>
      <c r="B2057" s="3" t="s">
        <v>485</v>
      </c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  <c r="AO2057" s="9"/>
    </row>
    <row r="2058" spans="1:41" ht="14.25" x14ac:dyDescent="0.2">
      <c r="A2058" s="2">
        <v>24060201</v>
      </c>
      <c r="B2058" s="3" t="s">
        <v>486</v>
      </c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  <c r="AO2058" s="9"/>
    </row>
    <row r="2059" spans="1:41" ht="14.25" x14ac:dyDescent="0.2">
      <c r="A2059" s="2">
        <v>24060202</v>
      </c>
      <c r="B2059" s="3" t="s">
        <v>160</v>
      </c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  <c r="AO2059" s="9"/>
    </row>
    <row r="2060" spans="1:41" ht="14.25" x14ac:dyDescent="0.2">
      <c r="A2060" s="2">
        <v>240606</v>
      </c>
      <c r="B2060" s="3" t="s">
        <v>490</v>
      </c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  <c r="AO2060" s="9"/>
    </row>
    <row r="2061" spans="1:41" ht="14.25" x14ac:dyDescent="0.2">
      <c r="A2061" s="2">
        <v>240609</v>
      </c>
      <c r="B2061" s="3" t="s">
        <v>487</v>
      </c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  <c r="AO2061" s="9"/>
    </row>
    <row r="2062" spans="1:41" ht="14.25" x14ac:dyDescent="0.2">
      <c r="A2062" s="2">
        <v>2407</v>
      </c>
      <c r="B2062" s="3" t="s">
        <v>494</v>
      </c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  <c r="AO2062" s="9"/>
    </row>
    <row r="2063" spans="1:41" ht="14.25" x14ac:dyDescent="0.2">
      <c r="A2063" s="2">
        <v>240702</v>
      </c>
      <c r="B2063" s="3" t="s">
        <v>485</v>
      </c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  <c r="AO2063" s="9"/>
    </row>
    <row r="2064" spans="1:41" ht="14.25" x14ac:dyDescent="0.2">
      <c r="A2064" s="2">
        <v>24070201</v>
      </c>
      <c r="B2064" s="3" t="s">
        <v>486</v>
      </c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9"/>
      <c r="AH2064" s="9"/>
      <c r="AI2064" s="9"/>
      <c r="AJ2064" s="9"/>
      <c r="AK2064" s="9"/>
      <c r="AL2064" s="9"/>
      <c r="AM2064" s="9"/>
      <c r="AN2064" s="9"/>
      <c r="AO2064" s="9"/>
    </row>
    <row r="2065" spans="1:41" ht="14.25" x14ac:dyDescent="0.2">
      <c r="A2065" s="2">
        <v>24070202</v>
      </c>
      <c r="B2065" s="3" t="s">
        <v>160</v>
      </c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  <c r="AO2065" s="9"/>
    </row>
    <row r="2066" spans="1:41" ht="14.25" x14ac:dyDescent="0.2">
      <c r="A2066" s="2">
        <v>240706</v>
      </c>
      <c r="B2066" s="3" t="s">
        <v>490</v>
      </c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  <c r="AO2066" s="9"/>
    </row>
    <row r="2067" spans="1:41" ht="14.25" x14ac:dyDescent="0.2">
      <c r="A2067" s="2">
        <v>240709</v>
      </c>
      <c r="B2067" s="3" t="s">
        <v>487</v>
      </c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  <c r="AO2067" s="9"/>
    </row>
    <row r="2068" spans="1:41" ht="28.5" x14ac:dyDescent="0.2">
      <c r="A2068" s="2">
        <v>2408</v>
      </c>
      <c r="B2068" s="4" t="s">
        <v>495</v>
      </c>
      <c r="C2068" s="11"/>
      <c r="D2068" s="11"/>
      <c r="E2068" s="11"/>
      <c r="F2068" s="11"/>
      <c r="G2068" s="11"/>
      <c r="H2068" s="11"/>
      <c r="I2068" s="11"/>
      <c r="J2068" s="11"/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11"/>
      <c r="AG2068" s="11"/>
      <c r="AH2068" s="11"/>
      <c r="AI2068" s="11"/>
      <c r="AJ2068" s="11"/>
      <c r="AK2068" s="11"/>
      <c r="AL2068" s="11"/>
      <c r="AM2068" s="11"/>
      <c r="AN2068" s="11"/>
      <c r="AO2068" s="11"/>
    </row>
    <row r="2069" spans="1:41" ht="28.5" x14ac:dyDescent="0.2">
      <c r="A2069" s="2">
        <v>240802</v>
      </c>
      <c r="B2069" s="4" t="s">
        <v>496</v>
      </c>
      <c r="C2069" s="11"/>
      <c r="D2069" s="11"/>
      <c r="E2069" s="11"/>
      <c r="F2069" s="11"/>
      <c r="G2069" s="11"/>
      <c r="H2069" s="11"/>
      <c r="I2069" s="11"/>
      <c r="J2069" s="11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11"/>
      <c r="AG2069" s="11"/>
      <c r="AH2069" s="11"/>
      <c r="AI2069" s="11"/>
      <c r="AJ2069" s="11"/>
      <c r="AK2069" s="11"/>
      <c r="AL2069" s="11"/>
      <c r="AM2069" s="11"/>
      <c r="AN2069" s="11"/>
      <c r="AO2069" s="11"/>
    </row>
    <row r="2070" spans="1:41" ht="28.5" x14ac:dyDescent="0.2">
      <c r="A2070" s="2">
        <v>240803</v>
      </c>
      <c r="B2070" s="4" t="s">
        <v>497</v>
      </c>
      <c r="C2070" s="11"/>
      <c r="D2070" s="11"/>
      <c r="E2070" s="11"/>
      <c r="F2070" s="11"/>
      <c r="G2070" s="11"/>
      <c r="H2070" s="11"/>
      <c r="I2070" s="11"/>
      <c r="J2070" s="11"/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</row>
    <row r="2071" spans="1:41" ht="28.5" x14ac:dyDescent="0.2">
      <c r="A2071" s="2">
        <v>240804</v>
      </c>
      <c r="B2071" s="4" t="s">
        <v>498</v>
      </c>
      <c r="C2071" s="11"/>
      <c r="D2071" s="11"/>
      <c r="E2071" s="11"/>
      <c r="F2071" s="11"/>
      <c r="G2071" s="11"/>
      <c r="H2071" s="11"/>
      <c r="I2071" s="11"/>
      <c r="J2071" s="11"/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11"/>
      <c r="AG2071" s="11"/>
      <c r="AH2071" s="11"/>
      <c r="AI2071" s="11"/>
      <c r="AJ2071" s="11"/>
      <c r="AK2071" s="11"/>
      <c r="AL2071" s="11"/>
      <c r="AM2071" s="11"/>
      <c r="AN2071" s="11"/>
      <c r="AO2071" s="11"/>
    </row>
    <row r="2072" spans="1:41" ht="28.5" x14ac:dyDescent="0.2">
      <c r="A2072" s="2">
        <v>240805</v>
      </c>
      <c r="B2072" s="4" t="s">
        <v>499</v>
      </c>
      <c r="C2072" s="11"/>
      <c r="D2072" s="11"/>
      <c r="E2072" s="11"/>
      <c r="F2072" s="11"/>
      <c r="G2072" s="11"/>
      <c r="H2072" s="11"/>
      <c r="I2072" s="11"/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11"/>
      <c r="AG2072" s="11"/>
      <c r="AH2072" s="11"/>
      <c r="AI2072" s="11"/>
      <c r="AJ2072" s="11"/>
      <c r="AK2072" s="11"/>
      <c r="AL2072" s="11"/>
      <c r="AM2072" s="11"/>
      <c r="AN2072" s="11"/>
      <c r="AO2072" s="11"/>
    </row>
    <row r="2073" spans="1:41" ht="14.25" x14ac:dyDescent="0.2">
      <c r="A2073" s="2">
        <v>240806</v>
      </c>
      <c r="B2073" s="3" t="s">
        <v>500</v>
      </c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9"/>
      <c r="AH2073" s="9"/>
      <c r="AI2073" s="9"/>
      <c r="AJ2073" s="9"/>
      <c r="AK2073" s="9"/>
      <c r="AL2073" s="9"/>
      <c r="AM2073" s="9"/>
      <c r="AN2073" s="9"/>
      <c r="AO2073" s="9"/>
    </row>
    <row r="2074" spans="1:41" ht="14.25" x14ac:dyDescent="0.2">
      <c r="A2074" s="2">
        <v>240807</v>
      </c>
      <c r="B2074" s="3" t="s">
        <v>501</v>
      </c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9"/>
      <c r="AH2074" s="9"/>
      <c r="AI2074" s="9"/>
      <c r="AJ2074" s="9"/>
      <c r="AK2074" s="9"/>
      <c r="AL2074" s="9"/>
      <c r="AM2074" s="9"/>
      <c r="AN2074" s="9"/>
      <c r="AO2074" s="9"/>
    </row>
    <row r="2075" spans="1:41" ht="14.25" x14ac:dyDescent="0.2">
      <c r="A2075" s="2">
        <v>25</v>
      </c>
      <c r="B2075" s="3" t="s">
        <v>502</v>
      </c>
      <c r="C2075" s="20">
        <f>+C2095+C2127+C2140+C2145</f>
        <v>-517509.82999999996</v>
      </c>
      <c r="D2075" s="20">
        <f t="shared" ref="D2075:AO2075" si="65">+D2095+D2127+D2140+D2145</f>
        <v>-588155.84999999986</v>
      </c>
      <c r="E2075" s="20">
        <f t="shared" si="65"/>
        <v>-711248.66</v>
      </c>
      <c r="F2075" s="20">
        <f t="shared" si="65"/>
        <v>-882546.51</v>
      </c>
      <c r="G2075" s="20">
        <f t="shared" si="65"/>
        <v>-894057.97</v>
      </c>
      <c r="H2075" s="20">
        <f t="shared" si="65"/>
        <v>-880667.62</v>
      </c>
      <c r="I2075" s="20">
        <f t="shared" si="65"/>
        <v>-1532112.91</v>
      </c>
      <c r="J2075" s="20">
        <f t="shared" si="65"/>
        <v>-1606150.51</v>
      </c>
      <c r="K2075" s="20">
        <f t="shared" si="65"/>
        <v>-1620802.7300000002</v>
      </c>
      <c r="L2075" s="20">
        <f t="shared" si="65"/>
        <v>-1702739.8800000001</v>
      </c>
      <c r="M2075" s="20">
        <f t="shared" si="65"/>
        <v>-1676732.2999999998</v>
      </c>
      <c r="N2075" s="20">
        <f t="shared" si="65"/>
        <v>-1215498.44</v>
      </c>
      <c r="O2075" s="20">
        <f t="shared" si="65"/>
        <v>-533804.14999999991</v>
      </c>
      <c r="P2075" s="20">
        <f t="shared" si="65"/>
        <v>-623931.39</v>
      </c>
      <c r="Q2075" s="20">
        <f t="shared" si="65"/>
        <v>-665047.65999999992</v>
      </c>
      <c r="R2075" s="20">
        <f t="shared" si="65"/>
        <v>-715605.83999999985</v>
      </c>
      <c r="S2075" s="20">
        <f t="shared" si="65"/>
        <v>-643329.19999999995</v>
      </c>
      <c r="T2075" s="20">
        <f t="shared" si="65"/>
        <v>-700006.31</v>
      </c>
      <c r="U2075" s="20">
        <f t="shared" si="65"/>
        <v>-589851.70000000007</v>
      </c>
      <c r="V2075" s="20">
        <f t="shared" si="65"/>
        <v>-640765.30000000005</v>
      </c>
      <c r="W2075" s="20">
        <f t="shared" si="65"/>
        <v>-739062.09</v>
      </c>
      <c r="X2075" s="20">
        <f t="shared" si="65"/>
        <v>-873772.69</v>
      </c>
      <c r="Y2075" s="20">
        <f t="shared" si="65"/>
        <v>-755226.34999999986</v>
      </c>
      <c r="Z2075" s="20">
        <f t="shared" si="65"/>
        <v>-426971.08999999997</v>
      </c>
      <c r="AA2075" s="20">
        <f t="shared" si="65"/>
        <v>-461035.43999999994</v>
      </c>
      <c r="AB2075" s="20">
        <f t="shared" si="65"/>
        <v>-593798.46</v>
      </c>
      <c r="AC2075" s="20">
        <f t="shared" si="65"/>
        <v>-747803.85000000009</v>
      </c>
      <c r="AD2075" s="20">
        <f t="shared" si="65"/>
        <v>-742607.83</v>
      </c>
      <c r="AE2075" s="20">
        <f t="shared" si="65"/>
        <v>-629778.46</v>
      </c>
      <c r="AF2075" s="20">
        <f t="shared" si="65"/>
        <v>-847679.58</v>
      </c>
      <c r="AG2075" s="20">
        <f t="shared" si="65"/>
        <v>-612930.17000000004</v>
      </c>
      <c r="AH2075" s="20">
        <f t="shared" si="65"/>
        <v>-737454.58</v>
      </c>
      <c r="AI2075" s="20">
        <f t="shared" si="65"/>
        <v>-884403.96</v>
      </c>
      <c r="AJ2075" s="20">
        <f t="shared" si="65"/>
        <v>-1031580.2399999999</v>
      </c>
      <c r="AK2075" s="20">
        <f t="shared" si="65"/>
        <v>-1029232.77</v>
      </c>
      <c r="AL2075" s="20">
        <f t="shared" si="65"/>
        <v>-357815.33</v>
      </c>
      <c r="AM2075" s="20">
        <f t="shared" si="65"/>
        <v>-490313.4</v>
      </c>
      <c r="AN2075" s="20">
        <f t="shared" si="65"/>
        <v>-652985.36999999988</v>
      </c>
      <c r="AO2075" s="20">
        <f t="shared" si="65"/>
        <v>-661025.22</v>
      </c>
    </row>
    <row r="2076" spans="1:41" x14ac:dyDescent="0.2">
      <c r="A2076" s="5">
        <v>2502</v>
      </c>
      <c r="B2076" s="6" t="s">
        <v>226</v>
      </c>
      <c r="C2076" s="12"/>
      <c r="D2076" s="12"/>
      <c r="E2076" s="12"/>
      <c r="F2076" s="12"/>
      <c r="G2076" s="12"/>
      <c r="H2076" s="12"/>
      <c r="I2076" s="12"/>
      <c r="J2076" s="12"/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  <c r="AC2076" s="12"/>
      <c r="AD2076" s="12"/>
      <c r="AE2076" s="12"/>
      <c r="AF2076" s="12"/>
      <c r="AG2076" s="12"/>
      <c r="AH2076" s="12"/>
      <c r="AI2076" s="12"/>
      <c r="AJ2076" s="12"/>
      <c r="AK2076" s="12"/>
      <c r="AL2076" s="12"/>
      <c r="AM2076" s="12"/>
      <c r="AN2076" s="12"/>
      <c r="AO2076" s="12"/>
    </row>
    <row r="2077" spans="1:41" x14ac:dyDescent="0.2">
      <c r="A2077" s="5">
        <v>250201</v>
      </c>
      <c r="B2077" s="6" t="s">
        <v>227</v>
      </c>
      <c r="C2077" s="12"/>
      <c r="D2077" s="12"/>
      <c r="E2077" s="12"/>
      <c r="F2077" s="12"/>
      <c r="G2077" s="12"/>
      <c r="H2077" s="12"/>
      <c r="I2077" s="12"/>
      <c r="J2077" s="12"/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2"/>
      <c r="AE2077" s="12"/>
      <c r="AF2077" s="12"/>
      <c r="AG2077" s="12"/>
      <c r="AH2077" s="12"/>
      <c r="AI2077" s="12"/>
      <c r="AJ2077" s="12"/>
      <c r="AK2077" s="12"/>
      <c r="AL2077" s="12"/>
      <c r="AM2077" s="12"/>
      <c r="AN2077" s="12"/>
      <c r="AO2077" s="12"/>
    </row>
    <row r="2078" spans="1:41" x14ac:dyDescent="0.2">
      <c r="A2078" s="5">
        <v>250202</v>
      </c>
      <c r="B2078" s="6" t="s">
        <v>228</v>
      </c>
      <c r="C2078" s="12"/>
      <c r="D2078" s="12"/>
      <c r="E2078" s="12"/>
      <c r="F2078" s="12"/>
      <c r="G2078" s="12"/>
      <c r="H2078" s="12"/>
      <c r="I2078" s="12"/>
      <c r="J2078" s="12"/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2"/>
      <c r="AE2078" s="12"/>
      <c r="AF2078" s="12"/>
      <c r="AG2078" s="12"/>
      <c r="AH2078" s="12"/>
      <c r="AI2078" s="12"/>
      <c r="AJ2078" s="12"/>
      <c r="AK2078" s="12"/>
      <c r="AL2078" s="12"/>
      <c r="AM2078" s="12"/>
      <c r="AN2078" s="12"/>
      <c r="AO2078" s="12"/>
    </row>
    <row r="2079" spans="1:41" x14ac:dyDescent="0.2">
      <c r="A2079" s="5">
        <v>250203</v>
      </c>
      <c r="B2079" s="6" t="s">
        <v>229</v>
      </c>
      <c r="C2079" s="12"/>
      <c r="D2079" s="12"/>
      <c r="E2079" s="12"/>
      <c r="F2079" s="12"/>
      <c r="G2079" s="12"/>
      <c r="H2079" s="12"/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2"/>
      <c r="AE2079" s="12"/>
      <c r="AF2079" s="12"/>
      <c r="AG2079" s="12"/>
      <c r="AH2079" s="12"/>
      <c r="AI2079" s="12"/>
      <c r="AJ2079" s="12"/>
      <c r="AK2079" s="12"/>
      <c r="AL2079" s="12"/>
      <c r="AM2079" s="12"/>
      <c r="AN2079" s="12"/>
      <c r="AO2079" s="12"/>
    </row>
    <row r="2080" spans="1:41" x14ac:dyDescent="0.2">
      <c r="A2080" s="5">
        <v>250205</v>
      </c>
      <c r="B2080" s="6" t="s">
        <v>230</v>
      </c>
      <c r="C2080" s="12"/>
      <c r="D2080" s="12"/>
      <c r="E2080" s="12"/>
      <c r="F2080" s="12"/>
      <c r="G2080" s="12"/>
      <c r="H2080" s="12"/>
      <c r="I2080" s="12"/>
      <c r="J2080" s="12"/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2"/>
      <c r="AE2080" s="12"/>
      <c r="AF2080" s="12"/>
      <c r="AG2080" s="12"/>
      <c r="AH2080" s="12"/>
      <c r="AI2080" s="12"/>
      <c r="AJ2080" s="12"/>
      <c r="AK2080" s="12"/>
      <c r="AL2080" s="12"/>
      <c r="AM2080" s="12"/>
      <c r="AN2080" s="12"/>
      <c r="AO2080" s="12"/>
    </row>
    <row r="2081" spans="1:41" x14ac:dyDescent="0.2">
      <c r="A2081" s="5">
        <v>250209</v>
      </c>
      <c r="B2081" s="6" t="s">
        <v>231</v>
      </c>
      <c r="C2081" s="12"/>
      <c r="D2081" s="12"/>
      <c r="E2081" s="12"/>
      <c r="F2081" s="12"/>
      <c r="G2081" s="12"/>
      <c r="H2081" s="12"/>
      <c r="I2081" s="12"/>
      <c r="J2081" s="12"/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  <c r="AG2081" s="12"/>
      <c r="AH2081" s="12"/>
      <c r="AI2081" s="12"/>
      <c r="AJ2081" s="12"/>
      <c r="AK2081" s="12"/>
      <c r="AL2081" s="12"/>
      <c r="AM2081" s="12"/>
      <c r="AN2081" s="12"/>
      <c r="AO2081" s="12"/>
    </row>
    <row r="2082" spans="1:41" ht="14.25" x14ac:dyDescent="0.2">
      <c r="A2082" s="2">
        <v>2503</v>
      </c>
      <c r="B2082" s="3" t="s">
        <v>232</v>
      </c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  <c r="AF2082" s="9"/>
      <c r="AG2082" s="9"/>
      <c r="AH2082" s="9"/>
      <c r="AI2082" s="9"/>
      <c r="AJ2082" s="9"/>
      <c r="AK2082" s="9"/>
      <c r="AL2082" s="9"/>
      <c r="AM2082" s="9"/>
      <c r="AN2082" s="9"/>
      <c r="AO2082" s="9"/>
    </row>
    <row r="2083" spans="1:41" ht="14.25" x14ac:dyDescent="0.2">
      <c r="A2083" s="2">
        <v>250301</v>
      </c>
      <c r="B2083" s="3" t="s">
        <v>503</v>
      </c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  <c r="AO2083" s="9"/>
    </row>
    <row r="2084" spans="1:41" ht="14.25" x14ac:dyDescent="0.2">
      <c r="A2084" s="2">
        <v>25030101</v>
      </c>
      <c r="B2084" s="3" t="s">
        <v>234</v>
      </c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  <c r="AO2084" s="9"/>
    </row>
    <row r="2085" spans="1:41" x14ac:dyDescent="0.2">
      <c r="A2085" s="5">
        <v>25030102</v>
      </c>
      <c r="B2085" s="6" t="s">
        <v>504</v>
      </c>
      <c r="C2085" s="12"/>
      <c r="D2085" s="12"/>
      <c r="E2085" s="12"/>
      <c r="F2085" s="12"/>
      <c r="G2085" s="12"/>
      <c r="H2085" s="12"/>
      <c r="I2085" s="12"/>
      <c r="J2085" s="12"/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2"/>
      <c r="AE2085" s="12"/>
      <c r="AF2085" s="12"/>
      <c r="AG2085" s="12"/>
      <c r="AH2085" s="12"/>
      <c r="AI2085" s="12"/>
      <c r="AJ2085" s="12"/>
      <c r="AK2085" s="12"/>
      <c r="AL2085" s="12"/>
      <c r="AM2085" s="12"/>
      <c r="AN2085" s="12"/>
      <c r="AO2085" s="12"/>
    </row>
    <row r="2086" spans="1:41" x14ac:dyDescent="0.2">
      <c r="A2086" s="5">
        <v>25030103</v>
      </c>
      <c r="B2086" s="6" t="s">
        <v>229</v>
      </c>
      <c r="C2086" s="12"/>
      <c r="D2086" s="12"/>
      <c r="E2086" s="12"/>
      <c r="F2086" s="12"/>
      <c r="G2086" s="12"/>
      <c r="H2086" s="12"/>
      <c r="I2086" s="12"/>
      <c r="J2086" s="12"/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2"/>
      <c r="AE2086" s="12"/>
      <c r="AF2086" s="12"/>
      <c r="AG2086" s="12"/>
      <c r="AH2086" s="12"/>
      <c r="AI2086" s="12"/>
      <c r="AJ2086" s="12"/>
      <c r="AK2086" s="12"/>
      <c r="AL2086" s="12"/>
      <c r="AM2086" s="12"/>
      <c r="AN2086" s="12"/>
      <c r="AO2086" s="12"/>
    </row>
    <row r="2087" spans="1:41" x14ac:dyDescent="0.2">
      <c r="A2087" s="5">
        <v>25030105</v>
      </c>
      <c r="B2087" s="6" t="s">
        <v>230</v>
      </c>
      <c r="C2087" s="12"/>
      <c r="D2087" s="12"/>
      <c r="E2087" s="12"/>
      <c r="F2087" s="12"/>
      <c r="G2087" s="12"/>
      <c r="H2087" s="12"/>
      <c r="I2087" s="12"/>
      <c r="J2087" s="12"/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  <c r="AA2087" s="12"/>
      <c r="AB2087" s="12"/>
      <c r="AC2087" s="12"/>
      <c r="AD2087" s="12"/>
      <c r="AE2087" s="12"/>
      <c r="AF2087" s="12"/>
      <c r="AG2087" s="12"/>
      <c r="AH2087" s="12"/>
      <c r="AI2087" s="12"/>
      <c r="AJ2087" s="12"/>
      <c r="AK2087" s="12"/>
      <c r="AL2087" s="12"/>
      <c r="AM2087" s="12"/>
      <c r="AN2087" s="12"/>
      <c r="AO2087" s="12"/>
    </row>
    <row r="2088" spans="1:41" x14ac:dyDescent="0.2">
      <c r="A2088" s="5">
        <v>25030109</v>
      </c>
      <c r="B2088" s="6" t="s">
        <v>231</v>
      </c>
      <c r="C2088" s="12"/>
      <c r="D2088" s="12"/>
      <c r="E2088" s="12"/>
      <c r="F2088" s="12"/>
      <c r="G2088" s="12"/>
      <c r="H2088" s="12"/>
      <c r="I2088" s="12"/>
      <c r="J2088" s="12"/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  <c r="AA2088" s="12"/>
      <c r="AB2088" s="12"/>
      <c r="AC2088" s="12"/>
      <c r="AD2088" s="12"/>
      <c r="AE2088" s="12"/>
      <c r="AF2088" s="12"/>
      <c r="AG2088" s="12"/>
      <c r="AH2088" s="12"/>
      <c r="AI2088" s="12"/>
      <c r="AJ2088" s="12"/>
      <c r="AK2088" s="12"/>
      <c r="AL2088" s="12"/>
      <c r="AM2088" s="12"/>
      <c r="AN2088" s="12"/>
      <c r="AO2088" s="12"/>
    </row>
    <row r="2089" spans="1:41" ht="14.25" x14ac:dyDescent="0.2">
      <c r="A2089" s="2">
        <v>250302</v>
      </c>
      <c r="B2089" s="3" t="s">
        <v>235</v>
      </c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  <c r="AO2089" s="9"/>
    </row>
    <row r="2090" spans="1:41" ht="14.25" x14ac:dyDescent="0.2">
      <c r="A2090" s="2">
        <v>25030201</v>
      </c>
      <c r="B2090" s="3" t="s">
        <v>234</v>
      </c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  <c r="AO2090" s="9"/>
    </row>
    <row r="2091" spans="1:41" x14ac:dyDescent="0.2">
      <c r="A2091" s="5">
        <v>25030202</v>
      </c>
      <c r="B2091" s="6" t="s">
        <v>228</v>
      </c>
      <c r="C2091" s="12"/>
      <c r="D2091" s="12"/>
      <c r="E2091" s="12"/>
      <c r="F2091" s="12"/>
      <c r="G2091" s="12"/>
      <c r="H2091" s="12"/>
      <c r="I2091" s="12"/>
      <c r="J2091" s="12"/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2"/>
      <c r="AB2091" s="12"/>
      <c r="AC2091" s="12"/>
      <c r="AD2091" s="12"/>
      <c r="AE2091" s="12"/>
      <c r="AF2091" s="12"/>
      <c r="AG2091" s="12"/>
      <c r="AH2091" s="12"/>
      <c r="AI2091" s="12"/>
      <c r="AJ2091" s="12"/>
      <c r="AK2091" s="12"/>
      <c r="AL2091" s="12"/>
      <c r="AM2091" s="12"/>
      <c r="AN2091" s="12"/>
      <c r="AO2091" s="12"/>
    </row>
    <row r="2092" spans="1:41" x14ac:dyDescent="0.2">
      <c r="A2092" s="5">
        <v>25030203</v>
      </c>
      <c r="B2092" s="6" t="s">
        <v>229</v>
      </c>
      <c r="C2092" s="12"/>
      <c r="D2092" s="12"/>
      <c r="E2092" s="12"/>
      <c r="F2092" s="12"/>
      <c r="G2092" s="12"/>
      <c r="H2092" s="12"/>
      <c r="I2092" s="12"/>
      <c r="J2092" s="12"/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2"/>
      <c r="AE2092" s="12"/>
      <c r="AF2092" s="12"/>
      <c r="AG2092" s="12"/>
      <c r="AH2092" s="12"/>
      <c r="AI2092" s="12"/>
      <c r="AJ2092" s="12"/>
      <c r="AK2092" s="12"/>
      <c r="AL2092" s="12"/>
      <c r="AM2092" s="12"/>
      <c r="AN2092" s="12"/>
      <c r="AO2092" s="12"/>
    </row>
    <row r="2093" spans="1:41" x14ac:dyDescent="0.2">
      <c r="A2093" s="5">
        <v>25030205</v>
      </c>
      <c r="B2093" s="6" t="s">
        <v>230</v>
      </c>
      <c r="C2093" s="12"/>
      <c r="D2093" s="12"/>
      <c r="E2093" s="12"/>
      <c r="F2093" s="12"/>
      <c r="G2093" s="12"/>
      <c r="H2093" s="12"/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2"/>
      <c r="AE2093" s="12"/>
      <c r="AF2093" s="12"/>
      <c r="AG2093" s="12"/>
      <c r="AH2093" s="12"/>
      <c r="AI2093" s="12"/>
      <c r="AJ2093" s="12"/>
      <c r="AK2093" s="12"/>
      <c r="AL2093" s="12"/>
      <c r="AM2093" s="12"/>
      <c r="AN2093" s="12"/>
      <c r="AO2093" s="12"/>
    </row>
    <row r="2094" spans="1:41" x14ac:dyDescent="0.2">
      <c r="A2094" s="5">
        <v>25030209</v>
      </c>
      <c r="B2094" s="6" t="s">
        <v>231</v>
      </c>
      <c r="C2094" s="12"/>
      <c r="D2094" s="12"/>
      <c r="E2094" s="12"/>
      <c r="F2094" s="12"/>
      <c r="G2094" s="12"/>
      <c r="H2094" s="12"/>
      <c r="I2094" s="12"/>
      <c r="J2094" s="12"/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2"/>
      <c r="AE2094" s="12"/>
      <c r="AF2094" s="12"/>
      <c r="AG2094" s="12"/>
      <c r="AH2094" s="12"/>
      <c r="AI2094" s="12"/>
      <c r="AJ2094" s="12"/>
      <c r="AK2094" s="12"/>
      <c r="AL2094" s="12"/>
      <c r="AM2094" s="12"/>
      <c r="AN2094" s="12"/>
      <c r="AO2094" s="12"/>
    </row>
    <row r="2095" spans="1:41" ht="14.25" x14ac:dyDescent="0.2">
      <c r="A2095" s="2">
        <v>2504</v>
      </c>
      <c r="B2095" s="3" t="s">
        <v>505</v>
      </c>
      <c r="C2095" s="20">
        <f>+C2108</f>
        <v>-265525.64</v>
      </c>
      <c r="D2095" s="20">
        <f t="shared" ref="D2095:AO2095" si="66">+D2108</f>
        <v>-350636.83999999997</v>
      </c>
      <c r="E2095" s="20">
        <f t="shared" si="66"/>
        <v>-447564.02999999997</v>
      </c>
      <c r="F2095" s="20">
        <f t="shared" si="66"/>
        <v>-566965.94999999995</v>
      </c>
      <c r="G2095" s="20">
        <f t="shared" si="66"/>
        <v>-613535.57999999996</v>
      </c>
      <c r="H2095" s="20">
        <f t="shared" si="66"/>
        <v>-522662.72000000003</v>
      </c>
      <c r="I2095" s="20">
        <f t="shared" si="66"/>
        <v>-1236148.8899999999</v>
      </c>
      <c r="J2095" s="20">
        <f t="shared" si="66"/>
        <v>-1295111.1000000001</v>
      </c>
      <c r="K2095" s="20">
        <f t="shared" si="66"/>
        <v>-1231398.9100000001</v>
      </c>
      <c r="L2095" s="20">
        <f t="shared" si="66"/>
        <v>-1313698.55</v>
      </c>
      <c r="M2095" s="20">
        <f t="shared" si="66"/>
        <v>-1290579.43</v>
      </c>
      <c r="N2095" s="20">
        <f t="shared" si="66"/>
        <v>-1067985.19</v>
      </c>
      <c r="O2095" s="20">
        <f t="shared" si="66"/>
        <v>-361521.08999999997</v>
      </c>
      <c r="P2095" s="20">
        <f t="shared" si="66"/>
        <v>-411292.04</v>
      </c>
      <c r="Q2095" s="20">
        <f t="shared" si="66"/>
        <v>-395418.91</v>
      </c>
      <c r="R2095" s="20">
        <f t="shared" si="66"/>
        <v>-404382.37999999995</v>
      </c>
      <c r="S2095" s="20">
        <f t="shared" si="66"/>
        <v>-390571.80999999994</v>
      </c>
      <c r="T2095" s="20">
        <f t="shared" si="66"/>
        <v>-400400.37</v>
      </c>
      <c r="U2095" s="20">
        <f t="shared" si="66"/>
        <v>-395200.93000000005</v>
      </c>
      <c r="V2095" s="20">
        <f t="shared" si="66"/>
        <v>-399876.70000000007</v>
      </c>
      <c r="W2095" s="20">
        <f t="shared" si="66"/>
        <v>-511326.1</v>
      </c>
      <c r="X2095" s="20">
        <f t="shared" si="66"/>
        <v>-646888.25</v>
      </c>
      <c r="Y2095" s="20">
        <f t="shared" si="66"/>
        <v>-601206.8899999999</v>
      </c>
      <c r="Z2095" s="20">
        <f t="shared" si="66"/>
        <v>-328128.34999999998</v>
      </c>
      <c r="AA2095" s="20">
        <f t="shared" si="66"/>
        <v>-309500.38999999996</v>
      </c>
      <c r="AB2095" s="20">
        <f t="shared" si="66"/>
        <v>-390528.04999999993</v>
      </c>
      <c r="AC2095" s="20">
        <f t="shared" si="66"/>
        <v>-477684.94</v>
      </c>
      <c r="AD2095" s="20">
        <f t="shared" si="66"/>
        <v>-447216.54</v>
      </c>
      <c r="AE2095" s="20">
        <f t="shared" si="66"/>
        <v>-368019.24999999994</v>
      </c>
      <c r="AF2095" s="20">
        <f t="shared" si="66"/>
        <v>-493303.82</v>
      </c>
      <c r="AG2095" s="20">
        <f t="shared" si="66"/>
        <v>-365535.11</v>
      </c>
      <c r="AH2095" s="20">
        <f t="shared" si="66"/>
        <v>-435604.17999999993</v>
      </c>
      <c r="AI2095" s="20">
        <f t="shared" si="66"/>
        <v>-518410.01</v>
      </c>
      <c r="AJ2095" s="20">
        <f t="shared" si="66"/>
        <v>-625753.27</v>
      </c>
      <c r="AK2095" s="20">
        <f t="shared" si="66"/>
        <v>-665947.15999999992</v>
      </c>
      <c r="AL2095" s="20">
        <f t="shared" si="66"/>
        <v>-239273.7</v>
      </c>
      <c r="AM2095" s="20">
        <f t="shared" si="66"/>
        <v>-316198.83</v>
      </c>
      <c r="AN2095" s="20">
        <f t="shared" si="66"/>
        <v>-393502.44999999995</v>
      </c>
      <c r="AO2095" s="20">
        <f t="shared" si="66"/>
        <v>-342827.45</v>
      </c>
    </row>
    <row r="2096" spans="1:41" ht="14.25" x14ac:dyDescent="0.2">
      <c r="A2096" s="2">
        <v>250401</v>
      </c>
      <c r="B2096" s="3" t="s">
        <v>506</v>
      </c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  <c r="AE2096" s="9"/>
      <c r="AF2096" s="9"/>
      <c r="AG2096" s="9"/>
      <c r="AH2096" s="9"/>
      <c r="AI2096" s="9"/>
      <c r="AJ2096" s="9"/>
      <c r="AK2096" s="9"/>
      <c r="AL2096" s="9"/>
      <c r="AM2096" s="9"/>
      <c r="AN2096" s="9"/>
      <c r="AO2096" s="9"/>
    </row>
    <row r="2097" spans="1:41" ht="14.25" x14ac:dyDescent="0.2">
      <c r="A2097" s="2">
        <v>250402</v>
      </c>
      <c r="B2097" s="3" t="s">
        <v>507</v>
      </c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  <c r="AO2097" s="9"/>
    </row>
    <row r="2098" spans="1:41" ht="14.25" x14ac:dyDescent="0.2">
      <c r="A2098" s="2">
        <v>250403</v>
      </c>
      <c r="B2098" s="3" t="s">
        <v>508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  <c r="AO2098" s="9"/>
    </row>
    <row r="2099" spans="1:41" ht="14.25" x14ac:dyDescent="0.2">
      <c r="A2099" s="2">
        <v>250404</v>
      </c>
      <c r="B2099" s="3" t="s">
        <v>509</v>
      </c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  <c r="AO2099" s="9"/>
    </row>
    <row r="2100" spans="1:41" ht="14.25" x14ac:dyDescent="0.2">
      <c r="A2100" s="2">
        <v>250406</v>
      </c>
      <c r="B2100" s="3" t="s">
        <v>510</v>
      </c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  <c r="AE2100" s="9"/>
      <c r="AF2100" s="9"/>
      <c r="AG2100" s="9"/>
      <c r="AH2100" s="9"/>
      <c r="AI2100" s="9"/>
      <c r="AJ2100" s="9"/>
      <c r="AK2100" s="9"/>
      <c r="AL2100" s="9"/>
      <c r="AM2100" s="9"/>
      <c r="AN2100" s="9"/>
      <c r="AO2100" s="9"/>
    </row>
    <row r="2101" spans="1:41" ht="14.25" x14ac:dyDescent="0.2">
      <c r="A2101" s="2">
        <v>250408</v>
      </c>
      <c r="B2101" s="3" t="s">
        <v>511</v>
      </c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9"/>
      <c r="AF2101" s="9"/>
      <c r="AG2101" s="9"/>
      <c r="AH2101" s="9"/>
      <c r="AI2101" s="9"/>
      <c r="AJ2101" s="9"/>
      <c r="AK2101" s="9"/>
      <c r="AL2101" s="9"/>
      <c r="AM2101" s="9"/>
      <c r="AN2101" s="9"/>
      <c r="AO2101" s="9"/>
    </row>
    <row r="2102" spans="1:41" ht="28.5" x14ac:dyDescent="0.2">
      <c r="A2102" s="2">
        <v>250409</v>
      </c>
      <c r="B2102" s="4" t="s">
        <v>512</v>
      </c>
      <c r="C2102" s="11"/>
      <c r="D2102" s="11"/>
      <c r="E2102" s="11"/>
      <c r="F2102" s="11"/>
      <c r="G2102" s="11"/>
      <c r="H2102" s="11"/>
      <c r="I2102" s="11"/>
      <c r="J2102" s="11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11"/>
      <c r="AG2102" s="11"/>
      <c r="AH2102" s="11"/>
      <c r="AI2102" s="11"/>
      <c r="AJ2102" s="11"/>
      <c r="AK2102" s="11"/>
      <c r="AL2102" s="11"/>
      <c r="AM2102" s="11"/>
      <c r="AN2102" s="11"/>
      <c r="AO2102" s="11"/>
    </row>
    <row r="2103" spans="1:41" ht="14.25" x14ac:dyDescent="0.2">
      <c r="A2103" s="2">
        <v>250410</v>
      </c>
      <c r="B2103" s="3" t="s">
        <v>513</v>
      </c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  <c r="AO2103" s="9"/>
    </row>
    <row r="2104" spans="1:41" ht="14.25" x14ac:dyDescent="0.2">
      <c r="A2104" s="2">
        <v>250411</v>
      </c>
      <c r="B2104" s="3" t="s">
        <v>514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  <c r="AO2104" s="9"/>
    </row>
    <row r="2105" spans="1:41" ht="14.25" x14ac:dyDescent="0.2">
      <c r="A2105" s="2">
        <v>25041101</v>
      </c>
      <c r="B2105" s="3" t="s">
        <v>263</v>
      </c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  <c r="AO2105" s="9"/>
    </row>
    <row r="2106" spans="1:41" ht="14.25" x14ac:dyDescent="0.2">
      <c r="A2106" s="2">
        <v>25041102</v>
      </c>
      <c r="B2106" s="3" t="s">
        <v>264</v>
      </c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9"/>
      <c r="AF2106" s="9"/>
      <c r="AG2106" s="9"/>
      <c r="AH2106" s="9"/>
      <c r="AI2106" s="9"/>
      <c r="AJ2106" s="9"/>
      <c r="AK2106" s="9"/>
      <c r="AL2106" s="9"/>
      <c r="AM2106" s="9"/>
      <c r="AN2106" s="9"/>
      <c r="AO2106" s="9"/>
    </row>
    <row r="2107" spans="1:41" ht="14.25" x14ac:dyDescent="0.2">
      <c r="A2107" s="2">
        <v>25041103</v>
      </c>
      <c r="B2107" s="3" t="s">
        <v>265</v>
      </c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  <c r="AO2107" s="9"/>
    </row>
    <row r="2108" spans="1:41" ht="14.25" x14ac:dyDescent="0.2">
      <c r="A2108" s="2">
        <v>250419</v>
      </c>
      <c r="B2108" s="3" t="s">
        <v>59</v>
      </c>
      <c r="C2108" s="20">
        <f>+C2109+C2110+C2111+C2112+C2113+C2114+C2115+C2116+C2117+C2118+C2119+C2120+C2121+C2122+C2123+C2124+C2125+C2126</f>
        <v>-265525.64</v>
      </c>
      <c r="D2108" s="20">
        <f t="shared" ref="D2108:AO2108" si="67">+D2109+D2110+D2111+D2112+D2113+D2114+D2115+D2116+D2117+D2118+D2119+D2120+D2121+D2122+D2123+D2124+D2125+D2126</f>
        <v>-350636.83999999997</v>
      </c>
      <c r="E2108" s="20">
        <f t="shared" si="67"/>
        <v>-447564.02999999997</v>
      </c>
      <c r="F2108" s="20">
        <f t="shared" si="67"/>
        <v>-566965.94999999995</v>
      </c>
      <c r="G2108" s="20">
        <f t="shared" si="67"/>
        <v>-613535.57999999996</v>
      </c>
      <c r="H2108" s="20">
        <f t="shared" si="67"/>
        <v>-522662.72000000003</v>
      </c>
      <c r="I2108" s="20">
        <f t="shared" si="67"/>
        <v>-1236148.8899999999</v>
      </c>
      <c r="J2108" s="20">
        <f t="shared" si="67"/>
        <v>-1295111.1000000001</v>
      </c>
      <c r="K2108" s="20">
        <f t="shared" si="67"/>
        <v>-1231398.9100000001</v>
      </c>
      <c r="L2108" s="20">
        <f t="shared" si="67"/>
        <v>-1313698.55</v>
      </c>
      <c r="M2108" s="20">
        <f t="shared" si="67"/>
        <v>-1290579.43</v>
      </c>
      <c r="N2108" s="20">
        <f t="shared" si="67"/>
        <v>-1067985.19</v>
      </c>
      <c r="O2108" s="20">
        <f t="shared" si="67"/>
        <v>-361521.08999999997</v>
      </c>
      <c r="P2108" s="20">
        <f t="shared" si="67"/>
        <v>-411292.04</v>
      </c>
      <c r="Q2108" s="20">
        <f t="shared" si="67"/>
        <v>-395418.91</v>
      </c>
      <c r="R2108" s="20">
        <f t="shared" si="67"/>
        <v>-404382.37999999995</v>
      </c>
      <c r="S2108" s="20">
        <f t="shared" si="67"/>
        <v>-390571.80999999994</v>
      </c>
      <c r="T2108" s="20">
        <f t="shared" si="67"/>
        <v>-400400.37</v>
      </c>
      <c r="U2108" s="20">
        <f t="shared" si="67"/>
        <v>-395200.93000000005</v>
      </c>
      <c r="V2108" s="20">
        <f t="shared" si="67"/>
        <v>-399876.70000000007</v>
      </c>
      <c r="W2108" s="20">
        <f t="shared" si="67"/>
        <v>-511326.1</v>
      </c>
      <c r="X2108" s="20">
        <f t="shared" si="67"/>
        <v>-646888.25</v>
      </c>
      <c r="Y2108" s="20">
        <f t="shared" si="67"/>
        <v>-601206.8899999999</v>
      </c>
      <c r="Z2108" s="20">
        <f t="shared" si="67"/>
        <v>-328128.34999999998</v>
      </c>
      <c r="AA2108" s="20">
        <f t="shared" si="67"/>
        <v>-309500.38999999996</v>
      </c>
      <c r="AB2108" s="20">
        <f t="shared" si="67"/>
        <v>-390528.04999999993</v>
      </c>
      <c r="AC2108" s="20">
        <f t="shared" si="67"/>
        <v>-477684.94</v>
      </c>
      <c r="AD2108" s="20">
        <f t="shared" si="67"/>
        <v>-447216.54</v>
      </c>
      <c r="AE2108" s="20">
        <f t="shared" si="67"/>
        <v>-368019.24999999994</v>
      </c>
      <c r="AF2108" s="20">
        <f t="shared" si="67"/>
        <v>-493303.82</v>
      </c>
      <c r="AG2108" s="20">
        <f t="shared" si="67"/>
        <v>-365535.11</v>
      </c>
      <c r="AH2108" s="20">
        <f t="shared" si="67"/>
        <v>-435604.17999999993</v>
      </c>
      <c r="AI2108" s="20">
        <f t="shared" si="67"/>
        <v>-518410.01</v>
      </c>
      <c r="AJ2108" s="20">
        <f t="shared" si="67"/>
        <v>-625753.27</v>
      </c>
      <c r="AK2108" s="20">
        <f t="shared" si="67"/>
        <v>-665947.15999999992</v>
      </c>
      <c r="AL2108" s="20">
        <f t="shared" si="67"/>
        <v>-239273.7</v>
      </c>
      <c r="AM2108" s="20">
        <f t="shared" si="67"/>
        <v>-316198.83</v>
      </c>
      <c r="AN2108" s="20">
        <f t="shared" si="67"/>
        <v>-393502.44999999995</v>
      </c>
      <c r="AO2108" s="20">
        <f t="shared" si="67"/>
        <v>-342827.45</v>
      </c>
    </row>
    <row r="2109" spans="1:41" s="15" customFormat="1" ht="14.25" x14ac:dyDescent="0.2">
      <c r="A2109" s="18" t="s">
        <v>1571</v>
      </c>
      <c r="B2109" s="19" t="s">
        <v>1572</v>
      </c>
      <c r="C2109" s="20">
        <v>-12877.31</v>
      </c>
      <c r="D2109" s="20">
        <v>-12877.31</v>
      </c>
      <c r="E2109" s="20">
        <v>-12877.31</v>
      </c>
      <c r="F2109" s="20">
        <v>-12877.31</v>
      </c>
      <c r="G2109" s="20">
        <v>-12877.31</v>
      </c>
      <c r="H2109" s="20">
        <v>-12877.31</v>
      </c>
      <c r="I2109" s="20">
        <v>-12877.31</v>
      </c>
      <c r="J2109" s="20">
        <v>-12877.31</v>
      </c>
      <c r="K2109" s="20">
        <v>-12877.31</v>
      </c>
      <c r="L2109" s="20">
        <v>-12877.31</v>
      </c>
      <c r="M2109" s="20">
        <v>-12877.31</v>
      </c>
      <c r="N2109" s="20">
        <v>-12877.31</v>
      </c>
      <c r="O2109" s="20">
        <v>-12877.31</v>
      </c>
      <c r="P2109" s="20">
        <v>-12877.31</v>
      </c>
      <c r="Q2109" s="20">
        <v>-12877.31</v>
      </c>
      <c r="R2109" s="20">
        <v>-12877.31</v>
      </c>
      <c r="S2109" s="20">
        <v>-12877.31</v>
      </c>
      <c r="T2109" s="20">
        <v>0</v>
      </c>
      <c r="U2109" s="20"/>
      <c r="V2109" s="20"/>
      <c r="W2109" s="20"/>
      <c r="X2109" s="20"/>
      <c r="Y2109" s="20"/>
      <c r="Z2109" s="20"/>
      <c r="AA2109" s="20"/>
      <c r="AB2109" s="20"/>
      <c r="AC2109" s="20"/>
      <c r="AD2109" s="20"/>
      <c r="AE2109" s="20"/>
      <c r="AF2109" s="20"/>
      <c r="AG2109" s="20"/>
      <c r="AH2109" s="20"/>
      <c r="AI2109" s="20"/>
      <c r="AJ2109" s="20"/>
      <c r="AK2109" s="20"/>
      <c r="AL2109" s="20"/>
      <c r="AM2109" s="20"/>
      <c r="AN2109" s="20"/>
      <c r="AO2109" s="20"/>
    </row>
    <row r="2110" spans="1:41" s="15" customFormat="1" ht="14.25" x14ac:dyDescent="0.2">
      <c r="A2110" s="18" t="s">
        <v>1573</v>
      </c>
      <c r="B2110" s="19" t="s">
        <v>1574</v>
      </c>
      <c r="C2110" s="20">
        <v>-1400</v>
      </c>
      <c r="D2110" s="20">
        <v>-1400</v>
      </c>
      <c r="E2110" s="20">
        <v>-1400</v>
      </c>
      <c r="F2110" s="20">
        <v>-1400</v>
      </c>
      <c r="G2110" s="20">
        <v>-1400</v>
      </c>
      <c r="H2110" s="20">
        <v>-1400</v>
      </c>
      <c r="I2110" s="20">
        <v>-1400</v>
      </c>
      <c r="J2110" s="20">
        <v>-1400</v>
      </c>
      <c r="K2110" s="20">
        <v>-1400</v>
      </c>
      <c r="L2110" s="20">
        <v>-1400</v>
      </c>
      <c r="M2110" s="20">
        <v>-1400</v>
      </c>
      <c r="N2110" s="20">
        <v>-1400</v>
      </c>
      <c r="O2110" s="20">
        <v>-1400</v>
      </c>
      <c r="P2110" s="20">
        <v>-1400</v>
      </c>
      <c r="Q2110" s="20">
        <v>-1400</v>
      </c>
      <c r="R2110" s="20">
        <v>-1400</v>
      </c>
      <c r="S2110" s="20">
        <v>-1400</v>
      </c>
      <c r="T2110" s="20">
        <v>-1400</v>
      </c>
      <c r="U2110" s="20">
        <v>-1400</v>
      </c>
      <c r="V2110" s="20">
        <v>-1400</v>
      </c>
      <c r="W2110" s="20">
        <v>-1400</v>
      </c>
      <c r="X2110" s="20">
        <v>-1400</v>
      </c>
      <c r="Y2110" s="20">
        <v>-1400</v>
      </c>
      <c r="Z2110" s="20">
        <v>-1400.81</v>
      </c>
      <c r="AA2110" s="20">
        <v>-1400.81</v>
      </c>
      <c r="AB2110" s="20">
        <v>-1400.81</v>
      </c>
      <c r="AC2110" s="20">
        <v>-1400.81</v>
      </c>
      <c r="AD2110" s="20">
        <v>-1400.81</v>
      </c>
      <c r="AE2110" s="20">
        <v>-1400.81</v>
      </c>
      <c r="AF2110" s="20">
        <v>-1400.81</v>
      </c>
      <c r="AG2110" s="20">
        <v>-1400.81</v>
      </c>
      <c r="AH2110" s="20">
        <v>-1400.81</v>
      </c>
      <c r="AI2110" s="20">
        <v>-1400.81</v>
      </c>
      <c r="AJ2110" s="20">
        <v>-1400.81</v>
      </c>
      <c r="AK2110" s="20">
        <v>-1400.81</v>
      </c>
      <c r="AL2110" s="20">
        <v>-1400.81</v>
      </c>
      <c r="AM2110" s="20">
        <v>-1400.81</v>
      </c>
      <c r="AN2110" s="20">
        <v>-1400.81</v>
      </c>
      <c r="AO2110" s="20">
        <v>-1400.81</v>
      </c>
    </row>
    <row r="2111" spans="1:41" s="15" customFormat="1" ht="14.25" x14ac:dyDescent="0.2">
      <c r="A2111" s="18" t="s">
        <v>1575</v>
      </c>
      <c r="B2111" s="19" t="s">
        <v>1576</v>
      </c>
      <c r="C2111" s="20">
        <v>290</v>
      </c>
      <c r="D2111" s="20">
        <v>-68885.06</v>
      </c>
      <c r="E2111" s="20">
        <v>-150978.74</v>
      </c>
      <c r="F2111" s="20">
        <v>-238889.78</v>
      </c>
      <c r="G2111" s="20">
        <v>-260216.55</v>
      </c>
      <c r="H2111" s="20">
        <v>-150414.92000000001</v>
      </c>
      <c r="I2111" s="20">
        <v>-75109.87</v>
      </c>
      <c r="J2111" s="20">
        <v>-102141.36</v>
      </c>
      <c r="K2111" s="20">
        <v>-94948.32</v>
      </c>
      <c r="L2111" s="20">
        <v>-168985.82</v>
      </c>
      <c r="M2111" s="20">
        <v>-143089.57999999999</v>
      </c>
      <c r="N2111" s="20">
        <v>-110032.75</v>
      </c>
      <c r="O2111" s="20">
        <v>-171058.26</v>
      </c>
      <c r="P2111" s="20">
        <v>-220869.02</v>
      </c>
      <c r="Q2111" s="20">
        <v>-200428.76</v>
      </c>
      <c r="R2111" s="20">
        <v>-202676.08</v>
      </c>
      <c r="S2111" s="20">
        <v>-119200.48</v>
      </c>
      <c r="T2111" s="20">
        <v>-89723.47</v>
      </c>
      <c r="U2111" s="20">
        <v>-72447.460000000006</v>
      </c>
      <c r="V2111" s="20">
        <v>-44923</v>
      </c>
      <c r="W2111" s="20">
        <v>-119502.68</v>
      </c>
      <c r="X2111" s="20">
        <v>-194852.06</v>
      </c>
      <c r="Y2111" s="20">
        <v>-129733.73</v>
      </c>
      <c r="Z2111" s="20">
        <v>-90000</v>
      </c>
      <c r="AA2111" s="20">
        <v>-105790.17</v>
      </c>
      <c r="AB2111" s="20">
        <v>-182364.34</v>
      </c>
      <c r="AC2111" s="20">
        <v>-259159.64</v>
      </c>
      <c r="AD2111" s="20">
        <v>-218464.45</v>
      </c>
      <c r="AE2111" s="20">
        <v>-131971.39000000001</v>
      </c>
      <c r="AF2111" s="20">
        <v>-209601.42</v>
      </c>
      <c r="AG2111" s="20">
        <v>-59704.13</v>
      </c>
      <c r="AH2111" s="20">
        <v>-102295.55</v>
      </c>
      <c r="AI2111" s="20">
        <v>-183725.16</v>
      </c>
      <c r="AJ2111" s="20">
        <v>-266162.7</v>
      </c>
      <c r="AK2111" s="20">
        <v>-271861.49</v>
      </c>
      <c r="AL2111" s="20">
        <v>-52519.91</v>
      </c>
      <c r="AM2111" s="20">
        <v>-131071.21</v>
      </c>
      <c r="AN2111" s="20">
        <v>-207852.1</v>
      </c>
      <c r="AO2111" s="20">
        <v>-135294.16</v>
      </c>
    </row>
    <row r="2112" spans="1:41" s="15" customFormat="1" ht="14.25" x14ac:dyDescent="0.2">
      <c r="A2112" s="18" t="s">
        <v>1577</v>
      </c>
      <c r="B2112" s="19" t="s">
        <v>1578</v>
      </c>
      <c r="C2112" s="20">
        <v>-229528.94</v>
      </c>
      <c r="D2112" s="20">
        <v>-229528.94</v>
      </c>
      <c r="E2112" s="20">
        <v>-229535.44</v>
      </c>
      <c r="F2112" s="20">
        <v>-229535.44</v>
      </c>
      <c r="G2112" s="20">
        <v>-229535.44</v>
      </c>
      <c r="H2112" s="20">
        <v>-229535.44</v>
      </c>
      <c r="I2112" s="20">
        <v>-229535.44</v>
      </c>
      <c r="J2112" s="20">
        <v>-229535.44</v>
      </c>
      <c r="K2112" s="20">
        <v>-157405.44</v>
      </c>
      <c r="L2112" s="20">
        <v>-157405.44</v>
      </c>
      <c r="M2112" s="20">
        <v>-157405.44</v>
      </c>
      <c r="N2112" s="20">
        <v>-157405.44</v>
      </c>
      <c r="O2112" s="20">
        <v>-157405.44</v>
      </c>
      <c r="P2112" s="20">
        <v>-157406.44</v>
      </c>
      <c r="Q2112" s="20">
        <v>-157407.94</v>
      </c>
      <c r="R2112" s="20">
        <v>-157414.94</v>
      </c>
      <c r="S2112" s="20">
        <v>-157423.44</v>
      </c>
      <c r="T2112" s="20">
        <v>-157431.94</v>
      </c>
      <c r="U2112" s="20">
        <v>-157433.44</v>
      </c>
      <c r="V2112" s="20">
        <v>-157433.44</v>
      </c>
      <c r="W2112" s="20">
        <v>-157433.44</v>
      </c>
      <c r="X2112" s="20">
        <v>-157433.94</v>
      </c>
      <c r="Y2112" s="20">
        <v>-157433.94</v>
      </c>
      <c r="Z2112" s="20">
        <v>-157434.44</v>
      </c>
      <c r="AA2112" s="20">
        <v>-157434.44</v>
      </c>
      <c r="AB2112" s="20">
        <v>-157434.44</v>
      </c>
      <c r="AC2112" s="20">
        <v>-157434.94</v>
      </c>
      <c r="AD2112" s="20">
        <v>-157434.94</v>
      </c>
      <c r="AE2112" s="20">
        <v>-157434.94</v>
      </c>
      <c r="AF2112" s="20">
        <v>-157434.94</v>
      </c>
      <c r="AG2112" s="20">
        <v>-157434.94</v>
      </c>
      <c r="AH2112" s="20">
        <v>-157434.94</v>
      </c>
      <c r="AI2112" s="20">
        <v>-157435.44</v>
      </c>
      <c r="AJ2112" s="20">
        <v>-157435.94</v>
      </c>
      <c r="AK2112" s="20">
        <v>-157436.44</v>
      </c>
      <c r="AL2112" s="20">
        <v>-157436.44</v>
      </c>
      <c r="AM2112" s="20">
        <v>-157436.44</v>
      </c>
      <c r="AN2112" s="20">
        <v>-157436.44</v>
      </c>
      <c r="AO2112" s="20">
        <v>-157436.44</v>
      </c>
    </row>
    <row r="2113" spans="1:41" s="15" customFormat="1" ht="14.25" x14ac:dyDescent="0.2">
      <c r="A2113" s="18" t="s">
        <v>1579</v>
      </c>
      <c r="B2113" s="19" t="s">
        <v>1580</v>
      </c>
      <c r="C2113" s="20"/>
      <c r="D2113" s="20"/>
      <c r="E2113" s="20"/>
      <c r="F2113" s="20"/>
      <c r="G2113" s="20"/>
      <c r="H2113" s="20"/>
      <c r="I2113" s="20">
        <v>395</v>
      </c>
      <c r="J2113" s="20">
        <v>200</v>
      </c>
      <c r="K2113" s="20">
        <v>0</v>
      </c>
      <c r="L2113" s="20">
        <v>0</v>
      </c>
      <c r="M2113" s="20">
        <v>200</v>
      </c>
      <c r="N2113" s="20">
        <v>0</v>
      </c>
      <c r="O2113" s="20"/>
      <c r="P2113" s="20"/>
      <c r="Q2113" s="20"/>
      <c r="R2113" s="20"/>
      <c r="S2113" s="20"/>
      <c r="T2113" s="20"/>
      <c r="U2113" s="20"/>
      <c r="V2113" s="20"/>
      <c r="W2113" s="20"/>
      <c r="X2113" s="20">
        <v>-120.81</v>
      </c>
      <c r="Y2113" s="20">
        <v>-0.81</v>
      </c>
      <c r="Z2113" s="20">
        <v>0</v>
      </c>
      <c r="AA2113" s="20"/>
      <c r="AB2113" s="20"/>
      <c r="AC2113" s="20"/>
      <c r="AD2113" s="20"/>
      <c r="AE2113" s="20"/>
      <c r="AF2113" s="20"/>
      <c r="AG2113" s="20"/>
      <c r="AH2113" s="20"/>
      <c r="AI2113" s="20"/>
      <c r="AJ2113" s="20"/>
      <c r="AK2113" s="20"/>
      <c r="AL2113" s="20"/>
      <c r="AM2113" s="20"/>
      <c r="AN2113" s="20"/>
      <c r="AO2113" s="20"/>
    </row>
    <row r="2114" spans="1:41" s="15" customFormat="1" ht="14.25" x14ac:dyDescent="0.2">
      <c r="A2114" s="18" t="s">
        <v>1581</v>
      </c>
      <c r="B2114" s="19" t="s">
        <v>1582</v>
      </c>
      <c r="C2114" s="20"/>
      <c r="D2114" s="20"/>
      <c r="E2114" s="20"/>
      <c r="F2114" s="20"/>
      <c r="G2114" s="20"/>
      <c r="H2114" s="20"/>
      <c r="I2114" s="20"/>
      <c r="J2114" s="20">
        <v>0</v>
      </c>
      <c r="K2114" s="20">
        <v>0</v>
      </c>
      <c r="L2114" s="20">
        <v>0</v>
      </c>
      <c r="M2114" s="20">
        <v>0</v>
      </c>
      <c r="N2114" s="20">
        <v>0</v>
      </c>
      <c r="O2114" s="20"/>
      <c r="P2114" s="20"/>
      <c r="Q2114" s="20">
        <v>-4838</v>
      </c>
      <c r="R2114" s="20">
        <v>0</v>
      </c>
      <c r="S2114" s="20">
        <v>0</v>
      </c>
      <c r="T2114" s="20">
        <v>0</v>
      </c>
      <c r="U2114" s="20">
        <v>7697.99</v>
      </c>
      <c r="V2114" s="20">
        <v>14788</v>
      </c>
      <c r="W2114" s="20">
        <v>0</v>
      </c>
      <c r="X2114" s="20">
        <v>0</v>
      </c>
      <c r="Y2114" s="20"/>
      <c r="Z2114" s="20">
        <v>-37789.599999999999</v>
      </c>
      <c r="AA2114" s="20">
        <v>0</v>
      </c>
      <c r="AB2114" s="20">
        <v>-4100</v>
      </c>
      <c r="AC2114" s="20">
        <v>0</v>
      </c>
      <c r="AD2114" s="20">
        <v>0</v>
      </c>
      <c r="AE2114" s="20"/>
      <c r="AF2114" s="20"/>
      <c r="AG2114" s="20"/>
      <c r="AH2114" s="20"/>
      <c r="AI2114" s="20"/>
      <c r="AJ2114" s="20"/>
      <c r="AK2114" s="20"/>
      <c r="AL2114" s="20"/>
      <c r="AM2114" s="20"/>
      <c r="AN2114" s="20"/>
      <c r="AO2114" s="20"/>
    </row>
    <row r="2115" spans="1:41" s="15" customFormat="1" ht="14.25" x14ac:dyDescent="0.2">
      <c r="A2115" s="18" t="s">
        <v>1583</v>
      </c>
      <c r="B2115" s="19" t="s">
        <v>1584</v>
      </c>
      <c r="C2115" s="20"/>
      <c r="D2115" s="20"/>
      <c r="E2115" s="20"/>
      <c r="F2115" s="20"/>
      <c r="G2115" s="20"/>
      <c r="H2115" s="20"/>
      <c r="I2115" s="20"/>
      <c r="J2115" s="20"/>
      <c r="K2115" s="20"/>
      <c r="L2115" s="20"/>
      <c r="M2115" s="20"/>
      <c r="N2115" s="20"/>
      <c r="O2115" s="20"/>
      <c r="P2115" s="20"/>
      <c r="Q2115" s="20"/>
      <c r="R2115" s="20"/>
      <c r="S2115" s="20"/>
      <c r="T2115" s="20"/>
      <c r="U2115" s="20">
        <v>-109.21</v>
      </c>
      <c r="V2115" s="20">
        <v>-217.45</v>
      </c>
      <c r="W2115" s="20">
        <v>-108.42</v>
      </c>
      <c r="X2115" s="20">
        <v>-108.21</v>
      </c>
      <c r="Y2115" s="20">
        <v>-216.82</v>
      </c>
      <c r="Z2115" s="20">
        <v>-108.51</v>
      </c>
      <c r="AA2115" s="20">
        <v>-108.51</v>
      </c>
      <c r="AB2115" s="20">
        <v>-108.25</v>
      </c>
      <c r="AC2115" s="20">
        <v>-114.09</v>
      </c>
      <c r="AD2115" s="20">
        <v>-114</v>
      </c>
      <c r="AE2115" s="20">
        <v>-113.88</v>
      </c>
      <c r="AF2115" s="20">
        <v>0</v>
      </c>
      <c r="AG2115" s="20">
        <v>-112.84</v>
      </c>
      <c r="AH2115" s="20">
        <v>-113.08</v>
      </c>
      <c r="AI2115" s="20">
        <v>-112.76</v>
      </c>
      <c r="AJ2115" s="20">
        <v>-112.25</v>
      </c>
      <c r="AK2115" s="20">
        <v>-111.36</v>
      </c>
      <c r="AL2115" s="20">
        <v>-111.34</v>
      </c>
      <c r="AM2115" s="20">
        <v>-111.33</v>
      </c>
      <c r="AN2115" s="20">
        <v>0</v>
      </c>
      <c r="AO2115" s="20">
        <v>0</v>
      </c>
    </row>
    <row r="2116" spans="1:41" s="15" customFormat="1" ht="14.25" x14ac:dyDescent="0.2">
      <c r="A2116" s="18" t="s">
        <v>1585</v>
      </c>
      <c r="B2116" s="19" t="s">
        <v>1586</v>
      </c>
      <c r="C2116" s="20">
        <v>-15409.17</v>
      </c>
      <c r="D2116" s="20">
        <v>-15409.17</v>
      </c>
      <c r="E2116" s="20">
        <v>-15409.17</v>
      </c>
      <c r="F2116" s="20">
        <v>-15409.17</v>
      </c>
      <c r="G2116" s="20">
        <v>-15409.17</v>
      </c>
      <c r="H2116" s="20">
        <v>-15409.17</v>
      </c>
      <c r="I2116" s="20">
        <v>-782898.78</v>
      </c>
      <c r="J2116" s="20">
        <v>-782898.78</v>
      </c>
      <c r="K2116" s="20">
        <v>-782898.78</v>
      </c>
      <c r="L2116" s="20">
        <v>-782898.78</v>
      </c>
      <c r="M2116" s="20">
        <v>-782898.78</v>
      </c>
      <c r="N2116" s="20">
        <v>-782898.78</v>
      </c>
      <c r="O2116" s="20">
        <v>-15409.17</v>
      </c>
      <c r="P2116" s="20">
        <v>-15409.17</v>
      </c>
      <c r="Q2116" s="20">
        <v>-15409.17</v>
      </c>
      <c r="R2116" s="20">
        <v>-15409.17</v>
      </c>
      <c r="S2116" s="20">
        <v>-15409.17</v>
      </c>
      <c r="T2116" s="20">
        <v>-15409.17</v>
      </c>
      <c r="U2116" s="20">
        <v>-15409.17</v>
      </c>
      <c r="V2116" s="20">
        <v>-15409.17</v>
      </c>
      <c r="W2116" s="20">
        <v>-15409.17</v>
      </c>
      <c r="X2116" s="20">
        <v>-15409.17</v>
      </c>
      <c r="Y2116" s="20">
        <v>-15409.17</v>
      </c>
      <c r="Z2116" s="20">
        <v>-15409.17</v>
      </c>
      <c r="AA2116" s="20">
        <v>-15409.17</v>
      </c>
      <c r="AB2116" s="20">
        <v>-15409.17</v>
      </c>
      <c r="AC2116" s="20">
        <v>-15409.17</v>
      </c>
      <c r="AD2116" s="20">
        <v>-15409.17</v>
      </c>
      <c r="AE2116" s="20">
        <v>-15409.17</v>
      </c>
      <c r="AF2116" s="20">
        <v>-15409.17</v>
      </c>
      <c r="AG2116" s="20">
        <v>-15409.17</v>
      </c>
      <c r="AH2116" s="20">
        <v>-15409.17</v>
      </c>
      <c r="AI2116" s="20">
        <v>-15409.17</v>
      </c>
      <c r="AJ2116" s="20">
        <v>-15409.17</v>
      </c>
      <c r="AK2116" s="20">
        <v>-15409.17</v>
      </c>
      <c r="AL2116" s="20">
        <v>-15409.17</v>
      </c>
      <c r="AM2116" s="20">
        <v>-15409.17</v>
      </c>
      <c r="AN2116" s="20">
        <v>-15409.17</v>
      </c>
      <c r="AO2116" s="20">
        <v>-15409.17</v>
      </c>
    </row>
    <row r="2117" spans="1:41" s="15" customFormat="1" ht="14.25" x14ac:dyDescent="0.2">
      <c r="A2117" s="18" t="s">
        <v>1587</v>
      </c>
      <c r="B2117" s="19" t="s">
        <v>1588</v>
      </c>
      <c r="C2117" s="20">
        <v>-3326.85</v>
      </c>
      <c r="D2117" s="20">
        <v>-3326.85</v>
      </c>
      <c r="E2117" s="20">
        <v>-3326.85</v>
      </c>
      <c r="F2117" s="20">
        <v>-3326.85</v>
      </c>
      <c r="G2117" s="20">
        <v>-3326.85</v>
      </c>
      <c r="H2117" s="20">
        <v>0</v>
      </c>
      <c r="I2117" s="20"/>
      <c r="J2117" s="20"/>
      <c r="K2117" s="20"/>
      <c r="L2117" s="20"/>
      <c r="M2117" s="20"/>
      <c r="N2117" s="20"/>
      <c r="O2117" s="20"/>
      <c r="P2117" s="20"/>
      <c r="Q2117" s="20"/>
      <c r="R2117" s="20"/>
      <c r="S2117" s="20"/>
      <c r="T2117" s="20"/>
      <c r="U2117" s="20"/>
      <c r="V2117" s="20"/>
      <c r="W2117" s="20"/>
      <c r="X2117" s="20"/>
      <c r="Y2117" s="20"/>
      <c r="Z2117" s="20"/>
      <c r="AA2117" s="20"/>
      <c r="AB2117" s="20"/>
      <c r="AC2117" s="20"/>
      <c r="AD2117" s="20"/>
      <c r="AE2117" s="20"/>
      <c r="AF2117" s="20"/>
      <c r="AG2117" s="20"/>
      <c r="AH2117" s="20"/>
      <c r="AI2117" s="20"/>
      <c r="AJ2117" s="20"/>
      <c r="AK2117" s="20"/>
      <c r="AL2117" s="20"/>
      <c r="AM2117" s="20"/>
      <c r="AN2117" s="20"/>
      <c r="AO2117" s="20"/>
    </row>
    <row r="2118" spans="1:41" s="15" customFormat="1" ht="14.25" x14ac:dyDescent="0.2">
      <c r="A2118" s="18" t="s">
        <v>1589</v>
      </c>
      <c r="B2118" s="19" t="s">
        <v>1590</v>
      </c>
      <c r="C2118" s="20">
        <v>0</v>
      </c>
      <c r="D2118" s="20">
        <v>0</v>
      </c>
      <c r="E2118" s="20">
        <v>0</v>
      </c>
      <c r="F2118" s="20">
        <v>0</v>
      </c>
      <c r="G2118" s="20">
        <v>0</v>
      </c>
      <c r="H2118" s="20">
        <v>0</v>
      </c>
      <c r="I2118" s="20">
        <v>0</v>
      </c>
      <c r="J2118" s="20">
        <v>0</v>
      </c>
      <c r="K2118" s="20">
        <v>0</v>
      </c>
      <c r="L2118" s="20">
        <v>0</v>
      </c>
      <c r="M2118" s="20">
        <v>-204.5</v>
      </c>
      <c r="N2118" s="20">
        <v>0</v>
      </c>
      <c r="O2118" s="20">
        <v>0</v>
      </c>
      <c r="P2118" s="20">
        <v>0</v>
      </c>
      <c r="Q2118" s="20">
        <v>0</v>
      </c>
      <c r="R2118" s="20">
        <v>-3149.5</v>
      </c>
      <c r="S2118" s="20">
        <v>0</v>
      </c>
      <c r="T2118" s="20">
        <v>-4327.2</v>
      </c>
      <c r="U2118" s="20">
        <v>-4327.2</v>
      </c>
      <c r="V2118" s="20">
        <v>-4327.2</v>
      </c>
      <c r="W2118" s="20">
        <v>-4327.2</v>
      </c>
      <c r="X2118" s="20">
        <v>-4327.2</v>
      </c>
      <c r="Y2118" s="20">
        <v>0</v>
      </c>
      <c r="Z2118" s="20">
        <v>0</v>
      </c>
      <c r="AA2118" s="20">
        <v>-3147.5</v>
      </c>
      <c r="AB2118" s="20">
        <v>-3147.5</v>
      </c>
      <c r="AC2118" s="20">
        <v>-8716.2199999999993</v>
      </c>
      <c r="AD2118" s="20">
        <v>-8716.2199999999993</v>
      </c>
      <c r="AE2118" s="20">
        <v>-8716.2199999999993</v>
      </c>
      <c r="AF2118" s="20">
        <v>-8716.2199999999993</v>
      </c>
      <c r="AG2118" s="20">
        <v>-8907.2199999999993</v>
      </c>
      <c r="AH2118" s="20">
        <v>-8907.2199999999993</v>
      </c>
      <c r="AI2118" s="20">
        <v>-8907.2199999999993</v>
      </c>
      <c r="AJ2118" s="20">
        <v>-8907.2199999999993</v>
      </c>
      <c r="AK2118" s="20">
        <v>-8907.2199999999993</v>
      </c>
      <c r="AL2118" s="20">
        <v>-8907.2199999999993</v>
      </c>
      <c r="AM2118" s="20">
        <v>-8907.2199999999993</v>
      </c>
      <c r="AN2118" s="20">
        <v>-8886.2199999999993</v>
      </c>
      <c r="AO2118" s="20">
        <v>-8730.48</v>
      </c>
    </row>
    <row r="2119" spans="1:41" s="15" customFormat="1" ht="14.25" x14ac:dyDescent="0.2">
      <c r="A2119" s="18" t="s">
        <v>1591</v>
      </c>
      <c r="B2119" s="19" t="s">
        <v>1592</v>
      </c>
      <c r="C2119" s="20">
        <v>-8.8000000000000007</v>
      </c>
      <c r="D2119" s="20">
        <v>-87.15</v>
      </c>
      <c r="E2119" s="20">
        <v>0</v>
      </c>
      <c r="F2119" s="20"/>
      <c r="G2119" s="20">
        <v>314.72000000000003</v>
      </c>
      <c r="H2119" s="20">
        <v>-385.07</v>
      </c>
      <c r="I2119" s="20">
        <v>0</v>
      </c>
      <c r="J2119" s="20">
        <v>-100.79</v>
      </c>
      <c r="K2119" s="20">
        <v>99.21</v>
      </c>
      <c r="L2119" s="20">
        <v>-27.24</v>
      </c>
      <c r="M2119" s="20">
        <v>0</v>
      </c>
      <c r="N2119" s="20"/>
      <c r="O2119" s="20"/>
      <c r="P2119" s="20"/>
      <c r="Q2119" s="20"/>
      <c r="R2119" s="20"/>
      <c r="S2119" s="20"/>
      <c r="T2119" s="20"/>
      <c r="U2119" s="20"/>
      <c r="V2119" s="20"/>
      <c r="W2119" s="20"/>
      <c r="X2119" s="20"/>
      <c r="Y2119" s="20"/>
      <c r="Z2119" s="20"/>
      <c r="AA2119" s="20"/>
      <c r="AB2119" s="20"/>
      <c r="AC2119" s="20"/>
      <c r="AD2119" s="20"/>
      <c r="AE2119" s="20"/>
      <c r="AF2119" s="20"/>
      <c r="AG2119" s="20"/>
      <c r="AH2119" s="20"/>
      <c r="AI2119" s="20"/>
      <c r="AJ2119" s="20"/>
      <c r="AK2119" s="20"/>
      <c r="AL2119" s="20"/>
      <c r="AM2119" s="20"/>
      <c r="AN2119" s="20"/>
      <c r="AO2119" s="20"/>
    </row>
    <row r="2120" spans="1:41" s="15" customFormat="1" ht="14.25" x14ac:dyDescent="0.2">
      <c r="A2120" s="18" t="s">
        <v>1593</v>
      </c>
      <c r="B2120" s="19" t="s">
        <v>1594</v>
      </c>
      <c r="C2120" s="20">
        <v>0</v>
      </c>
      <c r="D2120" s="20"/>
      <c r="E2120" s="20"/>
      <c r="F2120" s="20"/>
      <c r="G2120" s="20"/>
      <c r="H2120" s="20"/>
      <c r="I2120" s="20"/>
      <c r="J2120" s="20"/>
      <c r="K2120" s="20"/>
      <c r="L2120" s="20"/>
      <c r="M2120" s="20"/>
      <c r="N2120" s="20"/>
      <c r="O2120" s="20"/>
      <c r="P2120" s="20"/>
      <c r="Q2120" s="20"/>
      <c r="R2120" s="20"/>
      <c r="S2120" s="20"/>
      <c r="T2120" s="20"/>
      <c r="U2120" s="20"/>
      <c r="V2120" s="20"/>
      <c r="W2120" s="20"/>
      <c r="X2120" s="20"/>
      <c r="Y2120" s="20"/>
      <c r="Z2120" s="20"/>
      <c r="AA2120" s="20"/>
      <c r="AB2120" s="20"/>
      <c r="AC2120" s="20"/>
      <c r="AD2120" s="20"/>
      <c r="AE2120" s="20"/>
      <c r="AF2120" s="20"/>
      <c r="AG2120" s="20"/>
      <c r="AH2120" s="20"/>
      <c r="AI2120" s="20"/>
      <c r="AJ2120" s="20"/>
      <c r="AK2120" s="20"/>
      <c r="AL2120" s="20"/>
      <c r="AM2120" s="20"/>
      <c r="AN2120" s="20"/>
      <c r="AO2120" s="20"/>
    </row>
    <row r="2121" spans="1:41" s="15" customFormat="1" ht="14.25" x14ac:dyDescent="0.2">
      <c r="A2121" s="18" t="s">
        <v>1595</v>
      </c>
      <c r="B2121" s="19" t="s">
        <v>1596</v>
      </c>
      <c r="C2121" s="20"/>
      <c r="D2121" s="20"/>
      <c r="E2121" s="20"/>
      <c r="F2121" s="20"/>
      <c r="G2121" s="20"/>
      <c r="H2121" s="20"/>
      <c r="I2121" s="20"/>
      <c r="J2121" s="20"/>
      <c r="K2121" s="20"/>
      <c r="L2121" s="20"/>
      <c r="M2121" s="20"/>
      <c r="N2121" s="20"/>
      <c r="O2121" s="20"/>
      <c r="P2121" s="20"/>
      <c r="Q2121" s="20"/>
      <c r="R2121" s="20"/>
      <c r="S2121" s="20"/>
      <c r="T2121" s="20"/>
      <c r="U2121" s="20"/>
      <c r="V2121" s="20"/>
      <c r="W2121" s="20"/>
      <c r="X2121" s="20"/>
      <c r="Y2121" s="20"/>
      <c r="Z2121" s="20"/>
      <c r="AA2121" s="20"/>
      <c r="AB2121" s="20"/>
      <c r="AC2121" s="20"/>
      <c r="AD2121" s="20"/>
      <c r="AE2121" s="20"/>
      <c r="AF2121" s="20"/>
      <c r="AG2121" s="20"/>
      <c r="AH2121" s="20"/>
      <c r="AI2121" s="20"/>
      <c r="AJ2121" s="20"/>
      <c r="AK2121" s="20"/>
      <c r="AL2121" s="20">
        <v>-1345.28</v>
      </c>
      <c r="AM2121" s="20">
        <v>-953.15</v>
      </c>
      <c r="AN2121" s="20">
        <v>0</v>
      </c>
      <c r="AO2121" s="20">
        <v>0</v>
      </c>
    </row>
    <row r="2122" spans="1:41" s="15" customFormat="1" ht="14.25" x14ac:dyDescent="0.2">
      <c r="A2122" s="18" t="s">
        <v>1597</v>
      </c>
      <c r="B2122" s="19" t="s">
        <v>1598</v>
      </c>
      <c r="C2122" s="20">
        <v>-3264.57</v>
      </c>
      <c r="D2122" s="20">
        <v>-19122.36</v>
      </c>
      <c r="E2122" s="20">
        <v>-34036.519999999997</v>
      </c>
      <c r="F2122" s="20">
        <v>-65527.4</v>
      </c>
      <c r="G2122" s="20">
        <v>-91084.98</v>
      </c>
      <c r="H2122" s="20">
        <v>-112640.81</v>
      </c>
      <c r="I2122" s="20">
        <v>-134722.49</v>
      </c>
      <c r="J2122" s="20">
        <v>-166357.42000000001</v>
      </c>
      <c r="K2122" s="20">
        <v>-181968.27</v>
      </c>
      <c r="L2122" s="20">
        <v>-190103.96</v>
      </c>
      <c r="M2122" s="20">
        <v>-192903.82</v>
      </c>
      <c r="N2122" s="20">
        <v>-3370.91</v>
      </c>
      <c r="O2122" s="20">
        <v>-3370.91</v>
      </c>
      <c r="P2122" s="20">
        <v>-3330.1</v>
      </c>
      <c r="Q2122" s="20">
        <v>-3057.73</v>
      </c>
      <c r="R2122" s="20">
        <v>-11455.38</v>
      </c>
      <c r="S2122" s="20">
        <v>-17504.009999999998</v>
      </c>
      <c r="T2122" s="20">
        <v>-65351.19</v>
      </c>
      <c r="U2122" s="20">
        <v>-85015.039999999994</v>
      </c>
      <c r="V2122" s="20">
        <v>-124197.04</v>
      </c>
      <c r="W2122" s="20">
        <v>-146387.79</v>
      </c>
      <c r="X2122" s="20">
        <v>-170937.66</v>
      </c>
      <c r="Y2122" s="20">
        <v>-191599.22</v>
      </c>
      <c r="Z2122" s="20">
        <v>-2510.33</v>
      </c>
      <c r="AA2122" s="20">
        <v>-2734.3</v>
      </c>
      <c r="AB2122" s="20">
        <v>-3088.05</v>
      </c>
      <c r="AC2122" s="20">
        <v>-11974.58</v>
      </c>
      <c r="AD2122" s="20">
        <v>-18601.46</v>
      </c>
      <c r="AE2122" s="20">
        <v>-25897.35</v>
      </c>
      <c r="AF2122" s="20">
        <v>-73665.77</v>
      </c>
      <c r="AG2122" s="20">
        <v>-95490.51</v>
      </c>
      <c r="AH2122" s="20">
        <v>-122967.92</v>
      </c>
      <c r="AI2122" s="20">
        <v>-147819.45000000001</v>
      </c>
      <c r="AJ2122" s="20">
        <v>-172725.18</v>
      </c>
      <c r="AK2122" s="20">
        <v>-207220.67</v>
      </c>
      <c r="AL2122" s="20">
        <v>-2143.5300000000002</v>
      </c>
      <c r="AM2122" s="20">
        <v>-909.5</v>
      </c>
      <c r="AN2122" s="20">
        <v>-2517.71</v>
      </c>
      <c r="AO2122" s="20">
        <v>-24556.39</v>
      </c>
    </row>
    <row r="2123" spans="1:41" s="15" customFormat="1" ht="14.25" x14ac:dyDescent="0.2">
      <c r="A2123" s="18" t="s">
        <v>1599</v>
      </c>
      <c r="B2123" s="19" t="s">
        <v>1600</v>
      </c>
      <c r="C2123" s="20"/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  <c r="N2123" s="20"/>
      <c r="O2123" s="20"/>
      <c r="P2123" s="20"/>
      <c r="Q2123" s="20"/>
      <c r="R2123" s="20"/>
      <c r="S2123" s="20">
        <v>-66757.399999999994</v>
      </c>
      <c r="T2123" s="20">
        <v>-66757.399999999994</v>
      </c>
      <c r="U2123" s="20">
        <v>-66757.399999999994</v>
      </c>
      <c r="V2123" s="20">
        <v>-66757.399999999994</v>
      </c>
      <c r="W2123" s="20">
        <v>-66757.399999999994</v>
      </c>
      <c r="X2123" s="20">
        <v>-102299.2</v>
      </c>
      <c r="Y2123" s="20">
        <v>-105413.2</v>
      </c>
      <c r="Z2123" s="20">
        <v>-23475.49</v>
      </c>
      <c r="AA2123" s="20">
        <v>-23475.49</v>
      </c>
      <c r="AB2123" s="20">
        <v>-23475.49</v>
      </c>
      <c r="AC2123" s="20">
        <v>-23475.49</v>
      </c>
      <c r="AD2123" s="20">
        <v>-23475.49</v>
      </c>
      <c r="AE2123" s="20">
        <v>-23475.49</v>
      </c>
      <c r="AF2123" s="20">
        <v>-23475.49</v>
      </c>
      <c r="AG2123" s="20">
        <v>-23475.49</v>
      </c>
      <c r="AH2123" s="20">
        <v>-23475.49</v>
      </c>
      <c r="AI2123" s="20">
        <v>0</v>
      </c>
      <c r="AJ2123" s="20"/>
      <c r="AK2123" s="20"/>
      <c r="AL2123" s="20"/>
      <c r="AM2123" s="20"/>
      <c r="AN2123" s="20"/>
      <c r="AO2123" s="20"/>
    </row>
    <row r="2124" spans="1:41" s="15" customFormat="1" ht="14.25" x14ac:dyDescent="0.2">
      <c r="A2124" s="18" t="s">
        <v>1601</v>
      </c>
      <c r="B2124" s="19" t="s">
        <v>1602</v>
      </c>
      <c r="C2124" s="20"/>
      <c r="D2124" s="20"/>
      <c r="E2124" s="20"/>
      <c r="F2124" s="20"/>
      <c r="G2124" s="20"/>
      <c r="H2124" s="20"/>
      <c r="I2124" s="20"/>
      <c r="J2124" s="20"/>
      <c r="K2124" s="20"/>
      <c r="L2124" s="20"/>
      <c r="M2124" s="20"/>
      <c r="N2124" s="20"/>
      <c r="O2124" s="20"/>
      <c r="P2124" s="20"/>
      <c r="Q2124" s="20"/>
      <c r="R2124" s="20"/>
      <c r="S2124" s="20"/>
      <c r="T2124" s="20"/>
      <c r="U2124" s="20"/>
      <c r="V2124" s="20">
        <v>0</v>
      </c>
      <c r="W2124" s="20"/>
      <c r="X2124" s="20"/>
      <c r="Y2124" s="20"/>
      <c r="Z2124" s="20"/>
      <c r="AA2124" s="20"/>
      <c r="AB2124" s="20"/>
      <c r="AC2124" s="20"/>
      <c r="AD2124" s="20"/>
      <c r="AE2124" s="20"/>
      <c r="AF2124" s="20"/>
      <c r="AG2124" s="20"/>
      <c r="AH2124" s="20"/>
      <c r="AI2124" s="20"/>
      <c r="AJ2124" s="20"/>
      <c r="AK2124" s="20"/>
      <c r="AL2124" s="20"/>
      <c r="AM2124" s="20"/>
      <c r="AN2124" s="20"/>
      <c r="AO2124" s="20"/>
    </row>
    <row r="2125" spans="1:41" s="15" customFormat="1" ht="14.25" x14ac:dyDescent="0.2">
      <c r="A2125" s="18" t="s">
        <v>1603</v>
      </c>
      <c r="B2125" s="19" t="s">
        <v>1604</v>
      </c>
      <c r="C2125" s="20"/>
      <c r="D2125" s="20"/>
      <c r="E2125" s="20"/>
      <c r="F2125" s="20"/>
      <c r="G2125" s="20"/>
      <c r="H2125" s="20"/>
      <c r="I2125" s="20"/>
      <c r="J2125" s="20"/>
      <c r="K2125" s="20"/>
      <c r="L2125" s="20"/>
      <c r="M2125" s="20"/>
      <c r="N2125" s="20"/>
      <c r="O2125" s="20"/>
      <c r="P2125" s="20"/>
      <c r="Q2125" s="20"/>
      <c r="R2125" s="20"/>
      <c r="S2125" s="20"/>
      <c r="T2125" s="20"/>
      <c r="U2125" s="20"/>
      <c r="V2125" s="20"/>
      <c r="W2125" s="20"/>
      <c r="X2125" s="20"/>
      <c r="Y2125" s="20"/>
      <c r="Z2125" s="20"/>
      <c r="AA2125" s="20"/>
      <c r="AB2125" s="20"/>
      <c r="AC2125" s="20"/>
      <c r="AD2125" s="20">
        <v>-3600</v>
      </c>
      <c r="AE2125" s="20">
        <v>-3600</v>
      </c>
      <c r="AF2125" s="20">
        <v>-3600</v>
      </c>
      <c r="AG2125" s="20">
        <v>-3600</v>
      </c>
      <c r="AH2125" s="20">
        <v>-3600</v>
      </c>
      <c r="AI2125" s="20">
        <v>-3600</v>
      </c>
      <c r="AJ2125" s="20">
        <v>-3600</v>
      </c>
      <c r="AK2125" s="20">
        <v>-3600</v>
      </c>
      <c r="AL2125" s="20">
        <v>0</v>
      </c>
      <c r="AM2125" s="20"/>
      <c r="AN2125" s="20"/>
      <c r="AO2125" s="20"/>
    </row>
    <row r="2126" spans="1:41" s="15" customFormat="1" ht="14.25" x14ac:dyDescent="0.2">
      <c r="A2126" s="18" t="s">
        <v>1605</v>
      </c>
      <c r="B2126" s="19" t="s">
        <v>1606</v>
      </c>
      <c r="C2126" s="20"/>
      <c r="D2126" s="20"/>
      <c r="E2126" s="20"/>
      <c r="F2126" s="20"/>
      <c r="G2126" s="20"/>
      <c r="H2126" s="20"/>
      <c r="I2126" s="20"/>
      <c r="J2126" s="20"/>
      <c r="K2126" s="20"/>
      <c r="L2126" s="20"/>
      <c r="M2126" s="20"/>
      <c r="N2126" s="20"/>
      <c r="O2126" s="20"/>
      <c r="P2126" s="20"/>
      <c r="Q2126" s="20"/>
      <c r="R2126" s="20"/>
      <c r="S2126" s="20"/>
      <c r="T2126" s="20"/>
      <c r="U2126" s="20"/>
      <c r="V2126" s="20"/>
      <c r="W2126" s="20"/>
      <c r="X2126" s="20"/>
      <c r="Y2126" s="20"/>
      <c r="Z2126" s="20"/>
      <c r="AA2126" s="20"/>
      <c r="AB2126" s="20"/>
      <c r="AC2126" s="20"/>
      <c r="AD2126" s="20"/>
      <c r="AE2126" s="20"/>
      <c r="AF2126" s="20"/>
      <c r="AG2126" s="20"/>
      <c r="AH2126" s="20"/>
      <c r="AI2126" s="20"/>
      <c r="AJ2126" s="20"/>
      <c r="AK2126" s="20"/>
      <c r="AL2126" s="20"/>
      <c r="AM2126" s="20">
        <v>0</v>
      </c>
      <c r="AN2126" s="20"/>
      <c r="AO2126" s="20"/>
    </row>
    <row r="2127" spans="1:41" ht="14.25" x14ac:dyDescent="0.2">
      <c r="A2127" s="2">
        <v>2505</v>
      </c>
      <c r="B2127" s="3" t="s">
        <v>515</v>
      </c>
      <c r="C2127" s="20">
        <f>+C2130+C2132+C2133+C2134+C2135+C2137</f>
        <v>-133943.46</v>
      </c>
      <c r="D2127" s="20">
        <f t="shared" ref="D2127:AO2127" si="68">+D2130+D2132+D2133+D2134+D2135+D2137</f>
        <v>-148393.57999999999</v>
      </c>
      <c r="E2127" s="20">
        <f t="shared" si="68"/>
        <v>-181455.67</v>
      </c>
      <c r="F2127" s="20">
        <f t="shared" si="68"/>
        <v>-231864.75</v>
      </c>
      <c r="G2127" s="20">
        <f t="shared" si="68"/>
        <v>-192980.56</v>
      </c>
      <c r="H2127" s="20">
        <f t="shared" si="68"/>
        <v>-239650.3</v>
      </c>
      <c r="I2127" s="20">
        <f t="shared" si="68"/>
        <v>-153631.88</v>
      </c>
      <c r="J2127" s="20">
        <f t="shared" si="68"/>
        <v>-230896.72</v>
      </c>
      <c r="K2127" s="20">
        <f t="shared" si="68"/>
        <v>-286362.23</v>
      </c>
      <c r="L2127" s="20">
        <f t="shared" si="68"/>
        <v>-312322.44</v>
      </c>
      <c r="M2127" s="20">
        <f t="shared" si="68"/>
        <v>-264117.71999999997</v>
      </c>
      <c r="N2127" s="20">
        <f t="shared" si="68"/>
        <v>-47888.89</v>
      </c>
      <c r="O2127" s="20">
        <f t="shared" si="68"/>
        <v>-95710.89</v>
      </c>
      <c r="P2127" s="20">
        <f t="shared" si="68"/>
        <v>-133471.82</v>
      </c>
      <c r="Q2127" s="20">
        <f t="shared" si="68"/>
        <v>-165721.53999999998</v>
      </c>
      <c r="R2127" s="20">
        <f t="shared" si="68"/>
        <v>-212725.25999999998</v>
      </c>
      <c r="S2127" s="20">
        <f t="shared" si="68"/>
        <v>-173896.6</v>
      </c>
      <c r="T2127" s="20">
        <f t="shared" si="68"/>
        <v>-211994.06000000003</v>
      </c>
      <c r="U2127" s="20">
        <f t="shared" si="68"/>
        <v>-89812.790000000008</v>
      </c>
      <c r="V2127" s="20">
        <f t="shared" si="68"/>
        <v>-122811.47</v>
      </c>
      <c r="W2127" s="20">
        <f t="shared" si="68"/>
        <v>-155605.59</v>
      </c>
      <c r="X2127" s="20">
        <f t="shared" si="68"/>
        <v>-166176.98000000001</v>
      </c>
      <c r="Y2127" s="20">
        <f t="shared" si="68"/>
        <v>-91302.67</v>
      </c>
      <c r="Z2127" s="20">
        <f t="shared" si="68"/>
        <v>-36454.19</v>
      </c>
      <c r="AA2127" s="20">
        <f t="shared" si="68"/>
        <v>-96630.739999999991</v>
      </c>
      <c r="AB2127" s="20">
        <f t="shared" si="68"/>
        <v>-149133.1</v>
      </c>
      <c r="AC2127" s="20">
        <f t="shared" si="68"/>
        <v>-195109.7</v>
      </c>
      <c r="AD2127" s="20">
        <f t="shared" si="68"/>
        <v>-239827.07</v>
      </c>
      <c r="AE2127" s="20">
        <f t="shared" si="68"/>
        <v>-205788.49</v>
      </c>
      <c r="AF2127" s="20">
        <f t="shared" si="68"/>
        <v>-230594.03</v>
      </c>
      <c r="AG2127" s="20">
        <f t="shared" si="68"/>
        <v>-181275.2</v>
      </c>
      <c r="AH2127" s="20">
        <f t="shared" si="68"/>
        <v>-242252.1</v>
      </c>
      <c r="AI2127" s="20">
        <f t="shared" si="68"/>
        <v>-287591.67999999999</v>
      </c>
      <c r="AJ2127" s="20">
        <f t="shared" si="68"/>
        <v>-349636.68</v>
      </c>
      <c r="AK2127" s="20">
        <f t="shared" si="68"/>
        <v>-307215.3</v>
      </c>
      <c r="AL2127" s="20">
        <f t="shared" si="68"/>
        <v>-42565.33</v>
      </c>
      <c r="AM2127" s="20">
        <f t="shared" si="68"/>
        <v>-117301.82</v>
      </c>
      <c r="AN2127" s="20">
        <f t="shared" si="68"/>
        <v>-206402.99000000002</v>
      </c>
      <c r="AO2127" s="20">
        <f t="shared" si="68"/>
        <v>-194725.83</v>
      </c>
    </row>
    <row r="2128" spans="1:41" ht="14.25" x14ac:dyDescent="0.2">
      <c r="A2128" s="2">
        <v>250501</v>
      </c>
      <c r="B2128" s="3" t="s">
        <v>516</v>
      </c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  <c r="AF2128" s="9"/>
      <c r="AG2128" s="9"/>
      <c r="AH2128" s="9"/>
      <c r="AI2128" s="9"/>
      <c r="AJ2128" s="9"/>
      <c r="AK2128" s="9"/>
      <c r="AL2128" s="9"/>
      <c r="AM2128" s="9"/>
      <c r="AN2128" s="9"/>
      <c r="AO2128" s="9"/>
    </row>
    <row r="2129" spans="1:41" ht="14.25" x14ac:dyDescent="0.2">
      <c r="A2129" s="2">
        <v>250502</v>
      </c>
      <c r="B2129" s="3" t="s">
        <v>517</v>
      </c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  <c r="AE2129" s="9"/>
      <c r="AF2129" s="9"/>
      <c r="AG2129" s="9"/>
      <c r="AH2129" s="9"/>
      <c r="AI2129" s="9"/>
      <c r="AJ2129" s="9"/>
      <c r="AK2129" s="9"/>
      <c r="AL2129" s="9"/>
      <c r="AM2129" s="9"/>
      <c r="AN2129" s="9"/>
      <c r="AO2129" s="9"/>
    </row>
    <row r="2130" spans="1:41" s="15" customFormat="1" ht="14.25" x14ac:dyDescent="0.2">
      <c r="A2130" s="18" t="s">
        <v>1607</v>
      </c>
      <c r="B2130" s="19" t="s">
        <v>1608</v>
      </c>
      <c r="C2130" s="20">
        <v>-82929.960000000006</v>
      </c>
      <c r="D2130" s="20">
        <v>-82243.59</v>
      </c>
      <c r="E2130" s="20">
        <v>-80394.98</v>
      </c>
      <c r="F2130" s="20">
        <v>-84747.58</v>
      </c>
      <c r="G2130" s="20">
        <v>-14064.47</v>
      </c>
      <c r="H2130" s="20">
        <v>-25640.93</v>
      </c>
      <c r="I2130" s="20">
        <v>-37972.07</v>
      </c>
      <c r="J2130" s="20">
        <v>-52036.54</v>
      </c>
      <c r="K2130" s="20">
        <v>-62438.05</v>
      </c>
      <c r="L2130" s="20">
        <v>-86928.39</v>
      </c>
      <c r="M2130" s="20">
        <v>-14903.53</v>
      </c>
      <c r="N2130" s="20">
        <v>-27294.83</v>
      </c>
      <c r="O2130" s="20">
        <v>-43227</v>
      </c>
      <c r="P2130" s="20">
        <v>-56402.95</v>
      </c>
      <c r="Q2130" s="20">
        <v>-66296.84</v>
      </c>
      <c r="R2130" s="20">
        <v>-82720.649999999994</v>
      </c>
      <c r="S2130" s="20">
        <v>-15205.62</v>
      </c>
      <c r="T2130" s="20">
        <v>-29519.32</v>
      </c>
      <c r="U2130" s="20">
        <v>-44225.55</v>
      </c>
      <c r="V2130" s="20">
        <v>-58992.959999999999</v>
      </c>
      <c r="W2130" s="20">
        <v>-70947.509999999995</v>
      </c>
      <c r="X2130" s="20">
        <v>-86153.15</v>
      </c>
      <c r="Y2130" s="20">
        <v>-10166.49</v>
      </c>
      <c r="Z2130" s="20">
        <v>-8691.6200000000008</v>
      </c>
      <c r="AA2130" s="20">
        <v>-23099.599999999999</v>
      </c>
      <c r="AB2130" s="20">
        <v>-37624.25</v>
      </c>
      <c r="AC2130" s="20">
        <v>-46191.67</v>
      </c>
      <c r="AD2130" s="20">
        <v>-60716.32</v>
      </c>
      <c r="AE2130" s="20">
        <v>0</v>
      </c>
      <c r="AF2130" s="20">
        <v>-9884.61</v>
      </c>
      <c r="AG2130" s="20">
        <v>-48726.57</v>
      </c>
      <c r="AH2130" s="20">
        <v>-64170.42</v>
      </c>
      <c r="AI2130" s="20">
        <v>-75242.02</v>
      </c>
      <c r="AJ2130" s="20">
        <v>-90784</v>
      </c>
      <c r="AK2130" s="20">
        <v>0</v>
      </c>
      <c r="AL2130" s="20">
        <v>-13304.36</v>
      </c>
      <c r="AM2130" s="20">
        <v>-44033.94</v>
      </c>
      <c r="AN2130" s="20">
        <v>-62705.3</v>
      </c>
      <c r="AO2130" s="20">
        <v>-60770.65</v>
      </c>
    </row>
    <row r="2131" spans="1:41" ht="14.25" x14ac:dyDescent="0.2">
      <c r="A2131" s="2">
        <v>250504</v>
      </c>
      <c r="B2131" s="3" t="s">
        <v>518</v>
      </c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9"/>
      <c r="AF2131" s="9"/>
      <c r="AG2131" s="9"/>
      <c r="AH2131" s="9"/>
      <c r="AI2131" s="9"/>
      <c r="AJ2131" s="9"/>
      <c r="AK2131" s="9"/>
      <c r="AL2131" s="9"/>
      <c r="AM2131" s="9"/>
      <c r="AN2131" s="9"/>
      <c r="AO2131" s="9"/>
    </row>
    <row r="2132" spans="1:41" s="15" customFormat="1" ht="14.25" x14ac:dyDescent="0.2">
      <c r="A2132" s="18" t="s">
        <v>1609</v>
      </c>
      <c r="B2132" s="19" t="s">
        <v>1610</v>
      </c>
      <c r="C2132" s="20">
        <v>0</v>
      </c>
      <c r="D2132" s="20">
        <v>0</v>
      </c>
      <c r="E2132" s="20">
        <v>0</v>
      </c>
      <c r="F2132" s="20">
        <v>0</v>
      </c>
      <c r="G2132" s="20">
        <v>0</v>
      </c>
      <c r="H2132" s="20">
        <v>0</v>
      </c>
      <c r="I2132" s="20">
        <v>0</v>
      </c>
      <c r="J2132" s="20">
        <v>0</v>
      </c>
      <c r="K2132" s="20">
        <v>0</v>
      </c>
      <c r="L2132" s="20">
        <v>0</v>
      </c>
      <c r="M2132" s="20">
        <v>0</v>
      </c>
      <c r="N2132" s="20">
        <v>0</v>
      </c>
      <c r="O2132" s="20">
        <v>0</v>
      </c>
      <c r="P2132" s="20">
        <v>0</v>
      </c>
      <c r="Q2132" s="20">
        <v>0</v>
      </c>
      <c r="R2132" s="20">
        <v>0</v>
      </c>
      <c r="S2132" s="20">
        <v>0</v>
      </c>
      <c r="T2132" s="20">
        <v>0</v>
      </c>
      <c r="U2132" s="20">
        <v>0</v>
      </c>
      <c r="V2132" s="20">
        <v>0.01</v>
      </c>
      <c r="W2132" s="20">
        <v>0</v>
      </c>
      <c r="X2132" s="20">
        <v>0</v>
      </c>
      <c r="Y2132" s="20">
        <v>0</v>
      </c>
      <c r="Z2132" s="20">
        <v>0</v>
      </c>
      <c r="AA2132" s="20">
        <v>0</v>
      </c>
      <c r="AB2132" s="20">
        <v>0.5</v>
      </c>
      <c r="AC2132" s="20">
        <v>0</v>
      </c>
      <c r="AD2132" s="20">
        <v>0</v>
      </c>
      <c r="AE2132" s="20">
        <v>0</v>
      </c>
      <c r="AF2132" s="20">
        <v>0</v>
      </c>
      <c r="AG2132" s="20">
        <v>0</v>
      </c>
      <c r="AH2132" s="20">
        <v>0</v>
      </c>
      <c r="AI2132" s="20">
        <v>0</v>
      </c>
      <c r="AJ2132" s="20">
        <v>0</v>
      </c>
      <c r="AK2132" s="20">
        <v>0</v>
      </c>
      <c r="AL2132" s="20">
        <v>0</v>
      </c>
      <c r="AM2132" s="20">
        <v>0</v>
      </c>
      <c r="AN2132" s="20">
        <v>0</v>
      </c>
      <c r="AO2132" s="20">
        <v>0</v>
      </c>
    </row>
    <row r="2133" spans="1:41" s="15" customFormat="1" ht="14.25" x14ac:dyDescent="0.2">
      <c r="A2133" s="18" t="s">
        <v>1611</v>
      </c>
      <c r="B2133" s="19" t="s">
        <v>1612</v>
      </c>
      <c r="C2133" s="20">
        <v>-25769.25</v>
      </c>
      <c r="D2133" s="20">
        <v>-51037.39</v>
      </c>
      <c r="E2133" s="20">
        <v>-74856.639999999999</v>
      </c>
      <c r="F2133" s="20">
        <v>-99624.22</v>
      </c>
      <c r="G2133" s="20">
        <v>-122224.72</v>
      </c>
      <c r="H2133" s="20">
        <v>-153386.67000000001</v>
      </c>
      <c r="I2133" s="20">
        <v>-48160.22</v>
      </c>
      <c r="J2133" s="20">
        <v>-97453.77</v>
      </c>
      <c r="K2133" s="20">
        <v>-135194.82</v>
      </c>
      <c r="L2133" s="20">
        <v>-135194.82</v>
      </c>
      <c r="M2133" s="20">
        <v>-160214.96</v>
      </c>
      <c r="N2133" s="20">
        <v>0</v>
      </c>
      <c r="O2133" s="20">
        <v>-27510.36</v>
      </c>
      <c r="P2133" s="20">
        <v>-55278.97</v>
      </c>
      <c r="Q2133" s="20">
        <v>-77959.210000000006</v>
      </c>
      <c r="R2133" s="20">
        <v>-108454.01</v>
      </c>
      <c r="S2133" s="20">
        <v>-136987.89000000001</v>
      </c>
      <c r="T2133" s="20">
        <v>-157481.04</v>
      </c>
      <c r="U2133" s="20">
        <v>-21034.97</v>
      </c>
      <c r="V2133" s="20">
        <v>-42039.06</v>
      </c>
      <c r="W2133" s="20">
        <v>-60642.879999999997</v>
      </c>
      <c r="X2133" s="20">
        <v>-60642.879999999997</v>
      </c>
      <c r="Y2133" s="20">
        <v>-60642.879999999997</v>
      </c>
      <c r="Z2133" s="20">
        <v>0</v>
      </c>
      <c r="AA2133" s="20">
        <v>-28794.98</v>
      </c>
      <c r="AB2133" s="20">
        <v>-57844.29</v>
      </c>
      <c r="AC2133" s="20">
        <v>-80251.38</v>
      </c>
      <c r="AD2133" s="20">
        <v>-109300.69</v>
      </c>
      <c r="AE2133" s="20">
        <v>-136492.22</v>
      </c>
      <c r="AF2133" s="20">
        <v>-170653.63</v>
      </c>
      <c r="AG2133" s="20">
        <v>-26183.06</v>
      </c>
      <c r="AH2133" s="20">
        <v>-56754.34</v>
      </c>
      <c r="AI2133" s="20">
        <v>-89231.59</v>
      </c>
      <c r="AJ2133" s="20">
        <v>-120382.98</v>
      </c>
      <c r="AK2133" s="20">
        <v>-153100.76999999999</v>
      </c>
      <c r="AL2133" s="20">
        <v>0</v>
      </c>
      <c r="AM2133" s="20">
        <v>-28539.39</v>
      </c>
      <c r="AN2133" s="20">
        <v>-59304.34</v>
      </c>
      <c r="AO2133" s="20">
        <v>-70248.91</v>
      </c>
    </row>
    <row r="2134" spans="1:41" s="15" customFormat="1" ht="14.25" x14ac:dyDescent="0.2">
      <c r="A2134" s="18" t="s">
        <v>1613</v>
      </c>
      <c r="B2134" s="19" t="s">
        <v>1614</v>
      </c>
      <c r="C2134" s="20">
        <v>-14361.28</v>
      </c>
      <c r="D2134" s="20">
        <v>-2219.7600000000002</v>
      </c>
      <c r="E2134" s="20">
        <v>-11985.76</v>
      </c>
      <c r="F2134" s="20">
        <v>-34117.79</v>
      </c>
      <c r="G2134" s="20">
        <v>-41414.26</v>
      </c>
      <c r="H2134" s="20">
        <v>-45291.21</v>
      </c>
      <c r="I2134" s="20">
        <v>-51320.83</v>
      </c>
      <c r="J2134" s="20">
        <v>-64205.45</v>
      </c>
      <c r="K2134" s="20">
        <v>-68463.5</v>
      </c>
      <c r="L2134" s="20">
        <v>-68463.5</v>
      </c>
      <c r="M2134" s="20">
        <v>-67137.39</v>
      </c>
      <c r="N2134" s="20">
        <v>0</v>
      </c>
      <c r="O2134" s="20"/>
      <c r="P2134" s="20"/>
      <c r="Q2134" s="20"/>
      <c r="R2134" s="20"/>
      <c r="S2134" s="20"/>
      <c r="T2134" s="20"/>
      <c r="U2134" s="20"/>
      <c r="V2134" s="20"/>
      <c r="W2134" s="20"/>
      <c r="X2134" s="20"/>
      <c r="Y2134" s="20"/>
      <c r="Z2134" s="20"/>
      <c r="AA2134" s="20">
        <v>-14524.65</v>
      </c>
      <c r="AB2134" s="20">
        <v>-29049.3</v>
      </c>
      <c r="AC2134" s="20">
        <v>-43693.95</v>
      </c>
      <c r="AD2134" s="20">
        <v>-43693.95</v>
      </c>
      <c r="AE2134" s="20">
        <v>-43693.95</v>
      </c>
      <c r="AF2134" s="20">
        <v>-22355.79</v>
      </c>
      <c r="AG2134" s="20">
        <v>-78363.12</v>
      </c>
      <c r="AH2134" s="20">
        <v>-90437.77</v>
      </c>
      <c r="AI2134" s="20">
        <v>-95221.18</v>
      </c>
      <c r="AJ2134" s="20">
        <v>-109220.83</v>
      </c>
      <c r="AK2134" s="20">
        <v>-123745.48</v>
      </c>
      <c r="AL2134" s="20">
        <v>0</v>
      </c>
      <c r="AM2134" s="20">
        <v>-13942.49</v>
      </c>
      <c r="AN2134" s="20">
        <v>-52747.69</v>
      </c>
      <c r="AO2134" s="20">
        <v>-27243.84</v>
      </c>
    </row>
    <row r="2135" spans="1:41" s="15" customFormat="1" ht="14.25" x14ac:dyDescent="0.2">
      <c r="A2135" s="18" t="s">
        <v>1615</v>
      </c>
      <c r="B2135" s="19" t="s">
        <v>1616</v>
      </c>
      <c r="C2135" s="20">
        <v>-10802.97</v>
      </c>
      <c r="D2135" s="20">
        <v>-11722.84</v>
      </c>
      <c r="E2135" s="20">
        <v>-12648.29</v>
      </c>
      <c r="F2135" s="20">
        <v>-13375.16</v>
      </c>
      <c r="G2135" s="20">
        <v>-14087.11</v>
      </c>
      <c r="H2135" s="20">
        <v>-15331.49</v>
      </c>
      <c r="I2135" s="20">
        <v>-16178.76</v>
      </c>
      <c r="J2135" s="20">
        <v>-17200.96</v>
      </c>
      <c r="K2135" s="20">
        <v>-18265.86</v>
      </c>
      <c r="L2135" s="20">
        <v>-19235.73</v>
      </c>
      <c r="M2135" s="20">
        <v>-19861.84</v>
      </c>
      <c r="N2135" s="20">
        <v>-20594.060000000001</v>
      </c>
      <c r="O2135" s="20">
        <v>-21053.53</v>
      </c>
      <c r="P2135" s="20">
        <v>-21169.9</v>
      </c>
      <c r="Q2135" s="20">
        <v>-21465.49</v>
      </c>
      <c r="R2135" s="20">
        <v>-21550.6</v>
      </c>
      <c r="S2135" s="20">
        <v>-21703.09</v>
      </c>
      <c r="T2135" s="20">
        <v>-22093.7</v>
      </c>
      <c r="U2135" s="20">
        <v>-22221.27</v>
      </c>
      <c r="V2135" s="20">
        <v>-22339.46</v>
      </c>
      <c r="W2135" s="20">
        <v>-22525.200000000001</v>
      </c>
      <c r="X2135" s="20">
        <v>-22940.95</v>
      </c>
      <c r="Y2135" s="20">
        <v>-23153.3</v>
      </c>
      <c r="Z2135" s="20">
        <v>-23452.57</v>
      </c>
      <c r="AA2135" s="20">
        <v>-23721.51</v>
      </c>
      <c r="AB2135" s="20">
        <v>-24055.759999999998</v>
      </c>
      <c r="AC2135" s="20">
        <v>-24312.7</v>
      </c>
      <c r="AD2135" s="20">
        <v>-24656.11</v>
      </c>
      <c r="AE2135" s="20">
        <v>-25042.32</v>
      </c>
      <c r="AF2135" s="20">
        <v>-25690</v>
      </c>
      <c r="AG2135" s="20">
        <v>-26182.45</v>
      </c>
      <c r="AH2135" s="20">
        <v>-26569.57</v>
      </c>
      <c r="AI2135" s="20">
        <v>-26746.89</v>
      </c>
      <c r="AJ2135" s="20">
        <v>-26898.87</v>
      </c>
      <c r="AK2135" s="20">
        <v>-27319.05</v>
      </c>
      <c r="AL2135" s="20">
        <v>-28110.97</v>
      </c>
      <c r="AM2135" s="20">
        <v>-29216</v>
      </c>
      <c r="AN2135" s="20">
        <v>-29795.66</v>
      </c>
      <c r="AO2135" s="20">
        <v>-29992.43</v>
      </c>
    </row>
    <row r="2136" spans="1:41" ht="14.25" x14ac:dyDescent="0.2">
      <c r="A2136" s="2">
        <v>250505</v>
      </c>
      <c r="B2136" s="3" t="s">
        <v>519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  <c r="AE2136" s="9"/>
      <c r="AF2136" s="9"/>
      <c r="AG2136" s="9"/>
      <c r="AH2136" s="9"/>
      <c r="AI2136" s="9"/>
      <c r="AJ2136" s="9"/>
      <c r="AK2136" s="9"/>
      <c r="AL2136" s="9"/>
      <c r="AM2136" s="9"/>
      <c r="AN2136" s="9"/>
      <c r="AO2136" s="9"/>
    </row>
    <row r="2137" spans="1:41" s="15" customFormat="1" ht="14.25" x14ac:dyDescent="0.2">
      <c r="A2137" s="18" t="s">
        <v>1617</v>
      </c>
      <c r="B2137" s="19" t="s">
        <v>1618</v>
      </c>
      <c r="C2137" s="20">
        <v>-80</v>
      </c>
      <c r="D2137" s="20">
        <v>-1170</v>
      </c>
      <c r="E2137" s="20">
        <v>-1570</v>
      </c>
      <c r="F2137" s="20">
        <v>0</v>
      </c>
      <c r="G2137" s="20">
        <v>-1190</v>
      </c>
      <c r="H2137" s="20">
        <v>0</v>
      </c>
      <c r="I2137" s="20">
        <v>0</v>
      </c>
      <c r="J2137" s="20">
        <v>0</v>
      </c>
      <c r="K2137" s="20">
        <v>-2000</v>
      </c>
      <c r="L2137" s="20">
        <v>-2500</v>
      </c>
      <c r="M2137" s="20">
        <v>-2000</v>
      </c>
      <c r="N2137" s="20">
        <v>0</v>
      </c>
      <c r="O2137" s="20">
        <v>-3920</v>
      </c>
      <c r="P2137" s="20">
        <v>-620</v>
      </c>
      <c r="Q2137" s="20">
        <v>0</v>
      </c>
      <c r="R2137" s="20">
        <v>0</v>
      </c>
      <c r="S2137" s="20">
        <v>0</v>
      </c>
      <c r="T2137" s="20">
        <v>-2900</v>
      </c>
      <c r="U2137" s="20">
        <v>-2331</v>
      </c>
      <c r="V2137" s="20">
        <v>560</v>
      </c>
      <c r="W2137" s="20">
        <v>-1490</v>
      </c>
      <c r="X2137" s="20">
        <v>3560</v>
      </c>
      <c r="Y2137" s="20">
        <v>2660</v>
      </c>
      <c r="Z2137" s="20">
        <v>-4310</v>
      </c>
      <c r="AA2137" s="20">
        <v>-6490</v>
      </c>
      <c r="AB2137" s="20">
        <v>-560</v>
      </c>
      <c r="AC2137" s="20">
        <v>-660</v>
      </c>
      <c r="AD2137" s="20">
        <v>-1460</v>
      </c>
      <c r="AE2137" s="20">
        <v>-560</v>
      </c>
      <c r="AF2137" s="20">
        <v>-2010</v>
      </c>
      <c r="AG2137" s="20">
        <v>-1820</v>
      </c>
      <c r="AH2137" s="20">
        <v>-4320</v>
      </c>
      <c r="AI2137" s="20">
        <v>-1150</v>
      </c>
      <c r="AJ2137" s="20">
        <v>-2350</v>
      </c>
      <c r="AK2137" s="20">
        <v>-3050</v>
      </c>
      <c r="AL2137" s="20">
        <v>-1150</v>
      </c>
      <c r="AM2137" s="20">
        <v>-1570</v>
      </c>
      <c r="AN2137" s="20">
        <v>-1850</v>
      </c>
      <c r="AO2137" s="20">
        <v>-6470</v>
      </c>
    </row>
    <row r="2138" spans="1:41" ht="14.25" x14ac:dyDescent="0.2">
      <c r="A2138" s="2">
        <v>250506</v>
      </c>
      <c r="B2138" s="3" t="s">
        <v>520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  <c r="AF2138" s="9"/>
      <c r="AG2138" s="9"/>
      <c r="AH2138" s="9"/>
      <c r="AI2138" s="9"/>
      <c r="AJ2138" s="9"/>
      <c r="AK2138" s="9"/>
      <c r="AL2138" s="9"/>
      <c r="AM2138" s="9"/>
      <c r="AN2138" s="9"/>
      <c r="AO2138" s="9"/>
    </row>
    <row r="2139" spans="1:41" ht="14.25" x14ac:dyDescent="0.2">
      <c r="A2139" s="2">
        <v>250509</v>
      </c>
      <c r="B2139" s="3" t="s">
        <v>521</v>
      </c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  <c r="AF2139" s="9"/>
      <c r="AG2139" s="9"/>
      <c r="AH2139" s="9"/>
      <c r="AI2139" s="9"/>
      <c r="AJ2139" s="9"/>
      <c r="AK2139" s="9"/>
      <c r="AL2139" s="9"/>
      <c r="AM2139" s="9"/>
      <c r="AN2139" s="9"/>
      <c r="AO2139" s="9"/>
    </row>
    <row r="2140" spans="1:41" ht="14.25" x14ac:dyDescent="0.2">
      <c r="A2140" s="2">
        <v>2506</v>
      </c>
      <c r="B2140" s="3" t="s">
        <v>522</v>
      </c>
      <c r="C2140" s="20">
        <f>+C2142+C2144</f>
        <v>-19079.599999999999</v>
      </c>
      <c r="D2140" s="20">
        <f t="shared" ref="D2140:AO2140" si="69">+D2142+D2144</f>
        <v>-7145.5</v>
      </c>
      <c r="E2140" s="20">
        <f t="shared" si="69"/>
        <v>-8978.2900000000009</v>
      </c>
      <c r="F2140" s="20">
        <f t="shared" si="69"/>
        <v>-3856.3</v>
      </c>
      <c r="G2140" s="20">
        <f t="shared" si="69"/>
        <v>-9607.51</v>
      </c>
      <c r="H2140" s="20">
        <f t="shared" si="69"/>
        <v>-40073.21</v>
      </c>
      <c r="I2140" s="20">
        <f t="shared" si="69"/>
        <v>-64355.15</v>
      </c>
      <c r="J2140" s="20">
        <f t="shared" si="69"/>
        <v>-5097</v>
      </c>
      <c r="K2140" s="20">
        <f t="shared" si="69"/>
        <v>-26038.83</v>
      </c>
      <c r="L2140" s="20">
        <f t="shared" si="69"/>
        <v>-2134.37</v>
      </c>
      <c r="M2140" s="20">
        <f t="shared" si="69"/>
        <v>-46263.519999999997</v>
      </c>
      <c r="N2140" s="20">
        <f t="shared" si="69"/>
        <v>-17106.75</v>
      </c>
      <c r="O2140" s="20">
        <f t="shared" si="69"/>
        <v>-2845.41</v>
      </c>
      <c r="P2140" s="20">
        <f t="shared" si="69"/>
        <v>-4583.0600000000004</v>
      </c>
      <c r="Q2140" s="20">
        <f t="shared" si="69"/>
        <v>-26861.360000000001</v>
      </c>
      <c r="R2140" s="20">
        <f t="shared" si="69"/>
        <v>-23368.82</v>
      </c>
      <c r="S2140" s="20">
        <f t="shared" si="69"/>
        <v>-2658.85</v>
      </c>
      <c r="T2140" s="20">
        <f t="shared" si="69"/>
        <v>-10707.61</v>
      </c>
      <c r="U2140" s="20">
        <f t="shared" si="69"/>
        <v>-26699.71</v>
      </c>
      <c r="V2140" s="20">
        <f t="shared" si="69"/>
        <v>-41025.14</v>
      </c>
      <c r="W2140" s="20">
        <f t="shared" si="69"/>
        <v>-22349</v>
      </c>
      <c r="X2140" s="20">
        <f t="shared" si="69"/>
        <v>-16006.35</v>
      </c>
      <c r="Y2140" s="20">
        <f t="shared" si="69"/>
        <v>-17114.34</v>
      </c>
      <c r="Z2140" s="20">
        <f t="shared" si="69"/>
        <v>-11264.77</v>
      </c>
      <c r="AA2140" s="20">
        <f t="shared" si="69"/>
        <v>-1974.4</v>
      </c>
      <c r="AB2140" s="20">
        <f t="shared" si="69"/>
        <v>-1800.01</v>
      </c>
      <c r="AC2140" s="20">
        <f t="shared" si="69"/>
        <v>-20033.169999999998</v>
      </c>
      <c r="AD2140" s="20">
        <f t="shared" si="69"/>
        <v>-892.90000000000009</v>
      </c>
      <c r="AE2140" s="20">
        <f t="shared" si="69"/>
        <v>-1906</v>
      </c>
      <c r="AF2140" s="20">
        <f t="shared" si="69"/>
        <v>-61522.09</v>
      </c>
      <c r="AG2140" s="20">
        <f t="shared" si="69"/>
        <v>-12139.39</v>
      </c>
      <c r="AH2140" s="20">
        <f t="shared" si="69"/>
        <v>-6373.88</v>
      </c>
      <c r="AI2140" s="20">
        <f t="shared" si="69"/>
        <v>-21043.040000000001</v>
      </c>
      <c r="AJ2140" s="20">
        <f t="shared" si="69"/>
        <v>-904.22</v>
      </c>
      <c r="AK2140" s="20">
        <f t="shared" si="69"/>
        <v>-844.05</v>
      </c>
      <c r="AL2140" s="20">
        <f t="shared" si="69"/>
        <v>-19643.98</v>
      </c>
      <c r="AM2140" s="20">
        <f t="shared" si="69"/>
        <v>-2981.89</v>
      </c>
      <c r="AN2140" s="20">
        <f t="shared" si="69"/>
        <v>-1536.32</v>
      </c>
      <c r="AO2140" s="20">
        <f t="shared" si="69"/>
        <v>-68317.350000000006</v>
      </c>
    </row>
    <row r="2141" spans="1:41" ht="14.25" x14ac:dyDescent="0.2">
      <c r="A2141" s="2">
        <v>250601</v>
      </c>
      <c r="B2141" s="3" t="s">
        <v>523</v>
      </c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9"/>
      <c r="AF2141" s="9"/>
      <c r="AG2141" s="9"/>
      <c r="AH2141" s="9"/>
      <c r="AI2141" s="9"/>
      <c r="AJ2141" s="9"/>
      <c r="AK2141" s="9"/>
      <c r="AL2141" s="9"/>
      <c r="AM2141" s="9"/>
      <c r="AN2141" s="9"/>
      <c r="AO2141" s="9"/>
    </row>
    <row r="2142" spans="1:41" s="15" customFormat="1" ht="14.25" x14ac:dyDescent="0.2">
      <c r="A2142" s="18" t="s">
        <v>1619</v>
      </c>
      <c r="B2142" s="19" t="s">
        <v>1620</v>
      </c>
      <c r="C2142" s="20"/>
      <c r="D2142" s="20"/>
      <c r="E2142" s="20"/>
      <c r="F2142" s="20"/>
      <c r="G2142" s="20"/>
      <c r="H2142" s="20"/>
      <c r="I2142" s="20"/>
      <c r="J2142" s="20"/>
      <c r="K2142" s="20"/>
      <c r="L2142" s="20"/>
      <c r="M2142" s="20"/>
      <c r="N2142" s="20"/>
      <c r="O2142" s="20"/>
      <c r="P2142" s="20"/>
      <c r="Q2142" s="20"/>
      <c r="R2142" s="20"/>
      <c r="S2142" s="20"/>
      <c r="T2142" s="20"/>
      <c r="U2142" s="20">
        <v>0</v>
      </c>
      <c r="V2142" s="20">
        <v>-129.80000000000001</v>
      </c>
      <c r="W2142" s="20">
        <v>-3000</v>
      </c>
      <c r="X2142" s="20">
        <v>-100</v>
      </c>
      <c r="Y2142" s="20">
        <v>0</v>
      </c>
      <c r="Z2142" s="20">
        <v>0</v>
      </c>
      <c r="AA2142" s="20">
        <v>0</v>
      </c>
      <c r="AB2142" s="20">
        <v>0</v>
      </c>
      <c r="AC2142" s="20">
        <v>-1800</v>
      </c>
      <c r="AD2142" s="20">
        <v>1500</v>
      </c>
      <c r="AE2142" s="20">
        <v>0</v>
      </c>
      <c r="AF2142" s="20">
        <v>-300</v>
      </c>
      <c r="AG2142" s="20">
        <v>0</v>
      </c>
      <c r="AH2142" s="20">
        <v>-2322.4</v>
      </c>
      <c r="AI2142" s="20">
        <v>-410</v>
      </c>
      <c r="AJ2142" s="20">
        <v>-410</v>
      </c>
      <c r="AK2142" s="20">
        <v>-410</v>
      </c>
      <c r="AL2142" s="20">
        <v>-5410</v>
      </c>
      <c r="AM2142" s="20">
        <v>-410</v>
      </c>
      <c r="AN2142" s="20">
        <v>-410</v>
      </c>
      <c r="AO2142" s="20">
        <v>-410</v>
      </c>
    </row>
    <row r="2143" spans="1:41" s="15" customFormat="1" ht="14.25" x14ac:dyDescent="0.2">
      <c r="A2143" s="18">
        <v>250602</v>
      </c>
      <c r="B2143" s="19" t="s">
        <v>524</v>
      </c>
      <c r="C2143" s="20"/>
      <c r="D2143" s="20"/>
      <c r="E2143" s="20"/>
      <c r="F2143" s="20"/>
      <c r="G2143" s="20"/>
      <c r="H2143" s="20"/>
      <c r="I2143" s="20"/>
      <c r="J2143" s="20"/>
      <c r="K2143" s="20"/>
      <c r="L2143" s="20"/>
      <c r="M2143" s="20"/>
      <c r="N2143" s="20"/>
      <c r="O2143" s="20"/>
      <c r="P2143" s="20"/>
      <c r="Q2143" s="20"/>
      <c r="R2143" s="20"/>
      <c r="S2143" s="20"/>
      <c r="T2143" s="20"/>
      <c r="U2143" s="20"/>
      <c r="V2143" s="20"/>
      <c r="W2143" s="20"/>
      <c r="X2143" s="20"/>
      <c r="Y2143" s="20"/>
      <c r="Z2143" s="20"/>
      <c r="AA2143" s="20"/>
      <c r="AB2143" s="20"/>
      <c r="AC2143" s="20"/>
      <c r="AD2143" s="20"/>
      <c r="AE2143" s="20"/>
      <c r="AF2143" s="20"/>
      <c r="AG2143" s="20"/>
      <c r="AH2143" s="20"/>
      <c r="AI2143" s="20"/>
      <c r="AJ2143" s="20"/>
      <c r="AK2143" s="20"/>
      <c r="AL2143" s="20"/>
      <c r="AM2143" s="20"/>
      <c r="AN2143" s="20"/>
      <c r="AO2143" s="20"/>
    </row>
    <row r="2144" spans="1:41" s="15" customFormat="1" ht="14.25" x14ac:dyDescent="0.2">
      <c r="A2144" s="18" t="s">
        <v>1621</v>
      </c>
      <c r="B2144" s="19" t="s">
        <v>1622</v>
      </c>
      <c r="C2144" s="20">
        <v>-19079.599999999999</v>
      </c>
      <c r="D2144" s="20">
        <v>-7145.5</v>
      </c>
      <c r="E2144" s="20">
        <v>-8978.2900000000009</v>
      </c>
      <c r="F2144" s="20">
        <v>-3856.3</v>
      </c>
      <c r="G2144" s="20">
        <v>-9607.51</v>
      </c>
      <c r="H2144" s="20">
        <v>-40073.21</v>
      </c>
      <c r="I2144" s="20">
        <v>-64355.15</v>
      </c>
      <c r="J2144" s="20">
        <v>-5097</v>
      </c>
      <c r="K2144" s="20">
        <v>-26038.83</v>
      </c>
      <c r="L2144" s="20">
        <v>-2134.37</v>
      </c>
      <c r="M2144" s="20">
        <v>-46263.519999999997</v>
      </c>
      <c r="N2144" s="20">
        <v>-17106.75</v>
      </c>
      <c r="O2144" s="20">
        <v>-2845.41</v>
      </c>
      <c r="P2144" s="20">
        <v>-4583.0600000000004</v>
      </c>
      <c r="Q2144" s="20">
        <v>-26861.360000000001</v>
      </c>
      <c r="R2144" s="20">
        <v>-23368.82</v>
      </c>
      <c r="S2144" s="20">
        <v>-2658.85</v>
      </c>
      <c r="T2144" s="20">
        <v>-10707.61</v>
      </c>
      <c r="U2144" s="20">
        <v>-26699.71</v>
      </c>
      <c r="V2144" s="20">
        <v>-40895.339999999997</v>
      </c>
      <c r="W2144" s="20">
        <v>-19349</v>
      </c>
      <c r="X2144" s="20">
        <v>-15906.35</v>
      </c>
      <c r="Y2144" s="20">
        <v>-17114.34</v>
      </c>
      <c r="Z2144" s="20">
        <v>-11264.77</v>
      </c>
      <c r="AA2144" s="20">
        <v>-1974.4</v>
      </c>
      <c r="AB2144" s="20">
        <v>-1800.01</v>
      </c>
      <c r="AC2144" s="20">
        <v>-18233.169999999998</v>
      </c>
      <c r="AD2144" s="20">
        <v>-2392.9</v>
      </c>
      <c r="AE2144" s="20">
        <v>-1906</v>
      </c>
      <c r="AF2144" s="20">
        <v>-61222.09</v>
      </c>
      <c r="AG2144" s="20">
        <v>-12139.39</v>
      </c>
      <c r="AH2144" s="20">
        <v>-4051.48</v>
      </c>
      <c r="AI2144" s="20">
        <v>-20633.04</v>
      </c>
      <c r="AJ2144" s="20">
        <v>-494.22</v>
      </c>
      <c r="AK2144" s="20">
        <v>-434.05</v>
      </c>
      <c r="AL2144" s="20">
        <v>-14233.98</v>
      </c>
      <c r="AM2144" s="20">
        <v>-2571.89</v>
      </c>
      <c r="AN2144" s="20">
        <v>-1126.32</v>
      </c>
      <c r="AO2144" s="20">
        <v>-67907.350000000006</v>
      </c>
    </row>
    <row r="2145" spans="1:41" ht="42.75" x14ac:dyDescent="0.2">
      <c r="A2145" s="2">
        <v>2507</v>
      </c>
      <c r="B2145" s="4" t="s">
        <v>525</v>
      </c>
      <c r="C2145" s="31">
        <f t="shared" ref="C2145:AA2145" si="70">+C2150+C2152+C2156+C2157+C2158+C2159+C2161</f>
        <v>-98961.12999999999</v>
      </c>
      <c r="D2145" s="31">
        <f t="shared" si="70"/>
        <v>-81979.929999999993</v>
      </c>
      <c r="E2145" s="31">
        <f t="shared" si="70"/>
        <v>-73250.67</v>
      </c>
      <c r="F2145" s="31">
        <f t="shared" si="70"/>
        <v>-79859.509999999995</v>
      </c>
      <c r="G2145" s="31">
        <f t="shared" si="70"/>
        <v>-77934.320000000007</v>
      </c>
      <c r="H2145" s="31">
        <f t="shared" si="70"/>
        <v>-78281.39</v>
      </c>
      <c r="I2145" s="31">
        <f t="shared" si="70"/>
        <v>-77976.989999999991</v>
      </c>
      <c r="J2145" s="31">
        <f t="shared" si="70"/>
        <v>-75045.69</v>
      </c>
      <c r="K2145" s="31">
        <f t="shared" si="70"/>
        <v>-77002.759999999995</v>
      </c>
      <c r="L2145" s="31">
        <f t="shared" si="70"/>
        <v>-74584.52</v>
      </c>
      <c r="M2145" s="31">
        <f t="shared" si="70"/>
        <v>-75771.63</v>
      </c>
      <c r="N2145" s="31">
        <f t="shared" si="70"/>
        <v>-82517.61</v>
      </c>
      <c r="O2145" s="31">
        <f t="shared" si="70"/>
        <v>-73726.760000000009</v>
      </c>
      <c r="P2145" s="31">
        <f t="shared" si="70"/>
        <v>-74584.47</v>
      </c>
      <c r="Q2145" s="31">
        <f t="shared" si="70"/>
        <v>-77045.849999999991</v>
      </c>
      <c r="R2145" s="31">
        <f t="shared" si="70"/>
        <v>-75129.38</v>
      </c>
      <c r="S2145" s="31">
        <f t="shared" si="70"/>
        <v>-76201.94</v>
      </c>
      <c r="T2145" s="31">
        <f t="shared" si="70"/>
        <v>-76904.27</v>
      </c>
      <c r="U2145" s="31">
        <f t="shared" si="70"/>
        <v>-78138.26999999999</v>
      </c>
      <c r="V2145" s="31">
        <f t="shared" si="70"/>
        <v>-77051.990000000005</v>
      </c>
      <c r="W2145" s="31">
        <f t="shared" si="70"/>
        <v>-49781.4</v>
      </c>
      <c r="X2145" s="31">
        <f t="shared" si="70"/>
        <v>-44701.11</v>
      </c>
      <c r="Y2145" s="31">
        <f t="shared" si="70"/>
        <v>-45602.45</v>
      </c>
      <c r="Z2145" s="31">
        <f t="shared" si="70"/>
        <v>-51123.78</v>
      </c>
      <c r="AA2145" s="31">
        <f t="shared" si="70"/>
        <v>-52929.909999999996</v>
      </c>
      <c r="AB2145" s="31">
        <f>+AB2150+AB2152+AB2156+AB2157+AB2158+AB2159+AB2161</f>
        <v>-52337.3</v>
      </c>
      <c r="AC2145" s="31">
        <f t="shared" ref="AC2145:AO2145" si="71">+AC2150+AC2152+AC2156+AC2157+AC2158+AC2159+AC2161</f>
        <v>-54976.039999999994</v>
      </c>
      <c r="AD2145" s="31">
        <f t="shared" si="71"/>
        <v>-54671.32</v>
      </c>
      <c r="AE2145" s="31">
        <f t="shared" si="71"/>
        <v>-54064.72</v>
      </c>
      <c r="AF2145" s="31">
        <f t="shared" si="71"/>
        <v>-62259.64</v>
      </c>
      <c r="AG2145" s="31">
        <f t="shared" si="71"/>
        <v>-53980.47</v>
      </c>
      <c r="AH2145" s="31">
        <f t="shared" si="71"/>
        <v>-53224.42</v>
      </c>
      <c r="AI2145" s="31">
        <f t="shared" si="71"/>
        <v>-57359.229999999996</v>
      </c>
      <c r="AJ2145" s="31">
        <f t="shared" si="71"/>
        <v>-55286.07</v>
      </c>
      <c r="AK2145" s="31">
        <f t="shared" si="71"/>
        <v>-55226.26</v>
      </c>
      <c r="AL2145" s="31">
        <f t="shared" si="71"/>
        <v>-56332.32</v>
      </c>
      <c r="AM2145" s="31">
        <f t="shared" si="71"/>
        <v>-53830.86</v>
      </c>
      <c r="AN2145" s="31">
        <f t="shared" si="71"/>
        <v>-51543.61</v>
      </c>
      <c r="AO2145" s="31">
        <f t="shared" si="71"/>
        <v>-55154.59</v>
      </c>
    </row>
    <row r="2146" spans="1:41" ht="14.25" x14ac:dyDescent="0.2">
      <c r="A2146" s="2">
        <v>250701</v>
      </c>
      <c r="B2146" s="3" t="s">
        <v>526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  <c r="AF2146" s="9"/>
      <c r="AG2146" s="9"/>
      <c r="AH2146" s="9"/>
      <c r="AI2146" s="9"/>
      <c r="AJ2146" s="9"/>
      <c r="AK2146" s="9"/>
      <c r="AL2146" s="9"/>
      <c r="AM2146" s="9"/>
      <c r="AN2146" s="9"/>
      <c r="AO2146" s="9"/>
    </row>
    <row r="2147" spans="1:41" ht="14.25" x14ac:dyDescent="0.2">
      <c r="A2147" s="2">
        <v>250702</v>
      </c>
      <c r="B2147" s="3" t="s">
        <v>527</v>
      </c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9"/>
      <c r="AF2147" s="9"/>
      <c r="AG2147" s="9"/>
      <c r="AH2147" s="9"/>
      <c r="AI2147" s="9"/>
      <c r="AJ2147" s="9"/>
      <c r="AK2147" s="9"/>
      <c r="AL2147" s="9"/>
      <c r="AM2147" s="9"/>
      <c r="AN2147" s="9"/>
      <c r="AO2147" s="9"/>
    </row>
    <row r="2148" spans="1:41" ht="14.25" x14ac:dyDescent="0.2">
      <c r="A2148" s="2">
        <v>250703</v>
      </c>
      <c r="B2148" s="3" t="s">
        <v>528</v>
      </c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  <c r="AO2148" s="9"/>
    </row>
    <row r="2149" spans="1:41" ht="14.25" x14ac:dyDescent="0.2">
      <c r="A2149" s="2">
        <v>25070301</v>
      </c>
      <c r="B2149" s="3" t="s">
        <v>529</v>
      </c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9"/>
    </row>
    <row r="2150" spans="1:41" s="15" customFormat="1" ht="14.25" x14ac:dyDescent="0.2">
      <c r="A2150" s="18" t="s">
        <v>1623</v>
      </c>
      <c r="B2150" s="19" t="s">
        <v>1624</v>
      </c>
      <c r="C2150" s="20">
        <v>-40151.49</v>
      </c>
      <c r="D2150" s="20">
        <v>-39328.019999999997</v>
      </c>
      <c r="E2150" s="20">
        <v>-36408.67</v>
      </c>
      <c r="F2150" s="20">
        <v>-37110.99</v>
      </c>
      <c r="G2150" s="20">
        <v>-37672.85</v>
      </c>
      <c r="H2150" s="20">
        <v>-37994.639999999999</v>
      </c>
      <c r="I2150" s="20">
        <v>-38029.03</v>
      </c>
      <c r="J2150" s="20">
        <v>-38101.93</v>
      </c>
      <c r="K2150" s="20">
        <v>-38400.35</v>
      </c>
      <c r="L2150" s="20">
        <v>-38422.870000000003</v>
      </c>
      <c r="M2150" s="20">
        <v>-38717.160000000003</v>
      </c>
      <c r="N2150" s="20">
        <v>-38645.919999999998</v>
      </c>
      <c r="O2150" s="20">
        <v>-38515.980000000003</v>
      </c>
      <c r="P2150" s="20">
        <v>-37859.85</v>
      </c>
      <c r="Q2150" s="20">
        <v>-37333.35</v>
      </c>
      <c r="R2150" s="20">
        <v>-38287.050000000003</v>
      </c>
      <c r="S2150" s="20">
        <v>-38659.97</v>
      </c>
      <c r="T2150" s="20">
        <v>-38466.870000000003</v>
      </c>
      <c r="U2150" s="20">
        <v>-39643.21</v>
      </c>
      <c r="V2150" s="20">
        <v>-37449.160000000003</v>
      </c>
      <c r="W2150" s="20">
        <v>-4117.32</v>
      </c>
      <c r="X2150" s="20">
        <v>-4102.8999999999996</v>
      </c>
      <c r="Y2150" s="20">
        <v>-4797.91</v>
      </c>
      <c r="Z2150" s="20">
        <v>-9433.35</v>
      </c>
      <c r="AA2150" s="20">
        <v>-13468.88</v>
      </c>
      <c r="AB2150" s="20">
        <v>-12716.62</v>
      </c>
      <c r="AC2150" s="20">
        <v>-13265.97</v>
      </c>
      <c r="AD2150" s="20">
        <v>-15234.72</v>
      </c>
      <c r="AE2150" s="20">
        <v>-13494.61</v>
      </c>
      <c r="AF2150" s="20">
        <v>-15427.11</v>
      </c>
      <c r="AG2150" s="20">
        <v>-13952.19</v>
      </c>
      <c r="AH2150" s="20">
        <v>-12023.23</v>
      </c>
      <c r="AI2150" s="20">
        <v>-15308.76</v>
      </c>
      <c r="AJ2150" s="20">
        <v>-14391.89</v>
      </c>
      <c r="AK2150" s="20">
        <v>-14787.28</v>
      </c>
      <c r="AL2150" s="20">
        <v>-12856.8</v>
      </c>
      <c r="AM2150" s="20">
        <v>-15246.79</v>
      </c>
      <c r="AN2150" s="20">
        <v>-13508.17</v>
      </c>
      <c r="AO2150" s="20">
        <v>-11545.06</v>
      </c>
    </row>
    <row r="2151" spans="1:41" ht="14.25" x14ac:dyDescent="0.2">
      <c r="A2151" s="2">
        <v>25070303</v>
      </c>
      <c r="B2151" s="3" t="s">
        <v>531</v>
      </c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9"/>
      <c r="AF2151" s="9"/>
      <c r="AG2151" s="9"/>
      <c r="AH2151" s="9"/>
      <c r="AI2151" s="9"/>
      <c r="AJ2151" s="9"/>
      <c r="AK2151" s="9"/>
      <c r="AL2151" s="9"/>
      <c r="AM2151" s="9"/>
      <c r="AN2151" s="9"/>
      <c r="AO2151" s="9"/>
    </row>
    <row r="2152" spans="1:41" s="15" customFormat="1" ht="14.25" x14ac:dyDescent="0.2">
      <c r="A2152" s="18" t="s">
        <v>1625</v>
      </c>
      <c r="B2152" s="19" t="s">
        <v>1626</v>
      </c>
      <c r="C2152" s="20">
        <v>-28823</v>
      </c>
      <c r="D2152" s="20">
        <v>-15863.94</v>
      </c>
      <c r="E2152" s="20">
        <v>-14390</v>
      </c>
      <c r="F2152" s="20">
        <v>-16404</v>
      </c>
      <c r="G2152" s="20">
        <v>-15929</v>
      </c>
      <c r="H2152" s="20">
        <v>-15959</v>
      </c>
      <c r="I2152" s="20">
        <v>-15430</v>
      </c>
      <c r="J2152" s="20">
        <v>-14445</v>
      </c>
      <c r="K2152" s="20">
        <v>-15171</v>
      </c>
      <c r="L2152" s="20">
        <v>-14300</v>
      </c>
      <c r="M2152" s="20">
        <v>-14600.51</v>
      </c>
      <c r="N2152" s="20">
        <v>-16257</v>
      </c>
      <c r="O2152" s="20">
        <v>-14066</v>
      </c>
      <c r="P2152" s="20">
        <v>-14586</v>
      </c>
      <c r="Q2152" s="20">
        <v>-15246.28</v>
      </c>
      <c r="R2152" s="20">
        <v>-14369.9</v>
      </c>
      <c r="S2152" s="20">
        <v>-14668.69</v>
      </c>
      <c r="T2152" s="20">
        <v>-15131</v>
      </c>
      <c r="U2152" s="20">
        <v>-15157.46</v>
      </c>
      <c r="V2152" s="20">
        <v>-14796.39</v>
      </c>
      <c r="W2152" s="20">
        <v>-15403</v>
      </c>
      <c r="X2152" s="20">
        <v>-15169.63</v>
      </c>
      <c r="Y2152" s="20">
        <v>-15173.32</v>
      </c>
      <c r="Z2152" s="20">
        <v>-16220</v>
      </c>
      <c r="AA2152" s="20">
        <v>-15916</v>
      </c>
      <c r="AB2152" s="20">
        <v>-16107.27</v>
      </c>
      <c r="AC2152" s="20">
        <v>-16867.09</v>
      </c>
      <c r="AD2152" s="20">
        <v>-16406.54</v>
      </c>
      <c r="AE2152" s="20">
        <v>-16880.23</v>
      </c>
      <c r="AF2152" s="20">
        <v>-19127.18</v>
      </c>
      <c r="AG2152" s="20">
        <v>-16025.7</v>
      </c>
      <c r="AH2152" s="20">
        <v>-16369.02</v>
      </c>
      <c r="AI2152" s="20">
        <v>-17136.41</v>
      </c>
      <c r="AJ2152" s="20">
        <v>-16362.28</v>
      </c>
      <c r="AK2152" s="20">
        <v>-16354.29</v>
      </c>
      <c r="AL2152" s="20">
        <v>-17000.240000000002</v>
      </c>
      <c r="AM2152" s="20">
        <v>-14274.63</v>
      </c>
      <c r="AN2152" s="20">
        <v>-13682.59</v>
      </c>
      <c r="AO2152" s="20">
        <v>-14087.27</v>
      </c>
    </row>
    <row r="2153" spans="1:41" ht="14.25" x14ac:dyDescent="0.2">
      <c r="A2153" s="2">
        <v>25070309</v>
      </c>
      <c r="B2153" s="3" t="s">
        <v>532</v>
      </c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9"/>
      <c r="AE2153" s="9"/>
      <c r="AF2153" s="9"/>
      <c r="AG2153" s="9"/>
      <c r="AH2153" s="9"/>
      <c r="AI2153" s="9"/>
      <c r="AJ2153" s="9"/>
      <c r="AK2153" s="9"/>
      <c r="AL2153" s="9"/>
      <c r="AM2153" s="9"/>
      <c r="AN2153" s="9"/>
      <c r="AO2153" s="9"/>
    </row>
    <row r="2154" spans="1:41" ht="14.25" x14ac:dyDescent="0.2">
      <c r="A2154" s="2">
        <v>250704</v>
      </c>
      <c r="B2154" s="3" t="s">
        <v>533</v>
      </c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  <c r="AE2154" s="9"/>
      <c r="AF2154" s="9"/>
      <c r="AG2154" s="9"/>
      <c r="AH2154" s="9"/>
      <c r="AI2154" s="9"/>
      <c r="AJ2154" s="9"/>
      <c r="AK2154" s="9"/>
      <c r="AL2154" s="9"/>
      <c r="AM2154" s="9"/>
      <c r="AN2154" s="9"/>
      <c r="AO2154" s="9"/>
    </row>
    <row r="2155" spans="1:41" ht="14.25" x14ac:dyDescent="0.2">
      <c r="A2155" s="2">
        <v>250705</v>
      </c>
      <c r="B2155" s="3" t="s">
        <v>534</v>
      </c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  <c r="AO2155" s="9"/>
    </row>
    <row r="2156" spans="1:41" s="15" customFormat="1" ht="14.25" x14ac:dyDescent="0.2">
      <c r="A2156" s="18" t="s">
        <v>1627</v>
      </c>
      <c r="B2156" s="19" t="s">
        <v>1628</v>
      </c>
      <c r="C2156" s="20">
        <v>-2948</v>
      </c>
      <c r="D2156" s="20">
        <v>-839</v>
      </c>
      <c r="E2156" s="20">
        <v>-679</v>
      </c>
      <c r="F2156" s="20">
        <v>-228</v>
      </c>
      <c r="G2156" s="20">
        <v>-348</v>
      </c>
      <c r="H2156" s="20">
        <v>-619</v>
      </c>
      <c r="I2156" s="20">
        <v>-1359</v>
      </c>
      <c r="J2156" s="20">
        <v>-815</v>
      </c>
      <c r="K2156" s="20">
        <v>-679</v>
      </c>
      <c r="L2156" s="20">
        <v>-679</v>
      </c>
      <c r="M2156" s="20">
        <v>-879.3</v>
      </c>
      <c r="N2156" s="20">
        <v>-716.6</v>
      </c>
      <c r="O2156" s="20">
        <v>-228</v>
      </c>
      <c r="P2156" s="20">
        <v>-348</v>
      </c>
      <c r="Q2156" s="20">
        <v>-1464.53</v>
      </c>
      <c r="R2156" s="20">
        <v>-1107.53</v>
      </c>
      <c r="S2156" s="20">
        <v>-967.53</v>
      </c>
      <c r="T2156" s="20">
        <v>-585</v>
      </c>
      <c r="U2156" s="20">
        <v>-729.39</v>
      </c>
      <c r="V2156" s="20">
        <v>-2658.83</v>
      </c>
      <c r="W2156" s="20">
        <v>-6379</v>
      </c>
      <c r="X2156" s="20">
        <v>-1682.79</v>
      </c>
      <c r="Y2156" s="20">
        <v>-1066.05</v>
      </c>
      <c r="Z2156" s="20">
        <v>-1409</v>
      </c>
      <c r="AA2156" s="20">
        <v>-517.39</v>
      </c>
      <c r="AB2156" s="20">
        <v>-217.78</v>
      </c>
      <c r="AC2156" s="20">
        <v>-646.57000000000005</v>
      </c>
      <c r="AD2156" s="20">
        <v>-217.96</v>
      </c>
      <c r="AE2156" s="20">
        <v>-251.95</v>
      </c>
      <c r="AF2156" s="20">
        <v>-557.47</v>
      </c>
      <c r="AG2156" s="20">
        <v>-774.38</v>
      </c>
      <c r="AH2156" s="20">
        <v>-1382.99</v>
      </c>
      <c r="AI2156" s="20">
        <v>-559.99</v>
      </c>
      <c r="AJ2156" s="20">
        <v>-1174.25</v>
      </c>
      <c r="AK2156" s="20">
        <v>-777.64</v>
      </c>
      <c r="AL2156" s="20">
        <v>-779.84</v>
      </c>
      <c r="AM2156" s="20">
        <v>-280.83999999999997</v>
      </c>
      <c r="AN2156" s="20">
        <v>-280.83999999999997</v>
      </c>
      <c r="AO2156" s="20">
        <v>-280.83999999999997</v>
      </c>
    </row>
    <row r="2157" spans="1:41" s="15" customFormat="1" ht="14.25" x14ac:dyDescent="0.2">
      <c r="A2157" s="18" t="s">
        <v>1629</v>
      </c>
      <c r="B2157" s="19" t="s">
        <v>1630</v>
      </c>
      <c r="C2157" s="20">
        <v>-4051</v>
      </c>
      <c r="D2157" s="20">
        <v>-4091</v>
      </c>
      <c r="E2157" s="20">
        <v>-2056</v>
      </c>
      <c r="F2157" s="20">
        <v>-3963</v>
      </c>
      <c r="G2157" s="20">
        <v>-2107</v>
      </c>
      <c r="H2157" s="20">
        <v>-2107</v>
      </c>
      <c r="I2157" s="20">
        <v>-2056</v>
      </c>
      <c r="J2157" s="20">
        <v>-1889</v>
      </c>
      <c r="K2157" s="20">
        <v>-1889</v>
      </c>
      <c r="L2157" s="20">
        <v>-1656</v>
      </c>
      <c r="M2157" s="20">
        <v>-1656</v>
      </c>
      <c r="N2157" s="20">
        <v>-3860</v>
      </c>
      <c r="O2157" s="20">
        <v>-1854</v>
      </c>
      <c r="P2157" s="20">
        <v>-1889</v>
      </c>
      <c r="Q2157" s="20">
        <v>-1889</v>
      </c>
      <c r="R2157" s="20">
        <v>-1899</v>
      </c>
      <c r="S2157" s="20">
        <v>-2025</v>
      </c>
      <c r="T2157" s="20">
        <v>-1982</v>
      </c>
      <c r="U2157" s="20">
        <v>-1982</v>
      </c>
      <c r="V2157" s="20">
        <v>-1982</v>
      </c>
      <c r="W2157" s="20">
        <v>-2598</v>
      </c>
      <c r="X2157" s="20">
        <v>-2766</v>
      </c>
      <c r="Y2157" s="20">
        <v>-2666.3</v>
      </c>
      <c r="Z2157" s="20">
        <v>-2150.6</v>
      </c>
      <c r="AA2157" s="20">
        <v>-2021.6</v>
      </c>
      <c r="AB2157" s="20">
        <v>-2021.6</v>
      </c>
      <c r="AC2157" s="20">
        <v>-2021.6</v>
      </c>
      <c r="AD2157" s="20">
        <v>-2045.6</v>
      </c>
      <c r="AE2157" s="20">
        <v>-1453.6</v>
      </c>
      <c r="AF2157" s="20">
        <v>-1558.6</v>
      </c>
      <c r="AG2157" s="20">
        <v>-1541.6</v>
      </c>
      <c r="AH2157" s="20">
        <v>-1529.6</v>
      </c>
      <c r="AI2157" s="20">
        <v>-1529.6</v>
      </c>
      <c r="AJ2157" s="20">
        <v>-1529.6</v>
      </c>
      <c r="AK2157" s="20">
        <v>-1529.6</v>
      </c>
      <c r="AL2157" s="20">
        <v>-1529.6</v>
      </c>
      <c r="AM2157" s="20">
        <v>-1721.6</v>
      </c>
      <c r="AN2157" s="20">
        <v>-1891.6</v>
      </c>
      <c r="AO2157" s="20">
        <v>-1891.6</v>
      </c>
    </row>
    <row r="2158" spans="1:41" s="15" customFormat="1" ht="14.25" x14ac:dyDescent="0.2">
      <c r="A2158" s="18" t="s">
        <v>1631</v>
      </c>
      <c r="B2158" s="19" t="s">
        <v>1632</v>
      </c>
      <c r="C2158" s="20">
        <v>-7485</v>
      </c>
      <c r="D2158" s="20">
        <v>-3555</v>
      </c>
      <c r="E2158" s="20">
        <v>-3544</v>
      </c>
      <c r="F2158" s="20">
        <v>-3544.15</v>
      </c>
      <c r="G2158" s="20">
        <v>-4253</v>
      </c>
      <c r="H2158" s="20">
        <v>-3336</v>
      </c>
      <c r="I2158" s="20">
        <v>-3336</v>
      </c>
      <c r="J2158" s="20">
        <v>-3346</v>
      </c>
      <c r="K2158" s="20">
        <v>-3336</v>
      </c>
      <c r="L2158" s="20">
        <v>-3345</v>
      </c>
      <c r="M2158" s="20">
        <v>-3336.15</v>
      </c>
      <c r="N2158" s="20">
        <v>-3468</v>
      </c>
      <c r="O2158" s="20">
        <v>-3063</v>
      </c>
      <c r="P2158" s="20">
        <v>-2975</v>
      </c>
      <c r="Q2158" s="20">
        <v>-2932.49</v>
      </c>
      <c r="R2158" s="20">
        <v>-2711.98</v>
      </c>
      <c r="S2158" s="20">
        <v>-2868.47</v>
      </c>
      <c r="T2158" s="20">
        <v>-2867</v>
      </c>
      <c r="U2158" s="20">
        <v>-2867.49</v>
      </c>
      <c r="V2158" s="20">
        <v>-2867.98</v>
      </c>
      <c r="W2158" s="20">
        <v>-3039</v>
      </c>
      <c r="X2158" s="20">
        <v>-2679.2</v>
      </c>
      <c r="Y2158" s="20">
        <v>-3502.47</v>
      </c>
      <c r="Z2158" s="20">
        <v>-2646</v>
      </c>
      <c r="AA2158" s="20">
        <v>-3021.07</v>
      </c>
      <c r="AB2158" s="20">
        <v>-3230.83</v>
      </c>
      <c r="AC2158" s="20">
        <v>-3482.35</v>
      </c>
      <c r="AD2158" s="20">
        <v>-3083.64</v>
      </c>
      <c r="AE2158" s="20">
        <v>-3061.4</v>
      </c>
      <c r="AF2158" s="20">
        <v>-3452.32</v>
      </c>
      <c r="AG2158" s="20">
        <v>-2827.08</v>
      </c>
      <c r="AH2158" s="20">
        <v>-2849.37</v>
      </c>
      <c r="AI2158" s="20">
        <v>-2827.13</v>
      </c>
      <c r="AJ2158" s="20">
        <v>-2500.09</v>
      </c>
      <c r="AK2158" s="20">
        <v>-2479.8000000000002</v>
      </c>
      <c r="AL2158" s="20">
        <v>-2510.67</v>
      </c>
      <c r="AM2158" s="20">
        <v>-2966.67</v>
      </c>
      <c r="AN2158" s="20">
        <v>-2390.98</v>
      </c>
      <c r="AO2158" s="20">
        <v>-3378.31</v>
      </c>
    </row>
    <row r="2159" spans="1:41" s="15" customFormat="1" ht="14.25" x14ac:dyDescent="0.2">
      <c r="A2159" s="18" t="s">
        <v>1633</v>
      </c>
      <c r="B2159" s="19" t="s">
        <v>1634</v>
      </c>
      <c r="C2159" s="20">
        <v>-15502.64</v>
      </c>
      <c r="D2159" s="20">
        <v>-18302.97</v>
      </c>
      <c r="E2159" s="20">
        <v>-16173</v>
      </c>
      <c r="F2159" s="20">
        <v>-18609.37</v>
      </c>
      <c r="G2159" s="20">
        <v>-17624.47</v>
      </c>
      <c r="H2159" s="20">
        <v>-18265.75</v>
      </c>
      <c r="I2159" s="20">
        <v>-17766.96</v>
      </c>
      <c r="J2159" s="20">
        <v>-16448.759999999998</v>
      </c>
      <c r="K2159" s="20">
        <v>-17527.41</v>
      </c>
      <c r="L2159" s="20">
        <v>-16181.65</v>
      </c>
      <c r="M2159" s="20">
        <v>-16582.509999999998</v>
      </c>
      <c r="N2159" s="20">
        <v>-19570.09</v>
      </c>
      <c r="O2159" s="20">
        <v>-15999.78</v>
      </c>
      <c r="P2159" s="20">
        <v>-16926.62</v>
      </c>
      <c r="Q2159" s="20">
        <v>-18180.2</v>
      </c>
      <c r="R2159" s="20">
        <v>-16753.919999999998</v>
      </c>
      <c r="S2159" s="20">
        <v>-17012.28</v>
      </c>
      <c r="T2159" s="20">
        <v>-17872.400000000001</v>
      </c>
      <c r="U2159" s="20">
        <v>-17758.72</v>
      </c>
      <c r="V2159" s="20">
        <v>-17297.63</v>
      </c>
      <c r="W2159" s="20">
        <v>-18245.080000000002</v>
      </c>
      <c r="X2159" s="20">
        <v>-18300.59</v>
      </c>
      <c r="Y2159" s="20">
        <v>-18396.400000000001</v>
      </c>
      <c r="Z2159" s="20">
        <v>-19264.830000000002</v>
      </c>
      <c r="AA2159" s="20">
        <v>-17984.97</v>
      </c>
      <c r="AB2159" s="20">
        <v>-18043.2</v>
      </c>
      <c r="AC2159" s="20">
        <v>-18692.46</v>
      </c>
      <c r="AD2159" s="20">
        <v>-17682.86</v>
      </c>
      <c r="AE2159" s="20">
        <v>-18922.93</v>
      </c>
      <c r="AF2159" s="20">
        <v>-22136.959999999999</v>
      </c>
      <c r="AG2159" s="20">
        <v>-18859.52</v>
      </c>
      <c r="AH2159" s="20">
        <v>-19070.21</v>
      </c>
      <c r="AI2159" s="20">
        <v>-19997.34</v>
      </c>
      <c r="AJ2159" s="20">
        <v>-19327.96</v>
      </c>
      <c r="AK2159" s="20">
        <v>-19297.650000000001</v>
      </c>
      <c r="AL2159" s="20">
        <v>-21655.17</v>
      </c>
      <c r="AM2159" s="20">
        <v>-19340.330000000002</v>
      </c>
      <c r="AN2159" s="20">
        <v>-19789.43</v>
      </c>
      <c r="AO2159" s="20">
        <v>-23971.51</v>
      </c>
    </row>
    <row r="2160" spans="1:41" ht="14.25" x14ac:dyDescent="0.2">
      <c r="A2160" s="2">
        <v>250706</v>
      </c>
      <c r="B2160" s="3" t="s">
        <v>535</v>
      </c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  <c r="AO2160" s="9"/>
    </row>
    <row r="2161" spans="1:41" s="15" customFormat="1" ht="14.25" x14ac:dyDescent="0.2">
      <c r="A2161" s="18" t="s">
        <v>1635</v>
      </c>
      <c r="B2161" s="19" t="s">
        <v>1636</v>
      </c>
      <c r="C2161" s="20">
        <v>0</v>
      </c>
      <c r="D2161" s="20">
        <v>0</v>
      </c>
      <c r="E2161" s="20">
        <v>0</v>
      </c>
      <c r="F2161" s="20">
        <v>0</v>
      </c>
      <c r="G2161" s="20">
        <v>0</v>
      </c>
      <c r="H2161" s="20">
        <v>0</v>
      </c>
      <c r="I2161" s="20">
        <v>0</v>
      </c>
      <c r="J2161" s="20">
        <v>0</v>
      </c>
      <c r="K2161" s="20">
        <v>0</v>
      </c>
      <c r="L2161" s="20">
        <v>0</v>
      </c>
      <c r="M2161" s="20">
        <v>0</v>
      </c>
      <c r="N2161" s="20">
        <v>0</v>
      </c>
      <c r="O2161" s="20">
        <v>0</v>
      </c>
      <c r="P2161" s="20">
        <v>0</v>
      </c>
      <c r="Q2161" s="20">
        <v>0</v>
      </c>
      <c r="R2161" s="20">
        <v>0</v>
      </c>
      <c r="S2161" s="20">
        <v>0</v>
      </c>
      <c r="T2161" s="20">
        <v>0</v>
      </c>
      <c r="U2161" s="20">
        <v>0</v>
      </c>
      <c r="V2161" s="20">
        <v>0</v>
      </c>
      <c r="W2161" s="20">
        <v>0</v>
      </c>
      <c r="X2161" s="20">
        <v>0</v>
      </c>
      <c r="Y2161" s="20">
        <v>0</v>
      </c>
      <c r="Z2161" s="20">
        <v>0</v>
      </c>
      <c r="AA2161" s="20">
        <v>0</v>
      </c>
      <c r="AB2161" s="20">
        <v>0</v>
      </c>
      <c r="AC2161" s="20">
        <v>0</v>
      </c>
      <c r="AD2161" s="20">
        <v>0</v>
      </c>
      <c r="AE2161" s="20">
        <v>0</v>
      </c>
      <c r="AF2161" s="20">
        <v>0</v>
      </c>
      <c r="AG2161" s="20">
        <v>0</v>
      </c>
      <c r="AH2161" s="20">
        <v>0</v>
      </c>
      <c r="AI2161" s="20">
        <v>0</v>
      </c>
      <c r="AJ2161" s="20">
        <v>0</v>
      </c>
      <c r="AK2161" s="20">
        <v>0</v>
      </c>
      <c r="AL2161" s="20">
        <v>0</v>
      </c>
      <c r="AM2161" s="20">
        <v>0</v>
      </c>
      <c r="AN2161" s="20">
        <v>0</v>
      </c>
      <c r="AO2161" s="20">
        <v>0</v>
      </c>
    </row>
    <row r="2162" spans="1:41" ht="14.25" x14ac:dyDescent="0.2">
      <c r="A2162" s="2">
        <v>2508</v>
      </c>
      <c r="B2162" s="3" t="s">
        <v>536</v>
      </c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  <c r="AO2162" s="9"/>
    </row>
    <row r="2163" spans="1:41" ht="14.25" x14ac:dyDescent="0.2">
      <c r="A2163" s="2">
        <v>250801</v>
      </c>
      <c r="B2163" s="3" t="s">
        <v>537</v>
      </c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9"/>
      <c r="AF2163" s="9"/>
      <c r="AG2163" s="9"/>
      <c r="AH2163" s="9"/>
      <c r="AI2163" s="9"/>
      <c r="AJ2163" s="9"/>
      <c r="AK2163" s="9"/>
      <c r="AL2163" s="9"/>
      <c r="AM2163" s="9"/>
      <c r="AN2163" s="9"/>
      <c r="AO2163" s="9"/>
    </row>
    <row r="2164" spans="1:41" ht="14.25" x14ac:dyDescent="0.2">
      <c r="A2164" s="2">
        <v>25080101</v>
      </c>
      <c r="B2164" s="3" t="s">
        <v>538</v>
      </c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9"/>
      <c r="AF2164" s="9"/>
      <c r="AG2164" s="9"/>
      <c r="AH2164" s="9"/>
      <c r="AI2164" s="9"/>
      <c r="AJ2164" s="9"/>
      <c r="AK2164" s="9"/>
      <c r="AL2164" s="9"/>
      <c r="AM2164" s="9"/>
      <c r="AN2164" s="9"/>
      <c r="AO2164" s="9"/>
    </row>
    <row r="2165" spans="1:41" ht="14.25" x14ac:dyDescent="0.2">
      <c r="A2165" s="2">
        <v>25080109</v>
      </c>
      <c r="B2165" s="3" t="s">
        <v>539</v>
      </c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9"/>
      <c r="AF2165" s="9"/>
      <c r="AG2165" s="9"/>
      <c r="AH2165" s="9"/>
      <c r="AI2165" s="9"/>
      <c r="AJ2165" s="9"/>
      <c r="AK2165" s="9"/>
      <c r="AL2165" s="9"/>
      <c r="AM2165" s="9"/>
      <c r="AN2165" s="9"/>
      <c r="AO2165" s="9"/>
    </row>
    <row r="2166" spans="1:41" ht="14.25" x14ac:dyDescent="0.2">
      <c r="A2166" s="2">
        <v>250809</v>
      </c>
      <c r="B2166" s="3" t="s">
        <v>540</v>
      </c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  <c r="AK2166" s="9"/>
      <c r="AL2166" s="9"/>
      <c r="AM2166" s="9"/>
      <c r="AN2166" s="9"/>
      <c r="AO2166" s="9"/>
    </row>
    <row r="2167" spans="1:41" ht="14.25" x14ac:dyDescent="0.2">
      <c r="A2167" s="2">
        <v>26</v>
      </c>
      <c r="B2167" s="3" t="s">
        <v>541</v>
      </c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  <c r="AO2167" s="9"/>
    </row>
    <row r="2168" spans="1:41" ht="28.5" x14ac:dyDescent="0.2">
      <c r="A2168" s="2">
        <v>2602</v>
      </c>
      <c r="B2168" s="4" t="s">
        <v>484</v>
      </c>
      <c r="C2168" s="11"/>
      <c r="D2168" s="11"/>
      <c r="E2168" s="11"/>
      <c r="F2168" s="11"/>
      <c r="G2168" s="11"/>
      <c r="H2168" s="11"/>
      <c r="I2168" s="11"/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11"/>
      <c r="AG2168" s="11"/>
      <c r="AH2168" s="11"/>
      <c r="AI2168" s="11"/>
      <c r="AJ2168" s="11"/>
      <c r="AK2168" s="11"/>
      <c r="AL2168" s="11"/>
      <c r="AM2168" s="11"/>
      <c r="AN2168" s="11"/>
      <c r="AO2168" s="11"/>
    </row>
    <row r="2169" spans="1:41" ht="14.25" x14ac:dyDescent="0.2">
      <c r="A2169" s="2">
        <v>260202</v>
      </c>
      <c r="B2169" s="3" t="s">
        <v>485</v>
      </c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9"/>
      <c r="AF2169" s="9"/>
      <c r="AG2169" s="9"/>
      <c r="AH2169" s="9"/>
      <c r="AI2169" s="9"/>
      <c r="AJ2169" s="9"/>
      <c r="AK2169" s="9"/>
      <c r="AL2169" s="9"/>
      <c r="AM2169" s="9"/>
      <c r="AN2169" s="9"/>
      <c r="AO2169" s="9"/>
    </row>
    <row r="2170" spans="1:41" ht="14.25" x14ac:dyDescent="0.2">
      <c r="A2170" s="2">
        <v>26020201</v>
      </c>
      <c r="B2170" s="3" t="s">
        <v>486</v>
      </c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9"/>
      <c r="AF2170" s="9"/>
      <c r="AG2170" s="9"/>
      <c r="AH2170" s="9"/>
      <c r="AI2170" s="9"/>
      <c r="AJ2170" s="9"/>
      <c r="AK2170" s="9"/>
      <c r="AL2170" s="9"/>
      <c r="AM2170" s="9"/>
      <c r="AN2170" s="9"/>
      <c r="AO2170" s="9"/>
    </row>
    <row r="2171" spans="1:41" ht="14.25" x14ac:dyDescent="0.2">
      <c r="A2171" s="2">
        <v>26020202</v>
      </c>
      <c r="B2171" s="3" t="s">
        <v>160</v>
      </c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9"/>
      <c r="AF2171" s="9"/>
      <c r="AG2171" s="9"/>
      <c r="AH2171" s="9"/>
      <c r="AI2171" s="9"/>
      <c r="AJ2171" s="9"/>
      <c r="AK2171" s="9"/>
      <c r="AL2171" s="9"/>
      <c r="AM2171" s="9"/>
      <c r="AN2171" s="9"/>
      <c r="AO2171" s="9"/>
    </row>
    <row r="2172" spans="1:41" ht="14.25" x14ac:dyDescent="0.2">
      <c r="A2172" s="2">
        <v>260209</v>
      </c>
      <c r="B2172" s="3" t="s">
        <v>487</v>
      </c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  <c r="AO2172" s="9"/>
    </row>
    <row r="2173" spans="1:41" ht="28.5" x14ac:dyDescent="0.2">
      <c r="A2173" s="2">
        <v>2603</v>
      </c>
      <c r="B2173" s="4" t="s">
        <v>488</v>
      </c>
      <c r="C2173" s="11"/>
      <c r="D2173" s="11"/>
      <c r="E2173" s="11"/>
      <c r="F2173" s="11"/>
      <c r="G2173" s="11"/>
      <c r="H2173" s="11"/>
      <c r="I2173" s="11"/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11"/>
      <c r="AG2173" s="11"/>
      <c r="AH2173" s="11"/>
      <c r="AI2173" s="11"/>
      <c r="AJ2173" s="11"/>
      <c r="AK2173" s="11"/>
      <c r="AL2173" s="11"/>
      <c r="AM2173" s="11"/>
      <c r="AN2173" s="11"/>
      <c r="AO2173" s="11"/>
    </row>
    <row r="2174" spans="1:41" ht="14.25" x14ac:dyDescent="0.2">
      <c r="A2174" s="2">
        <v>260302</v>
      </c>
      <c r="B2174" s="3" t="s">
        <v>485</v>
      </c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  <c r="AO2174" s="9"/>
    </row>
    <row r="2175" spans="1:41" ht="14.25" x14ac:dyDescent="0.2">
      <c r="A2175" s="2">
        <v>26030201</v>
      </c>
      <c r="B2175" s="3" t="s">
        <v>486</v>
      </c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  <c r="AO2175" s="9"/>
    </row>
    <row r="2176" spans="1:41" ht="14.25" x14ac:dyDescent="0.2">
      <c r="A2176" s="2">
        <v>26030202</v>
      </c>
      <c r="B2176" s="3" t="s">
        <v>160</v>
      </c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  <c r="AO2176" s="9"/>
    </row>
    <row r="2177" spans="1:41" ht="14.25" x14ac:dyDescent="0.2">
      <c r="A2177" s="2">
        <v>260304</v>
      </c>
      <c r="B2177" s="3" t="s">
        <v>489</v>
      </c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  <c r="AO2177" s="9"/>
    </row>
    <row r="2178" spans="1:41" ht="14.25" x14ac:dyDescent="0.2">
      <c r="A2178" s="2">
        <v>260306</v>
      </c>
      <c r="B2178" s="3" t="s">
        <v>490</v>
      </c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  <c r="AO2178" s="9"/>
    </row>
    <row r="2179" spans="1:41" ht="14.25" x14ac:dyDescent="0.2">
      <c r="A2179" s="2">
        <v>260309</v>
      </c>
      <c r="B2179" s="3" t="s">
        <v>487</v>
      </c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  <c r="AO2179" s="9"/>
    </row>
    <row r="2180" spans="1:41" ht="28.5" x14ac:dyDescent="0.2">
      <c r="A2180" s="2">
        <v>2604</v>
      </c>
      <c r="B2180" s="4" t="s">
        <v>491</v>
      </c>
      <c r="C2180" s="11"/>
      <c r="D2180" s="11"/>
      <c r="E2180" s="11"/>
      <c r="F2180" s="11"/>
      <c r="G2180" s="11"/>
      <c r="H2180" s="11"/>
      <c r="I2180" s="11"/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11"/>
      <c r="AG2180" s="11"/>
      <c r="AH2180" s="11"/>
      <c r="AI2180" s="11"/>
      <c r="AJ2180" s="11"/>
      <c r="AK2180" s="11"/>
      <c r="AL2180" s="11"/>
      <c r="AM2180" s="11"/>
      <c r="AN2180" s="11"/>
      <c r="AO2180" s="11"/>
    </row>
    <row r="2181" spans="1:41" ht="14.25" x14ac:dyDescent="0.2">
      <c r="A2181" s="2">
        <v>260402</v>
      </c>
      <c r="B2181" s="3" t="s">
        <v>485</v>
      </c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  <c r="AO2181" s="9"/>
    </row>
    <row r="2182" spans="1:41" ht="14.25" x14ac:dyDescent="0.2">
      <c r="A2182" s="2">
        <v>26040201</v>
      </c>
      <c r="B2182" s="3" t="s">
        <v>486</v>
      </c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9"/>
    </row>
    <row r="2183" spans="1:41" ht="14.25" x14ac:dyDescent="0.2">
      <c r="A2183" s="2">
        <v>26040202</v>
      </c>
      <c r="B2183" s="3" t="s">
        <v>160</v>
      </c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  <c r="AO2183" s="9"/>
    </row>
    <row r="2184" spans="1:41" ht="14.25" x14ac:dyDescent="0.2">
      <c r="A2184" s="2">
        <v>260409</v>
      </c>
      <c r="B2184" s="3" t="s">
        <v>487</v>
      </c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9"/>
    </row>
    <row r="2185" spans="1:41" ht="28.5" x14ac:dyDescent="0.2">
      <c r="A2185" s="2">
        <v>2605</v>
      </c>
      <c r="B2185" s="4" t="s">
        <v>492</v>
      </c>
      <c r="C2185" s="11"/>
      <c r="D2185" s="11"/>
      <c r="E2185" s="11"/>
      <c r="F2185" s="11"/>
      <c r="G2185" s="11"/>
      <c r="H2185" s="11"/>
      <c r="I2185" s="11"/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11"/>
      <c r="AG2185" s="11"/>
      <c r="AH2185" s="11"/>
      <c r="AI2185" s="11"/>
      <c r="AJ2185" s="11"/>
      <c r="AK2185" s="11"/>
      <c r="AL2185" s="11"/>
      <c r="AM2185" s="11"/>
      <c r="AN2185" s="11"/>
      <c r="AO2185" s="11"/>
    </row>
    <row r="2186" spans="1:41" ht="14.25" x14ac:dyDescent="0.2">
      <c r="A2186" s="2">
        <v>260502</v>
      </c>
      <c r="B2186" s="3" t="s">
        <v>485</v>
      </c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  <c r="AO2186" s="9"/>
    </row>
    <row r="2187" spans="1:41" ht="14.25" x14ac:dyDescent="0.2">
      <c r="A2187" s="2">
        <v>26050201</v>
      </c>
      <c r="B2187" s="3" t="s">
        <v>486</v>
      </c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  <c r="AO2187" s="9"/>
    </row>
    <row r="2188" spans="1:41" ht="14.25" x14ac:dyDescent="0.2">
      <c r="A2188" s="2">
        <v>26050202</v>
      </c>
      <c r="B2188" s="3" t="s">
        <v>160</v>
      </c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  <c r="AO2188" s="9"/>
    </row>
    <row r="2189" spans="1:41" ht="14.25" x14ac:dyDescent="0.2">
      <c r="A2189" s="2">
        <v>260509</v>
      </c>
      <c r="B2189" s="3" t="s">
        <v>487</v>
      </c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  <c r="AO2189" s="9"/>
    </row>
    <row r="2190" spans="1:41" ht="14.25" x14ac:dyDescent="0.2">
      <c r="A2190" s="2">
        <v>2606</v>
      </c>
      <c r="B2190" s="3" t="s">
        <v>493</v>
      </c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  <c r="AO2190" s="9"/>
    </row>
    <row r="2191" spans="1:41" ht="14.25" x14ac:dyDescent="0.2">
      <c r="A2191" s="2">
        <v>260602</v>
      </c>
      <c r="B2191" s="3" t="s">
        <v>485</v>
      </c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  <c r="AO2191" s="9"/>
    </row>
    <row r="2192" spans="1:41" ht="14.25" x14ac:dyDescent="0.2">
      <c r="A2192" s="2">
        <v>26060201</v>
      </c>
      <c r="B2192" s="3" t="s">
        <v>486</v>
      </c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  <c r="AO2192" s="9"/>
    </row>
    <row r="2193" spans="1:41" ht="14.25" x14ac:dyDescent="0.2">
      <c r="A2193" s="2">
        <v>26060202</v>
      </c>
      <c r="B2193" s="3" t="s">
        <v>160</v>
      </c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  <c r="AO2193" s="9"/>
    </row>
    <row r="2194" spans="1:41" ht="14.25" x14ac:dyDescent="0.2">
      <c r="A2194" s="2">
        <v>260606</v>
      </c>
      <c r="B2194" s="3" t="s">
        <v>490</v>
      </c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9"/>
    </row>
    <row r="2195" spans="1:41" ht="14.25" x14ac:dyDescent="0.2">
      <c r="A2195" s="2">
        <v>260609</v>
      </c>
      <c r="B2195" s="3" t="s">
        <v>487</v>
      </c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  <c r="AO2195" s="9"/>
    </row>
    <row r="2196" spans="1:41" ht="14.25" x14ac:dyDescent="0.2">
      <c r="A2196" s="2">
        <v>2607</v>
      </c>
      <c r="B2196" s="3" t="s">
        <v>494</v>
      </c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9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  <c r="AO2196" s="9"/>
    </row>
    <row r="2197" spans="1:41" ht="14.25" x14ac:dyDescent="0.2">
      <c r="A2197" s="2">
        <v>260702</v>
      </c>
      <c r="B2197" s="3" t="s">
        <v>485</v>
      </c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  <c r="AO2197" s="9"/>
    </row>
    <row r="2198" spans="1:41" ht="14.25" x14ac:dyDescent="0.2">
      <c r="A2198" s="2">
        <v>26070201</v>
      </c>
      <c r="B2198" s="3" t="s">
        <v>486</v>
      </c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  <c r="AO2198" s="9"/>
    </row>
    <row r="2199" spans="1:41" ht="14.25" x14ac:dyDescent="0.2">
      <c r="A2199" s="2">
        <v>26070202</v>
      </c>
      <c r="B2199" s="3" t="s">
        <v>160</v>
      </c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  <c r="AO2199" s="9"/>
    </row>
    <row r="2200" spans="1:41" ht="14.25" x14ac:dyDescent="0.2">
      <c r="A2200" s="2">
        <v>260709</v>
      </c>
      <c r="B2200" s="3" t="s">
        <v>487</v>
      </c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  <c r="AO2200" s="9"/>
    </row>
    <row r="2201" spans="1:41" ht="28.5" x14ac:dyDescent="0.2">
      <c r="A2201" s="2">
        <v>2608</v>
      </c>
      <c r="B2201" s="4" t="s">
        <v>542</v>
      </c>
      <c r="C2201" s="11"/>
      <c r="D2201" s="11"/>
      <c r="E2201" s="11"/>
      <c r="F2201" s="11"/>
      <c r="G2201" s="11"/>
      <c r="H2201" s="11"/>
      <c r="I2201" s="11"/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11"/>
      <c r="AG2201" s="11"/>
      <c r="AH2201" s="11"/>
      <c r="AI2201" s="11"/>
      <c r="AJ2201" s="11"/>
      <c r="AK2201" s="11"/>
      <c r="AL2201" s="11"/>
      <c r="AM2201" s="11"/>
      <c r="AN2201" s="11"/>
      <c r="AO2201" s="11"/>
    </row>
    <row r="2202" spans="1:41" ht="28.5" x14ac:dyDescent="0.2">
      <c r="A2202" s="2">
        <v>260802</v>
      </c>
      <c r="B2202" s="4" t="s">
        <v>496</v>
      </c>
      <c r="C2202" s="11"/>
      <c r="D2202" s="11"/>
      <c r="E2202" s="11"/>
      <c r="F2202" s="11"/>
      <c r="G2202" s="11"/>
      <c r="H2202" s="11"/>
      <c r="I2202" s="11"/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11"/>
      <c r="AG2202" s="11"/>
      <c r="AH2202" s="11"/>
      <c r="AI2202" s="11"/>
      <c r="AJ2202" s="11"/>
      <c r="AK2202" s="11"/>
      <c r="AL2202" s="11"/>
      <c r="AM2202" s="11"/>
      <c r="AN2202" s="11"/>
      <c r="AO2202" s="11"/>
    </row>
    <row r="2203" spans="1:41" ht="28.5" x14ac:dyDescent="0.2">
      <c r="A2203" s="2">
        <v>260803</v>
      </c>
      <c r="B2203" s="4" t="s">
        <v>497</v>
      </c>
      <c r="C2203" s="11"/>
      <c r="D2203" s="11"/>
      <c r="E2203" s="11"/>
      <c r="F2203" s="11"/>
      <c r="G2203" s="11"/>
      <c r="H2203" s="11"/>
      <c r="I2203" s="11"/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11"/>
      <c r="AG2203" s="11"/>
      <c r="AH2203" s="11"/>
      <c r="AI2203" s="11"/>
      <c r="AJ2203" s="11"/>
      <c r="AK2203" s="11"/>
      <c r="AL2203" s="11"/>
      <c r="AM2203" s="11"/>
      <c r="AN2203" s="11"/>
      <c r="AO2203" s="11"/>
    </row>
    <row r="2204" spans="1:41" ht="28.5" x14ac:dyDescent="0.2">
      <c r="A2204" s="2">
        <v>260804</v>
      </c>
      <c r="B2204" s="4" t="s">
        <v>498</v>
      </c>
      <c r="C2204" s="11"/>
      <c r="D2204" s="11"/>
      <c r="E2204" s="11"/>
      <c r="F2204" s="11"/>
      <c r="G2204" s="11"/>
      <c r="H2204" s="11"/>
      <c r="I2204" s="11"/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11"/>
      <c r="AG2204" s="11"/>
      <c r="AH2204" s="11"/>
      <c r="AI2204" s="11"/>
      <c r="AJ2204" s="11"/>
      <c r="AK2204" s="11"/>
      <c r="AL2204" s="11"/>
      <c r="AM2204" s="11"/>
      <c r="AN2204" s="11"/>
      <c r="AO2204" s="11"/>
    </row>
    <row r="2205" spans="1:41" ht="28.5" x14ac:dyDescent="0.2">
      <c r="A2205" s="2">
        <v>260805</v>
      </c>
      <c r="B2205" s="4" t="s">
        <v>499</v>
      </c>
      <c r="C2205" s="11"/>
      <c r="D2205" s="11"/>
      <c r="E2205" s="11"/>
      <c r="F2205" s="11"/>
      <c r="G2205" s="11"/>
      <c r="H2205" s="11"/>
      <c r="I2205" s="11"/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11"/>
      <c r="AG2205" s="11"/>
      <c r="AH2205" s="11"/>
      <c r="AI2205" s="11"/>
      <c r="AJ2205" s="11"/>
      <c r="AK2205" s="11"/>
      <c r="AL2205" s="11"/>
      <c r="AM2205" s="11"/>
      <c r="AN2205" s="11"/>
      <c r="AO2205" s="11"/>
    </row>
    <row r="2206" spans="1:41" ht="14.25" x14ac:dyDescent="0.2">
      <c r="A2206" s="2">
        <v>260806</v>
      </c>
      <c r="B2206" s="3" t="s">
        <v>500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  <c r="AE2206" s="9"/>
      <c r="AF2206" s="9"/>
      <c r="AG2206" s="9"/>
      <c r="AH2206" s="9"/>
      <c r="AI2206" s="9"/>
      <c r="AJ2206" s="9"/>
      <c r="AK2206" s="9"/>
      <c r="AL2206" s="9"/>
      <c r="AM2206" s="9"/>
      <c r="AN2206" s="9"/>
      <c r="AO2206" s="9"/>
    </row>
    <row r="2207" spans="1:41" ht="14.25" x14ac:dyDescent="0.2">
      <c r="A2207" s="2">
        <v>260807</v>
      </c>
      <c r="B2207" s="3" t="s">
        <v>501</v>
      </c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9"/>
      <c r="AF2207" s="9"/>
      <c r="AG2207" s="9"/>
      <c r="AH2207" s="9"/>
      <c r="AI2207" s="9"/>
      <c r="AJ2207" s="9"/>
      <c r="AK2207" s="9"/>
      <c r="AL2207" s="9"/>
      <c r="AM2207" s="9"/>
      <c r="AN2207" s="9"/>
      <c r="AO2207" s="9"/>
    </row>
    <row r="2208" spans="1:41" ht="14.25" x14ac:dyDescent="0.2">
      <c r="A2208" s="2">
        <v>27</v>
      </c>
      <c r="B2208" s="3" t="s">
        <v>543</v>
      </c>
      <c r="C2208" s="20">
        <f>+C2241</f>
        <v>-10141169.92</v>
      </c>
      <c r="D2208" s="20">
        <f t="shared" ref="D2208:AO2208" si="72">+D2241</f>
        <v>-10375119.34</v>
      </c>
      <c r="E2208" s="20">
        <f t="shared" si="72"/>
        <v>-10532140.82</v>
      </c>
      <c r="F2208" s="20">
        <f t="shared" si="72"/>
        <v>-10799473.370000001</v>
      </c>
      <c r="G2208" s="20">
        <f t="shared" si="72"/>
        <v>-10869360.479999999</v>
      </c>
      <c r="H2208" s="20">
        <f t="shared" si="72"/>
        <v>-11116348.52</v>
      </c>
      <c r="I2208" s="20">
        <f t="shared" si="72"/>
        <v>-11279363.720000001</v>
      </c>
      <c r="J2208" s="20">
        <f t="shared" si="72"/>
        <v>-11452019.100000001</v>
      </c>
      <c r="K2208" s="20">
        <f t="shared" si="72"/>
        <v>-11672831.550000001</v>
      </c>
      <c r="L2208" s="20">
        <f t="shared" si="72"/>
        <v>-11841228.060000001</v>
      </c>
      <c r="M2208" s="20">
        <f t="shared" si="72"/>
        <v>-11969262.26</v>
      </c>
      <c r="N2208" s="20">
        <f t="shared" si="72"/>
        <v>-12114369.149999999</v>
      </c>
      <c r="O2208" s="20">
        <f t="shared" si="72"/>
        <v>-12206920.01</v>
      </c>
      <c r="P2208" s="20">
        <f t="shared" si="72"/>
        <v>-12391585.529999999</v>
      </c>
      <c r="Q2208" s="20">
        <f t="shared" si="72"/>
        <v>-12521409.129999999</v>
      </c>
      <c r="R2208" s="20">
        <f t="shared" si="72"/>
        <v>-12701243.35</v>
      </c>
      <c r="S2208" s="20">
        <f t="shared" si="72"/>
        <v>-12857765.74</v>
      </c>
      <c r="T2208" s="20">
        <f t="shared" si="72"/>
        <v>-13041488.57</v>
      </c>
      <c r="U2208" s="20">
        <f t="shared" si="72"/>
        <v>-13249480.010000002</v>
      </c>
      <c r="V2208" s="20">
        <f t="shared" si="72"/>
        <v>-13437661.850000001</v>
      </c>
      <c r="W2208" s="20">
        <f t="shared" si="72"/>
        <v>-13584350.560000001</v>
      </c>
      <c r="X2208" s="20">
        <f t="shared" si="72"/>
        <v>-13796263.379999999</v>
      </c>
      <c r="Y2208" s="20">
        <f t="shared" si="72"/>
        <v>-14011293.57</v>
      </c>
      <c r="Z2208" s="20">
        <f t="shared" si="72"/>
        <v>-14184232.73</v>
      </c>
      <c r="AA2208" s="20">
        <f t="shared" si="72"/>
        <v>-14290595.890000001</v>
      </c>
      <c r="AB2208" s="20">
        <f t="shared" si="72"/>
        <v>-14311788.470000001</v>
      </c>
      <c r="AC2208" s="20">
        <f t="shared" si="72"/>
        <v>-14463185.390000001</v>
      </c>
      <c r="AD2208" s="20">
        <f t="shared" si="72"/>
        <v>-14644557.42</v>
      </c>
      <c r="AE2208" s="20">
        <f t="shared" si="72"/>
        <v>-14869012.1</v>
      </c>
      <c r="AF2208" s="20">
        <f t="shared" si="72"/>
        <v>-15107064.609999999</v>
      </c>
      <c r="AG2208" s="20">
        <f t="shared" si="72"/>
        <v>-15370913.01</v>
      </c>
      <c r="AH2208" s="20">
        <f t="shared" si="72"/>
        <v>-15583931.119999999</v>
      </c>
      <c r="AI2208" s="20">
        <f t="shared" si="72"/>
        <v>-15815857.530000001</v>
      </c>
      <c r="AJ2208" s="20">
        <f t="shared" si="72"/>
        <v>-16057355.57</v>
      </c>
      <c r="AK2208" s="20">
        <f t="shared" si="72"/>
        <v>-16339165.43</v>
      </c>
      <c r="AL2208" s="20">
        <f t="shared" si="72"/>
        <v>-16366923.84</v>
      </c>
      <c r="AM2208" s="20">
        <f t="shared" si="72"/>
        <v>-16340937.1</v>
      </c>
      <c r="AN2208" s="20">
        <f t="shared" si="72"/>
        <v>-16505307.99</v>
      </c>
      <c r="AO2208" s="20">
        <f t="shared" si="72"/>
        <v>-16545480.49</v>
      </c>
    </row>
    <row r="2209" spans="1:41" ht="14.25" x14ac:dyDescent="0.2">
      <c r="A2209" s="2">
        <v>2701</v>
      </c>
      <c r="B2209" s="3" t="s">
        <v>544</v>
      </c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  <c r="AO2209" s="9"/>
    </row>
    <row r="2210" spans="1:41" ht="14.25" x14ac:dyDescent="0.2">
      <c r="A2210" s="2">
        <v>270101</v>
      </c>
      <c r="B2210" s="3" t="s">
        <v>545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  <c r="AF2210" s="9"/>
      <c r="AG2210" s="9"/>
      <c r="AH2210" s="9"/>
      <c r="AI2210" s="9"/>
      <c r="AJ2210" s="9"/>
      <c r="AK2210" s="9"/>
      <c r="AL2210" s="9"/>
      <c r="AM2210" s="9"/>
      <c r="AN2210" s="9"/>
      <c r="AO2210" s="9"/>
    </row>
    <row r="2211" spans="1:41" ht="14.25" x14ac:dyDescent="0.2">
      <c r="A2211" s="2">
        <v>27010102</v>
      </c>
      <c r="B2211" s="3" t="s">
        <v>94</v>
      </c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9"/>
      <c r="AC2211" s="9"/>
      <c r="AD2211" s="9"/>
      <c r="AE2211" s="9"/>
      <c r="AF2211" s="9"/>
      <c r="AG2211" s="9"/>
      <c r="AH2211" s="9"/>
      <c r="AI2211" s="9"/>
      <c r="AJ2211" s="9"/>
      <c r="AK2211" s="9"/>
      <c r="AL2211" s="9"/>
      <c r="AM2211" s="9"/>
      <c r="AN2211" s="9"/>
      <c r="AO2211" s="9"/>
    </row>
    <row r="2212" spans="1:41" ht="14.25" x14ac:dyDescent="0.2">
      <c r="A2212" s="2">
        <v>27010103</v>
      </c>
      <c r="B2212" s="3" t="s">
        <v>120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  <c r="AF2212" s="9"/>
      <c r="AG2212" s="9"/>
      <c r="AH2212" s="9"/>
      <c r="AI2212" s="9"/>
      <c r="AJ2212" s="9"/>
      <c r="AK2212" s="9"/>
      <c r="AL2212" s="9"/>
      <c r="AM2212" s="9"/>
      <c r="AN2212" s="9"/>
      <c r="AO2212" s="9"/>
    </row>
    <row r="2213" spans="1:41" ht="14.25" x14ac:dyDescent="0.2">
      <c r="A2213" s="2">
        <v>27010104</v>
      </c>
      <c r="B2213" s="3" t="s">
        <v>130</v>
      </c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  <c r="AF2213" s="9"/>
      <c r="AG2213" s="9"/>
      <c r="AH2213" s="9"/>
      <c r="AI2213" s="9"/>
      <c r="AJ2213" s="9"/>
      <c r="AK2213" s="9"/>
      <c r="AL2213" s="9"/>
      <c r="AM2213" s="9"/>
      <c r="AN2213" s="9"/>
      <c r="AO2213" s="9"/>
    </row>
    <row r="2214" spans="1:41" x14ac:dyDescent="0.2">
      <c r="A2214" s="5">
        <v>27010107</v>
      </c>
      <c r="B2214" s="6" t="s">
        <v>138</v>
      </c>
      <c r="C2214" s="12"/>
      <c r="D2214" s="12"/>
      <c r="E2214" s="12"/>
      <c r="F2214" s="12"/>
      <c r="G2214" s="12"/>
      <c r="H2214" s="12"/>
      <c r="I2214" s="12"/>
      <c r="J2214" s="12"/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2"/>
      <c r="AB2214" s="12"/>
      <c r="AC2214" s="12"/>
      <c r="AD2214" s="12"/>
      <c r="AE2214" s="12"/>
      <c r="AF2214" s="12"/>
      <c r="AG2214" s="12"/>
      <c r="AH2214" s="12"/>
      <c r="AI2214" s="12"/>
      <c r="AJ2214" s="12"/>
      <c r="AK2214" s="12"/>
      <c r="AL2214" s="12"/>
      <c r="AM2214" s="12"/>
      <c r="AN2214" s="12"/>
      <c r="AO2214" s="12"/>
    </row>
    <row r="2215" spans="1:41" ht="14.25" x14ac:dyDescent="0.2">
      <c r="A2215" s="2">
        <v>27010109</v>
      </c>
      <c r="B2215" s="3" t="s">
        <v>159</v>
      </c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  <c r="AF2215" s="9"/>
      <c r="AG2215" s="9"/>
      <c r="AH2215" s="9"/>
      <c r="AI2215" s="9"/>
      <c r="AJ2215" s="9"/>
      <c r="AK2215" s="9"/>
      <c r="AL2215" s="9"/>
      <c r="AM2215" s="9"/>
      <c r="AN2215" s="9"/>
      <c r="AO2215" s="9"/>
    </row>
    <row r="2216" spans="1:41" ht="14.25" x14ac:dyDescent="0.2">
      <c r="A2216" s="2">
        <v>27010110</v>
      </c>
      <c r="B2216" s="3" t="s">
        <v>162</v>
      </c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9"/>
      <c r="AF2216" s="9"/>
      <c r="AG2216" s="9"/>
      <c r="AH2216" s="9"/>
      <c r="AI2216" s="9"/>
      <c r="AJ2216" s="9"/>
      <c r="AK2216" s="9"/>
      <c r="AL2216" s="9"/>
      <c r="AM2216" s="9"/>
      <c r="AN2216" s="9"/>
      <c r="AO2216" s="9"/>
    </row>
    <row r="2217" spans="1:41" ht="14.25" x14ac:dyDescent="0.2">
      <c r="A2217" s="2">
        <v>27010111</v>
      </c>
      <c r="B2217" s="3" t="s">
        <v>172</v>
      </c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9"/>
      <c r="AG2217" s="9"/>
      <c r="AH2217" s="9"/>
      <c r="AI2217" s="9"/>
      <c r="AJ2217" s="9"/>
      <c r="AK2217" s="9"/>
      <c r="AL2217" s="9"/>
      <c r="AM2217" s="9"/>
      <c r="AN2217" s="9"/>
      <c r="AO2217" s="9"/>
    </row>
    <row r="2218" spans="1:41" ht="14.25" x14ac:dyDescent="0.2">
      <c r="A2218" s="2">
        <v>27010112</v>
      </c>
      <c r="B2218" s="3" t="s">
        <v>174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  <c r="AO2218" s="9"/>
    </row>
    <row r="2219" spans="1:41" ht="14.25" x14ac:dyDescent="0.2">
      <c r="A2219" s="2">
        <v>27010113</v>
      </c>
      <c r="B2219" s="3" t="s">
        <v>175</v>
      </c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  <c r="AO2219" s="9"/>
    </row>
    <row r="2220" spans="1:41" ht="14.25" x14ac:dyDescent="0.2">
      <c r="A2220" s="2">
        <v>270102</v>
      </c>
      <c r="B2220" s="3" t="s">
        <v>546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  <c r="AO2220" s="9"/>
    </row>
    <row r="2221" spans="1:41" ht="14.25" x14ac:dyDescent="0.2">
      <c r="A2221" s="2">
        <v>27010201</v>
      </c>
      <c r="B2221" s="3" t="s">
        <v>209</v>
      </c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9"/>
      <c r="AE2221" s="9"/>
      <c r="AF2221" s="9"/>
      <c r="AG2221" s="9"/>
      <c r="AH2221" s="9"/>
      <c r="AI2221" s="9"/>
      <c r="AJ2221" s="9"/>
      <c r="AK2221" s="9"/>
      <c r="AL2221" s="9"/>
      <c r="AM2221" s="9"/>
      <c r="AN2221" s="9"/>
      <c r="AO2221" s="9"/>
    </row>
    <row r="2222" spans="1:41" ht="14.25" x14ac:dyDescent="0.2">
      <c r="A2222" s="2">
        <v>2701020102</v>
      </c>
      <c r="B2222" s="3" t="s">
        <v>94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  <c r="AO2222" s="9"/>
    </row>
    <row r="2223" spans="1:41" ht="14.25" x14ac:dyDescent="0.2">
      <c r="A2223" s="2">
        <v>2701020103</v>
      </c>
      <c r="B2223" s="3" t="s">
        <v>120</v>
      </c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  <c r="AO2223" s="9"/>
    </row>
    <row r="2224" spans="1:41" ht="14.25" x14ac:dyDescent="0.2">
      <c r="A2224" s="2">
        <v>2701020104</v>
      </c>
      <c r="B2224" s="3" t="s">
        <v>130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  <c r="AO2224" s="9"/>
    </row>
    <row r="2225" spans="1:41" x14ac:dyDescent="0.2">
      <c r="A2225" s="5">
        <v>2701020107</v>
      </c>
      <c r="B2225" s="6" t="s">
        <v>138</v>
      </c>
      <c r="C2225" s="12"/>
      <c r="D2225" s="12"/>
      <c r="E2225" s="12"/>
      <c r="F2225" s="12"/>
      <c r="G2225" s="12"/>
      <c r="H2225" s="12"/>
      <c r="I2225" s="12"/>
      <c r="J2225" s="12"/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2"/>
      <c r="AB2225" s="12"/>
      <c r="AC2225" s="12"/>
      <c r="AD2225" s="12"/>
      <c r="AE2225" s="12"/>
      <c r="AF2225" s="12"/>
      <c r="AG2225" s="12"/>
      <c r="AH2225" s="12"/>
      <c r="AI2225" s="12"/>
      <c r="AJ2225" s="12"/>
      <c r="AK2225" s="12"/>
      <c r="AL2225" s="12"/>
      <c r="AM2225" s="12"/>
      <c r="AN2225" s="12"/>
      <c r="AO2225" s="12"/>
    </row>
    <row r="2226" spans="1:41" ht="14.25" x14ac:dyDescent="0.2">
      <c r="A2226" s="2">
        <v>2701020109</v>
      </c>
      <c r="B2226" s="3" t="s">
        <v>159</v>
      </c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9"/>
      <c r="AE2226" s="9"/>
      <c r="AF2226" s="9"/>
      <c r="AG2226" s="9"/>
      <c r="AH2226" s="9"/>
      <c r="AI2226" s="9"/>
      <c r="AJ2226" s="9"/>
      <c r="AK2226" s="9"/>
      <c r="AL2226" s="9"/>
      <c r="AM2226" s="9"/>
      <c r="AN2226" s="9"/>
      <c r="AO2226" s="9"/>
    </row>
    <row r="2227" spans="1:41" ht="14.25" x14ac:dyDescent="0.2">
      <c r="A2227" s="2">
        <v>2701020110</v>
      </c>
      <c r="B2227" s="3" t="s">
        <v>162</v>
      </c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  <c r="AO2227" s="9"/>
    </row>
    <row r="2228" spans="1:41" ht="14.25" x14ac:dyDescent="0.2">
      <c r="A2228" s="2">
        <v>2701020111</v>
      </c>
      <c r="B2228" s="3" t="s">
        <v>172</v>
      </c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  <c r="AO2228" s="9"/>
    </row>
    <row r="2229" spans="1:41" ht="14.25" x14ac:dyDescent="0.2">
      <c r="A2229" s="2">
        <v>2701020112</v>
      </c>
      <c r="B2229" s="3" t="s">
        <v>174</v>
      </c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  <c r="AO2229" s="9"/>
    </row>
    <row r="2230" spans="1:41" ht="14.25" x14ac:dyDescent="0.2">
      <c r="A2230" s="2">
        <v>2701020113</v>
      </c>
      <c r="B2230" s="3" t="s">
        <v>175</v>
      </c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  <c r="AO2230" s="9"/>
    </row>
    <row r="2231" spans="1:41" x14ac:dyDescent="0.2">
      <c r="A2231" s="5">
        <v>27010202</v>
      </c>
      <c r="B2231" s="6" t="s">
        <v>218</v>
      </c>
      <c r="C2231" s="12"/>
      <c r="D2231" s="12"/>
      <c r="E2231" s="12"/>
      <c r="F2231" s="12"/>
      <c r="G2231" s="12"/>
      <c r="H2231" s="12"/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  <c r="AB2231" s="12"/>
      <c r="AC2231" s="12"/>
      <c r="AD2231" s="12"/>
      <c r="AE2231" s="12"/>
      <c r="AF2231" s="12"/>
      <c r="AG2231" s="12"/>
      <c r="AH2231" s="12"/>
      <c r="AI2231" s="12"/>
      <c r="AJ2231" s="12"/>
      <c r="AK2231" s="12"/>
      <c r="AL2231" s="12"/>
      <c r="AM2231" s="12"/>
      <c r="AN2231" s="12"/>
      <c r="AO2231" s="12"/>
    </row>
    <row r="2232" spans="1:41" x14ac:dyDescent="0.2">
      <c r="A2232" s="5">
        <v>2701020202</v>
      </c>
      <c r="B2232" s="6" t="s">
        <v>547</v>
      </c>
      <c r="C2232" s="12"/>
      <c r="D2232" s="12"/>
      <c r="E2232" s="12"/>
      <c r="F2232" s="12"/>
      <c r="G2232" s="12"/>
      <c r="H2232" s="12"/>
      <c r="I2232" s="12"/>
      <c r="J2232" s="12"/>
      <c r="K2232" s="12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  <c r="AA2232" s="12"/>
      <c r="AB2232" s="12"/>
      <c r="AC2232" s="12"/>
      <c r="AD2232" s="12"/>
      <c r="AE2232" s="12"/>
      <c r="AF2232" s="12"/>
      <c r="AG2232" s="12"/>
      <c r="AH2232" s="12"/>
      <c r="AI2232" s="12"/>
      <c r="AJ2232" s="12"/>
      <c r="AK2232" s="12"/>
      <c r="AL2232" s="12"/>
      <c r="AM2232" s="12"/>
      <c r="AN2232" s="12"/>
      <c r="AO2232" s="12"/>
    </row>
    <row r="2233" spans="1:41" x14ac:dyDescent="0.2">
      <c r="A2233" s="5">
        <v>2701020203</v>
      </c>
      <c r="B2233" s="6" t="s">
        <v>548</v>
      </c>
      <c r="C2233" s="12"/>
      <c r="D2233" s="12"/>
      <c r="E2233" s="12"/>
      <c r="F2233" s="12"/>
      <c r="G2233" s="12"/>
      <c r="H2233" s="12"/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  <c r="AB2233" s="12"/>
      <c r="AC2233" s="12"/>
      <c r="AD2233" s="12"/>
      <c r="AE2233" s="12"/>
      <c r="AF2233" s="12"/>
      <c r="AG2233" s="12"/>
      <c r="AH2233" s="12"/>
      <c r="AI2233" s="12"/>
      <c r="AJ2233" s="12"/>
      <c r="AK2233" s="12"/>
      <c r="AL2233" s="12"/>
      <c r="AM2233" s="12"/>
      <c r="AN2233" s="12"/>
      <c r="AO2233" s="12"/>
    </row>
    <row r="2234" spans="1:41" x14ac:dyDescent="0.2">
      <c r="A2234" s="5">
        <v>2701020204</v>
      </c>
      <c r="B2234" s="6" t="s">
        <v>549</v>
      </c>
      <c r="C2234" s="12"/>
      <c r="D2234" s="12"/>
      <c r="E2234" s="12"/>
      <c r="F2234" s="12"/>
      <c r="G2234" s="12"/>
      <c r="H2234" s="12"/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2"/>
      <c r="AB2234" s="12"/>
      <c r="AC2234" s="12"/>
      <c r="AD2234" s="12"/>
      <c r="AE2234" s="12"/>
      <c r="AF2234" s="12"/>
      <c r="AG2234" s="12"/>
      <c r="AH2234" s="12"/>
      <c r="AI2234" s="12"/>
      <c r="AJ2234" s="12"/>
      <c r="AK2234" s="12"/>
      <c r="AL2234" s="12"/>
      <c r="AM2234" s="12"/>
      <c r="AN2234" s="12"/>
      <c r="AO2234" s="12"/>
    </row>
    <row r="2235" spans="1:41" x14ac:dyDescent="0.2">
      <c r="A2235" s="5">
        <v>2701020207</v>
      </c>
      <c r="B2235" s="6" t="s">
        <v>138</v>
      </c>
      <c r="C2235" s="12"/>
      <c r="D2235" s="12"/>
      <c r="E2235" s="12"/>
      <c r="F2235" s="12"/>
      <c r="G2235" s="12"/>
      <c r="H2235" s="12"/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2"/>
      <c r="AB2235" s="12"/>
      <c r="AC2235" s="12"/>
      <c r="AD2235" s="12"/>
      <c r="AE2235" s="12"/>
      <c r="AF2235" s="12"/>
      <c r="AG2235" s="12"/>
      <c r="AH2235" s="12"/>
      <c r="AI2235" s="12"/>
      <c r="AJ2235" s="12"/>
      <c r="AK2235" s="12"/>
      <c r="AL2235" s="12"/>
      <c r="AM2235" s="12"/>
      <c r="AN2235" s="12"/>
      <c r="AO2235" s="12"/>
    </row>
    <row r="2236" spans="1:41" x14ac:dyDescent="0.2">
      <c r="A2236" s="5">
        <v>2701020209</v>
      </c>
      <c r="B2236" s="6" t="s">
        <v>550</v>
      </c>
      <c r="C2236" s="12"/>
      <c r="D2236" s="12"/>
      <c r="E2236" s="12"/>
      <c r="F2236" s="12"/>
      <c r="G2236" s="12"/>
      <c r="H2236" s="12"/>
      <c r="I2236" s="12"/>
      <c r="J2236" s="12"/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2"/>
      <c r="AB2236" s="12"/>
      <c r="AC2236" s="12"/>
      <c r="AD2236" s="12"/>
      <c r="AE2236" s="12"/>
      <c r="AF2236" s="12"/>
      <c r="AG2236" s="12"/>
      <c r="AH2236" s="12"/>
      <c r="AI2236" s="12"/>
      <c r="AJ2236" s="12"/>
      <c r="AK2236" s="12"/>
      <c r="AL2236" s="12"/>
      <c r="AM2236" s="12"/>
      <c r="AN2236" s="12"/>
      <c r="AO2236" s="12"/>
    </row>
    <row r="2237" spans="1:41" x14ac:dyDescent="0.2">
      <c r="A2237" s="5">
        <v>2701020210</v>
      </c>
      <c r="B2237" s="6" t="s">
        <v>551</v>
      </c>
      <c r="C2237" s="12"/>
      <c r="D2237" s="12"/>
      <c r="E2237" s="12"/>
      <c r="F2237" s="12"/>
      <c r="G2237" s="12"/>
      <c r="H2237" s="12"/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  <c r="AA2237" s="12"/>
      <c r="AB2237" s="12"/>
      <c r="AC2237" s="12"/>
      <c r="AD2237" s="12"/>
      <c r="AE2237" s="12"/>
      <c r="AF2237" s="12"/>
      <c r="AG2237" s="12"/>
      <c r="AH2237" s="12"/>
      <c r="AI2237" s="12"/>
      <c r="AJ2237" s="12"/>
      <c r="AK2237" s="12"/>
      <c r="AL2237" s="12"/>
      <c r="AM2237" s="12"/>
      <c r="AN2237" s="12"/>
      <c r="AO2237" s="12"/>
    </row>
    <row r="2238" spans="1:41" x14ac:dyDescent="0.2">
      <c r="A2238" s="5">
        <v>2701020211</v>
      </c>
      <c r="B2238" s="6" t="s">
        <v>552</v>
      </c>
      <c r="C2238" s="12"/>
      <c r="D2238" s="12"/>
      <c r="E2238" s="12"/>
      <c r="F2238" s="12"/>
      <c r="G2238" s="12"/>
      <c r="H2238" s="12"/>
      <c r="I2238" s="12"/>
      <c r="J2238" s="12"/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2"/>
      <c r="AB2238" s="12"/>
      <c r="AC2238" s="12"/>
      <c r="AD2238" s="12"/>
      <c r="AE2238" s="12"/>
      <c r="AF2238" s="12"/>
      <c r="AG2238" s="12"/>
      <c r="AH2238" s="12"/>
      <c r="AI2238" s="12"/>
      <c r="AJ2238" s="12"/>
      <c r="AK2238" s="12"/>
      <c r="AL2238" s="12"/>
      <c r="AM2238" s="12"/>
      <c r="AN2238" s="12"/>
      <c r="AO2238" s="12"/>
    </row>
    <row r="2239" spans="1:41" x14ac:dyDescent="0.2">
      <c r="A2239" s="5">
        <v>2701020212</v>
      </c>
      <c r="B2239" s="6" t="s">
        <v>553</v>
      </c>
      <c r="C2239" s="12"/>
      <c r="D2239" s="12"/>
      <c r="E2239" s="12"/>
      <c r="F2239" s="12"/>
      <c r="G2239" s="12"/>
      <c r="H2239" s="12"/>
      <c r="I2239" s="12"/>
      <c r="J2239" s="12"/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2"/>
      <c r="AB2239" s="12"/>
      <c r="AC2239" s="12"/>
      <c r="AD2239" s="12"/>
      <c r="AE2239" s="12"/>
      <c r="AF2239" s="12"/>
      <c r="AG2239" s="12"/>
      <c r="AH2239" s="12"/>
      <c r="AI2239" s="12"/>
      <c r="AJ2239" s="12"/>
      <c r="AK2239" s="12"/>
      <c r="AL2239" s="12"/>
      <c r="AM2239" s="12"/>
      <c r="AN2239" s="12"/>
      <c r="AO2239" s="12"/>
    </row>
    <row r="2240" spans="1:41" x14ac:dyDescent="0.2">
      <c r="A2240" s="5">
        <v>2701020213</v>
      </c>
      <c r="B2240" s="6" t="s">
        <v>554</v>
      </c>
      <c r="C2240" s="12"/>
      <c r="D2240" s="12"/>
      <c r="E2240" s="12"/>
      <c r="F2240" s="12"/>
      <c r="G2240" s="12"/>
      <c r="H2240" s="12"/>
      <c r="I2240" s="12"/>
      <c r="J2240" s="12"/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2"/>
      <c r="AB2240" s="12"/>
      <c r="AC2240" s="12"/>
      <c r="AD2240" s="12"/>
      <c r="AE2240" s="12"/>
      <c r="AF2240" s="12"/>
      <c r="AG2240" s="12"/>
      <c r="AH2240" s="12"/>
      <c r="AI2240" s="12"/>
      <c r="AJ2240" s="12"/>
      <c r="AK2240" s="12"/>
      <c r="AL2240" s="12"/>
      <c r="AM2240" s="12"/>
      <c r="AN2240" s="12"/>
      <c r="AO2240" s="12"/>
    </row>
    <row r="2241" spans="1:41" ht="14.25" x14ac:dyDescent="0.2">
      <c r="A2241" s="2">
        <v>2702</v>
      </c>
      <c r="B2241" s="3" t="s">
        <v>555</v>
      </c>
      <c r="C2241" s="20">
        <f>+C2250+C2251+C2252+C2253</f>
        <v>-10141169.92</v>
      </c>
      <c r="D2241" s="20">
        <f t="shared" ref="D2241:AO2241" si="73">+D2250+D2251+D2252+D2253</f>
        <v>-10375119.34</v>
      </c>
      <c r="E2241" s="20">
        <f t="shared" si="73"/>
        <v>-10532140.82</v>
      </c>
      <c r="F2241" s="20">
        <f t="shared" si="73"/>
        <v>-10799473.370000001</v>
      </c>
      <c r="G2241" s="20">
        <f t="shared" si="73"/>
        <v>-10869360.479999999</v>
      </c>
      <c r="H2241" s="20">
        <f t="shared" si="73"/>
        <v>-11116348.52</v>
      </c>
      <c r="I2241" s="20">
        <f t="shared" si="73"/>
        <v>-11279363.720000001</v>
      </c>
      <c r="J2241" s="20">
        <f t="shared" si="73"/>
        <v>-11452019.100000001</v>
      </c>
      <c r="K2241" s="20">
        <f t="shared" si="73"/>
        <v>-11672831.550000001</v>
      </c>
      <c r="L2241" s="20">
        <f t="shared" si="73"/>
        <v>-11841228.060000001</v>
      </c>
      <c r="M2241" s="20">
        <f t="shared" si="73"/>
        <v>-11969262.26</v>
      </c>
      <c r="N2241" s="20">
        <f t="shared" si="73"/>
        <v>-12114369.149999999</v>
      </c>
      <c r="O2241" s="20">
        <f t="shared" si="73"/>
        <v>-12206920.01</v>
      </c>
      <c r="P2241" s="20">
        <f t="shared" si="73"/>
        <v>-12391585.529999999</v>
      </c>
      <c r="Q2241" s="20">
        <f t="shared" si="73"/>
        <v>-12521409.129999999</v>
      </c>
      <c r="R2241" s="20">
        <f t="shared" si="73"/>
        <v>-12701243.35</v>
      </c>
      <c r="S2241" s="20">
        <f t="shared" si="73"/>
        <v>-12857765.74</v>
      </c>
      <c r="T2241" s="20">
        <f t="shared" si="73"/>
        <v>-13041488.57</v>
      </c>
      <c r="U2241" s="20">
        <f t="shared" si="73"/>
        <v>-13249480.010000002</v>
      </c>
      <c r="V2241" s="20">
        <f t="shared" si="73"/>
        <v>-13437661.850000001</v>
      </c>
      <c r="W2241" s="20">
        <f t="shared" si="73"/>
        <v>-13584350.560000001</v>
      </c>
      <c r="X2241" s="20">
        <f t="shared" si="73"/>
        <v>-13796263.379999999</v>
      </c>
      <c r="Y2241" s="20">
        <f t="shared" si="73"/>
        <v>-14011293.57</v>
      </c>
      <c r="Z2241" s="20">
        <f t="shared" si="73"/>
        <v>-14184232.73</v>
      </c>
      <c r="AA2241" s="20">
        <f t="shared" si="73"/>
        <v>-14290595.890000001</v>
      </c>
      <c r="AB2241" s="20">
        <f t="shared" si="73"/>
        <v>-14311788.470000001</v>
      </c>
      <c r="AC2241" s="20">
        <f t="shared" si="73"/>
        <v>-14463185.390000001</v>
      </c>
      <c r="AD2241" s="20">
        <f t="shared" si="73"/>
        <v>-14644557.42</v>
      </c>
      <c r="AE2241" s="20">
        <f t="shared" si="73"/>
        <v>-14869012.1</v>
      </c>
      <c r="AF2241" s="20">
        <f t="shared" si="73"/>
        <v>-15107064.609999999</v>
      </c>
      <c r="AG2241" s="20">
        <f t="shared" si="73"/>
        <v>-15370913.01</v>
      </c>
      <c r="AH2241" s="20">
        <f t="shared" si="73"/>
        <v>-15583931.119999999</v>
      </c>
      <c r="AI2241" s="20">
        <f t="shared" si="73"/>
        <v>-15815857.530000001</v>
      </c>
      <c r="AJ2241" s="20">
        <f t="shared" si="73"/>
        <v>-16057355.57</v>
      </c>
      <c r="AK2241" s="20">
        <f t="shared" si="73"/>
        <v>-16339165.43</v>
      </c>
      <c r="AL2241" s="20">
        <f t="shared" si="73"/>
        <v>-16366923.84</v>
      </c>
      <c r="AM2241" s="20">
        <f t="shared" si="73"/>
        <v>-16340937.1</v>
      </c>
      <c r="AN2241" s="20">
        <f t="shared" si="73"/>
        <v>-16505307.99</v>
      </c>
      <c r="AO2241" s="20">
        <f t="shared" si="73"/>
        <v>-16545480.49</v>
      </c>
    </row>
    <row r="2242" spans="1:41" ht="14.25" x14ac:dyDescent="0.2">
      <c r="A2242" s="2">
        <v>270202</v>
      </c>
      <c r="B2242" s="3" t="s">
        <v>556</v>
      </c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9"/>
      <c r="AF2242" s="9"/>
      <c r="AG2242" s="9"/>
      <c r="AH2242" s="9"/>
      <c r="AI2242" s="9"/>
      <c r="AJ2242" s="9"/>
      <c r="AK2242" s="9"/>
      <c r="AL2242" s="9"/>
      <c r="AM2242" s="9"/>
      <c r="AN2242" s="9"/>
      <c r="AO2242" s="9"/>
    </row>
    <row r="2243" spans="1:41" ht="14.25" x14ac:dyDescent="0.2">
      <c r="A2243" s="2">
        <v>270209</v>
      </c>
      <c r="B2243" s="3" t="s">
        <v>266</v>
      </c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9"/>
      <c r="AE2243" s="9"/>
      <c r="AF2243" s="9"/>
      <c r="AG2243" s="9"/>
      <c r="AH2243" s="9"/>
      <c r="AI2243" s="9"/>
      <c r="AJ2243" s="9"/>
      <c r="AK2243" s="9"/>
      <c r="AL2243" s="9"/>
      <c r="AM2243" s="9"/>
      <c r="AN2243" s="9"/>
      <c r="AO2243" s="9"/>
    </row>
    <row r="2244" spans="1:41" ht="14.25" x14ac:dyDescent="0.2">
      <c r="A2244" s="2">
        <v>2703</v>
      </c>
      <c r="B2244" s="3" t="s">
        <v>557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9"/>
      <c r="AE2244" s="9"/>
      <c r="AF2244" s="9"/>
      <c r="AG2244" s="9"/>
      <c r="AH2244" s="9"/>
      <c r="AI2244" s="9"/>
      <c r="AJ2244" s="9"/>
      <c r="AK2244" s="9"/>
      <c r="AL2244" s="9"/>
      <c r="AM2244" s="9"/>
      <c r="AN2244" s="9"/>
      <c r="AO2244" s="9"/>
    </row>
    <row r="2245" spans="1:41" ht="14.25" x14ac:dyDescent="0.2">
      <c r="A2245" s="2">
        <v>270303</v>
      </c>
      <c r="B2245" s="3" t="s">
        <v>558</v>
      </c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9"/>
      <c r="AG2245" s="9"/>
      <c r="AH2245" s="9"/>
      <c r="AI2245" s="9"/>
      <c r="AJ2245" s="9"/>
      <c r="AK2245" s="9"/>
      <c r="AL2245" s="9"/>
      <c r="AM2245" s="9"/>
      <c r="AN2245" s="9"/>
      <c r="AO2245" s="9"/>
    </row>
    <row r="2246" spans="1:41" ht="14.25" x14ac:dyDescent="0.2">
      <c r="A2246" s="2">
        <v>27030301</v>
      </c>
      <c r="B2246" s="3" t="s">
        <v>559</v>
      </c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  <c r="AF2246" s="9"/>
      <c r="AG2246" s="9"/>
      <c r="AH2246" s="9"/>
      <c r="AI2246" s="9"/>
      <c r="AJ2246" s="9"/>
      <c r="AK2246" s="9"/>
      <c r="AL2246" s="9"/>
      <c r="AM2246" s="9"/>
      <c r="AN2246" s="9"/>
      <c r="AO2246" s="9"/>
    </row>
    <row r="2247" spans="1:41" ht="14.25" x14ac:dyDescent="0.2">
      <c r="A2247" s="2">
        <v>27030302</v>
      </c>
      <c r="B2247" s="3" t="s">
        <v>560</v>
      </c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  <c r="AF2247" s="9"/>
      <c r="AG2247" s="9"/>
      <c r="AH2247" s="9"/>
      <c r="AI2247" s="9"/>
      <c r="AJ2247" s="9"/>
      <c r="AK2247" s="9"/>
      <c r="AL2247" s="9"/>
      <c r="AM2247" s="9"/>
      <c r="AN2247" s="9"/>
      <c r="AO2247" s="9"/>
    </row>
    <row r="2248" spans="1:41" ht="14.25" x14ac:dyDescent="0.2">
      <c r="A2248" s="2">
        <v>270304</v>
      </c>
      <c r="B2248" s="3" t="s">
        <v>561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9"/>
      <c r="AE2248" s="9"/>
      <c r="AF2248" s="9"/>
      <c r="AG2248" s="9"/>
      <c r="AH2248" s="9"/>
      <c r="AI2248" s="9"/>
      <c r="AJ2248" s="9"/>
      <c r="AK2248" s="9"/>
      <c r="AL2248" s="9"/>
      <c r="AM2248" s="9"/>
      <c r="AN2248" s="9"/>
      <c r="AO2248" s="9"/>
    </row>
    <row r="2249" spans="1:41" ht="14.25" x14ac:dyDescent="0.2">
      <c r="A2249" s="2">
        <v>27030401</v>
      </c>
      <c r="B2249" s="3" t="s">
        <v>559</v>
      </c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  <c r="AE2249" s="9"/>
      <c r="AF2249" s="9"/>
      <c r="AG2249" s="9"/>
      <c r="AH2249" s="9"/>
      <c r="AI2249" s="9"/>
      <c r="AJ2249" s="9"/>
      <c r="AK2249" s="9"/>
      <c r="AL2249" s="9"/>
      <c r="AM2249" s="9"/>
      <c r="AN2249" s="9"/>
      <c r="AO2249" s="9"/>
    </row>
    <row r="2250" spans="1:41" s="15" customFormat="1" ht="14.25" x14ac:dyDescent="0.2">
      <c r="A2250" s="18" t="s">
        <v>1637</v>
      </c>
      <c r="B2250" s="19" t="s">
        <v>1638</v>
      </c>
      <c r="C2250" s="20">
        <v>-8303408.4900000002</v>
      </c>
      <c r="D2250" s="20">
        <v>-8484123.2400000002</v>
      </c>
      <c r="E2250" s="20">
        <v>-8653908.6699999999</v>
      </c>
      <c r="F2250" s="20">
        <v>-8863222.4900000002</v>
      </c>
      <c r="G2250" s="20">
        <v>-8950044.7899999991</v>
      </c>
      <c r="H2250" s="20">
        <v>-9127036.1899999995</v>
      </c>
      <c r="I2250" s="20">
        <v>-9284313.4600000009</v>
      </c>
      <c r="J2250" s="20">
        <v>-9459476.6300000008</v>
      </c>
      <c r="K2250" s="20">
        <v>-9660067.1699999999</v>
      </c>
      <c r="L2250" s="20">
        <v>-9851623.5099999998</v>
      </c>
      <c r="M2250" s="20">
        <v>-10034397.51</v>
      </c>
      <c r="N2250" s="20">
        <v>-10177559.029999999</v>
      </c>
      <c r="O2250" s="20">
        <v>-10297827.52</v>
      </c>
      <c r="P2250" s="20">
        <v>-10443497.77</v>
      </c>
      <c r="Q2250" s="20">
        <v>-10612971.17</v>
      </c>
      <c r="R2250" s="20">
        <v>-10780360.42</v>
      </c>
      <c r="S2250" s="20">
        <v>-10966012.82</v>
      </c>
      <c r="T2250" s="20">
        <v>-11091594.48</v>
      </c>
      <c r="U2250" s="20">
        <v>-11277379.890000001</v>
      </c>
      <c r="V2250" s="20">
        <v>-11410635.210000001</v>
      </c>
      <c r="W2250" s="20">
        <v>-11536372.57</v>
      </c>
      <c r="X2250" s="20">
        <v>-11717684.51</v>
      </c>
      <c r="Y2250" s="20">
        <v>-11891810.439999999</v>
      </c>
      <c r="Z2250" s="20">
        <v>-12044262.65</v>
      </c>
      <c r="AA2250" s="20">
        <v>-12187487.76</v>
      </c>
      <c r="AB2250" s="20">
        <v>-12350751.300000001</v>
      </c>
      <c r="AC2250" s="20">
        <v>-12526882.41</v>
      </c>
      <c r="AD2250" s="20">
        <v>-12700192.18</v>
      </c>
      <c r="AE2250" s="20">
        <v>-12927007.439999999</v>
      </c>
      <c r="AF2250" s="20">
        <v>-13102386.41</v>
      </c>
      <c r="AG2250" s="20">
        <v>-13335844.029999999</v>
      </c>
      <c r="AH2250" s="20">
        <v>-13524037.189999999</v>
      </c>
      <c r="AI2250" s="20">
        <v>-13711217.130000001</v>
      </c>
      <c r="AJ2250" s="20">
        <v>-13911070.16</v>
      </c>
      <c r="AK2250" s="20">
        <v>-14138923.73</v>
      </c>
      <c r="AL2250" s="20">
        <v>-14365608.140000001</v>
      </c>
      <c r="AM2250" s="20">
        <v>-14345648.25</v>
      </c>
      <c r="AN2250" s="20">
        <v>-14427023.92</v>
      </c>
      <c r="AO2250" s="20">
        <v>-14456718.220000001</v>
      </c>
    </row>
    <row r="2251" spans="1:41" s="15" customFormat="1" ht="14.25" x14ac:dyDescent="0.2">
      <c r="A2251" s="18" t="s">
        <v>1639</v>
      </c>
      <c r="B2251" s="19" t="s">
        <v>1640</v>
      </c>
      <c r="C2251" s="20">
        <v>-1836923.43</v>
      </c>
      <c r="D2251" s="20">
        <v>-1889155.1</v>
      </c>
      <c r="E2251" s="20">
        <v>-1875588.15</v>
      </c>
      <c r="F2251" s="20">
        <v>-1932821.88</v>
      </c>
      <c r="G2251" s="20">
        <v>-1914081.69</v>
      </c>
      <c r="H2251" s="20">
        <v>-1982028.33</v>
      </c>
      <c r="I2251" s="20">
        <v>-1986326.26</v>
      </c>
      <c r="J2251" s="20">
        <v>-1990913.47</v>
      </c>
      <c r="K2251" s="20">
        <v>-2011070.38</v>
      </c>
      <c r="L2251" s="20">
        <v>-1987910.55</v>
      </c>
      <c r="M2251" s="20">
        <v>-1933170.75</v>
      </c>
      <c r="N2251" s="20">
        <v>-1935116.12</v>
      </c>
      <c r="O2251" s="20">
        <v>-1907398.49</v>
      </c>
      <c r="P2251" s="20">
        <v>-1946393.76</v>
      </c>
      <c r="Q2251" s="20">
        <v>-1906743.96</v>
      </c>
      <c r="R2251" s="20">
        <v>-1919188.93</v>
      </c>
      <c r="S2251" s="20">
        <v>-1890058.92</v>
      </c>
      <c r="T2251" s="20">
        <v>-1948200.09</v>
      </c>
      <c r="U2251" s="20">
        <v>-1970406.12</v>
      </c>
      <c r="V2251" s="20">
        <v>-2025332.64</v>
      </c>
      <c r="W2251" s="20">
        <v>-2046283.99</v>
      </c>
      <c r="X2251" s="20">
        <v>-2076884.87</v>
      </c>
      <c r="Y2251" s="20">
        <v>-2117789.13</v>
      </c>
      <c r="Z2251" s="20">
        <v>-2138276.08</v>
      </c>
      <c r="AA2251" s="20">
        <v>-2101414.13</v>
      </c>
      <c r="AB2251" s="20">
        <v>-1959343.17</v>
      </c>
      <c r="AC2251" s="20">
        <v>-1934608.98</v>
      </c>
      <c r="AD2251" s="20">
        <v>-1942671.24</v>
      </c>
      <c r="AE2251" s="20">
        <v>-1940310.66</v>
      </c>
      <c r="AF2251" s="20">
        <v>-2002984.2</v>
      </c>
      <c r="AG2251" s="20">
        <v>-2033374.98</v>
      </c>
      <c r="AH2251" s="20">
        <v>-2058199.93</v>
      </c>
      <c r="AI2251" s="20">
        <v>-2102946.4</v>
      </c>
      <c r="AJ2251" s="20">
        <v>-2144591.41</v>
      </c>
      <c r="AK2251" s="20">
        <v>-2198547.7000000002</v>
      </c>
      <c r="AL2251" s="20">
        <v>-1999621.7</v>
      </c>
      <c r="AM2251" s="20">
        <v>-1993594.85</v>
      </c>
      <c r="AN2251" s="20">
        <v>-2076590.07</v>
      </c>
      <c r="AO2251" s="20">
        <v>-2087068.27</v>
      </c>
    </row>
    <row r="2252" spans="1:41" s="15" customFormat="1" ht="14.25" x14ac:dyDescent="0.2">
      <c r="A2252" s="18" t="s">
        <v>1641</v>
      </c>
      <c r="B2252" s="19" t="s">
        <v>1642</v>
      </c>
      <c r="C2252" s="20">
        <v>-3</v>
      </c>
      <c r="D2252" s="20">
        <v>-6</v>
      </c>
      <c r="E2252" s="20">
        <v>-14</v>
      </c>
      <c r="F2252" s="20">
        <v>-14</v>
      </c>
      <c r="G2252" s="20">
        <v>-14</v>
      </c>
      <c r="H2252" s="20">
        <v>-14</v>
      </c>
      <c r="I2252" s="20">
        <v>-14</v>
      </c>
      <c r="J2252" s="20">
        <v>-14</v>
      </c>
      <c r="K2252" s="20">
        <v>-14</v>
      </c>
      <c r="L2252" s="20">
        <v>-14</v>
      </c>
      <c r="M2252" s="20">
        <v>-14</v>
      </c>
      <c r="N2252" s="20">
        <v>-14</v>
      </c>
      <c r="O2252" s="20">
        <v>-14</v>
      </c>
      <c r="P2252" s="20">
        <v>-14</v>
      </c>
      <c r="Q2252" s="20">
        <v>-14</v>
      </c>
      <c r="R2252" s="20">
        <v>-14</v>
      </c>
      <c r="S2252" s="20">
        <v>-14</v>
      </c>
      <c r="T2252" s="20">
        <v>-14</v>
      </c>
      <c r="U2252" s="20">
        <v>-14</v>
      </c>
      <c r="V2252" s="20">
        <v>-14</v>
      </c>
      <c r="W2252" s="20">
        <v>-14</v>
      </c>
      <c r="X2252" s="20">
        <v>-14</v>
      </c>
      <c r="Y2252" s="20">
        <v>-14</v>
      </c>
      <c r="Z2252" s="20">
        <v>-14</v>
      </c>
      <c r="AA2252" s="20">
        <v>-14</v>
      </c>
      <c r="AB2252" s="20">
        <v>-14</v>
      </c>
      <c r="AC2252" s="20">
        <v>-14</v>
      </c>
      <c r="AD2252" s="20">
        <v>-14</v>
      </c>
      <c r="AE2252" s="20">
        <v>-14</v>
      </c>
      <c r="AF2252" s="20">
        <v>-14</v>
      </c>
      <c r="AG2252" s="20">
        <v>-14</v>
      </c>
      <c r="AH2252" s="20">
        <v>-14</v>
      </c>
      <c r="AI2252" s="20">
        <v>-14</v>
      </c>
      <c r="AJ2252" s="20">
        <v>-14</v>
      </c>
      <c r="AK2252" s="20">
        <v>-14</v>
      </c>
      <c r="AL2252" s="20">
        <v>-14</v>
      </c>
      <c r="AM2252" s="20">
        <v>-14</v>
      </c>
      <c r="AN2252" s="20">
        <v>-14</v>
      </c>
      <c r="AO2252" s="20">
        <v>-14</v>
      </c>
    </row>
    <row r="2253" spans="1:41" s="15" customFormat="1" ht="14.25" x14ac:dyDescent="0.2">
      <c r="A2253" s="18" t="s">
        <v>1643</v>
      </c>
      <c r="B2253" s="19" t="s">
        <v>1644</v>
      </c>
      <c r="C2253" s="20">
        <v>-835</v>
      </c>
      <c r="D2253" s="20">
        <v>-1835</v>
      </c>
      <c r="E2253" s="20">
        <v>-2630</v>
      </c>
      <c r="F2253" s="20">
        <v>-3415</v>
      </c>
      <c r="G2253" s="20">
        <v>-5220</v>
      </c>
      <c r="H2253" s="20">
        <v>-7270</v>
      </c>
      <c r="I2253" s="20">
        <v>-8710</v>
      </c>
      <c r="J2253" s="20">
        <v>-1615</v>
      </c>
      <c r="K2253" s="20">
        <v>-1680</v>
      </c>
      <c r="L2253" s="20">
        <v>-1680</v>
      </c>
      <c r="M2253" s="20">
        <v>-1680</v>
      </c>
      <c r="N2253" s="20">
        <v>-1680</v>
      </c>
      <c r="O2253" s="20">
        <v>-1680</v>
      </c>
      <c r="P2253" s="20">
        <v>-1680</v>
      </c>
      <c r="Q2253" s="20">
        <v>-1680</v>
      </c>
      <c r="R2253" s="20">
        <v>-1680</v>
      </c>
      <c r="S2253" s="20">
        <v>-1680</v>
      </c>
      <c r="T2253" s="20">
        <v>-1680</v>
      </c>
      <c r="U2253" s="20">
        <v>-1680</v>
      </c>
      <c r="V2253" s="20">
        <v>-1680</v>
      </c>
      <c r="W2253" s="20">
        <v>-1680</v>
      </c>
      <c r="X2253" s="20">
        <v>-1680</v>
      </c>
      <c r="Y2253" s="20">
        <v>-1680</v>
      </c>
      <c r="Z2253" s="20">
        <v>-1680</v>
      </c>
      <c r="AA2253" s="20">
        <v>-1680</v>
      </c>
      <c r="AB2253" s="20">
        <v>-1680</v>
      </c>
      <c r="AC2253" s="20">
        <v>-1680</v>
      </c>
      <c r="AD2253" s="20">
        <v>-1680</v>
      </c>
      <c r="AE2253" s="20">
        <v>-1680</v>
      </c>
      <c r="AF2253" s="20">
        <v>-1680</v>
      </c>
      <c r="AG2253" s="20">
        <v>-1680</v>
      </c>
      <c r="AH2253" s="20">
        <v>-1680</v>
      </c>
      <c r="AI2253" s="20">
        <v>-1680</v>
      </c>
      <c r="AJ2253" s="20">
        <v>-1680</v>
      </c>
      <c r="AK2253" s="20">
        <v>-1680</v>
      </c>
      <c r="AL2253" s="20">
        <v>-1680</v>
      </c>
      <c r="AM2253" s="20">
        <v>-1680</v>
      </c>
      <c r="AN2253" s="20">
        <v>-1680</v>
      </c>
      <c r="AO2253" s="20">
        <v>-1680</v>
      </c>
    </row>
    <row r="2254" spans="1:41" ht="14.25" x14ac:dyDescent="0.2">
      <c r="A2254" s="2">
        <v>27030402</v>
      </c>
      <c r="B2254" s="3" t="s">
        <v>560</v>
      </c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9"/>
      <c r="AG2254" s="9"/>
      <c r="AH2254" s="9"/>
      <c r="AI2254" s="9"/>
      <c r="AJ2254" s="9"/>
      <c r="AK2254" s="9"/>
      <c r="AL2254" s="9"/>
      <c r="AM2254" s="9"/>
      <c r="AN2254" s="9"/>
      <c r="AO2254" s="9"/>
    </row>
    <row r="2255" spans="1:41" ht="14.25" x14ac:dyDescent="0.2">
      <c r="A2255" s="2">
        <v>28</v>
      </c>
      <c r="B2255" s="3" t="s">
        <v>562</v>
      </c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9"/>
      <c r="AG2255" s="9"/>
      <c r="AH2255" s="9"/>
      <c r="AI2255" s="9"/>
      <c r="AJ2255" s="9"/>
      <c r="AK2255" s="9"/>
      <c r="AL2255" s="9"/>
      <c r="AM2255" s="9"/>
      <c r="AN2255" s="9"/>
      <c r="AO2255" s="9"/>
    </row>
    <row r="2256" spans="1:41" ht="14.25" x14ac:dyDescent="0.2">
      <c r="A2256" s="2">
        <v>2801</v>
      </c>
      <c r="B2256" s="3" t="s">
        <v>563</v>
      </c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9"/>
      <c r="AE2256" s="9"/>
      <c r="AF2256" s="9"/>
      <c r="AG2256" s="9"/>
      <c r="AH2256" s="9"/>
      <c r="AI2256" s="9"/>
      <c r="AJ2256" s="9"/>
      <c r="AK2256" s="9"/>
      <c r="AL2256" s="9"/>
      <c r="AM2256" s="9"/>
      <c r="AN2256" s="9"/>
      <c r="AO2256" s="9"/>
    </row>
    <row r="2257" spans="1:41" ht="14.25" x14ac:dyDescent="0.2">
      <c r="A2257" s="2">
        <v>2802</v>
      </c>
      <c r="B2257" s="3" t="s">
        <v>564</v>
      </c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9"/>
      <c r="AD2257" s="9"/>
      <c r="AE2257" s="9"/>
      <c r="AF2257" s="9"/>
      <c r="AG2257" s="9"/>
      <c r="AH2257" s="9"/>
      <c r="AI2257" s="9"/>
      <c r="AJ2257" s="9"/>
      <c r="AK2257" s="9"/>
      <c r="AL2257" s="9"/>
      <c r="AM2257" s="9"/>
      <c r="AN2257" s="9"/>
      <c r="AO2257" s="9"/>
    </row>
    <row r="2258" spans="1:41" ht="14.25" x14ac:dyDescent="0.2">
      <c r="A2258" s="2">
        <v>2806</v>
      </c>
      <c r="B2258" s="3" t="s">
        <v>565</v>
      </c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9"/>
      <c r="AE2258" s="9"/>
      <c r="AF2258" s="9"/>
      <c r="AG2258" s="9"/>
      <c r="AH2258" s="9"/>
      <c r="AI2258" s="9"/>
      <c r="AJ2258" s="9"/>
      <c r="AK2258" s="9"/>
      <c r="AL2258" s="9"/>
      <c r="AM2258" s="9"/>
      <c r="AN2258" s="9"/>
      <c r="AO2258" s="9"/>
    </row>
    <row r="2259" spans="1:41" ht="14.25" x14ac:dyDescent="0.2">
      <c r="A2259" s="2">
        <v>2807</v>
      </c>
      <c r="B2259" s="3" t="s">
        <v>566</v>
      </c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9"/>
      <c r="AF2259" s="9"/>
      <c r="AG2259" s="9"/>
      <c r="AH2259" s="9"/>
      <c r="AI2259" s="9"/>
      <c r="AJ2259" s="9"/>
      <c r="AK2259" s="9"/>
      <c r="AL2259" s="9"/>
      <c r="AM2259" s="9"/>
      <c r="AN2259" s="9"/>
      <c r="AO2259" s="9"/>
    </row>
    <row r="2260" spans="1:41" ht="14.25" x14ac:dyDescent="0.2">
      <c r="A2260" s="2">
        <v>280701</v>
      </c>
      <c r="B2260" s="3" t="s">
        <v>75</v>
      </c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  <c r="AO2260" s="9"/>
    </row>
    <row r="2261" spans="1:41" ht="14.25" x14ac:dyDescent="0.2">
      <c r="A2261" s="2">
        <v>280702</v>
      </c>
      <c r="B2261" s="3" t="s">
        <v>567</v>
      </c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9"/>
    </row>
    <row r="2262" spans="1:41" ht="14.25" x14ac:dyDescent="0.2">
      <c r="A2262" s="2">
        <v>280703</v>
      </c>
      <c r="B2262" s="3" t="s">
        <v>81</v>
      </c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9"/>
      <c r="AE2262" s="9"/>
      <c r="AF2262" s="9"/>
      <c r="AG2262" s="9"/>
      <c r="AH2262" s="9"/>
      <c r="AI2262" s="9"/>
      <c r="AJ2262" s="9"/>
      <c r="AK2262" s="9"/>
      <c r="AL2262" s="9"/>
      <c r="AM2262" s="9"/>
      <c r="AN2262" s="9"/>
      <c r="AO2262" s="9"/>
    </row>
    <row r="2263" spans="1:41" ht="14.25" x14ac:dyDescent="0.2">
      <c r="A2263" s="2">
        <v>280709</v>
      </c>
      <c r="B2263" s="3" t="s">
        <v>568</v>
      </c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  <c r="AO2263" s="9"/>
    </row>
    <row r="2264" spans="1:41" ht="28.5" x14ac:dyDescent="0.2">
      <c r="A2264" s="2">
        <v>2808</v>
      </c>
      <c r="B2264" s="4" t="s">
        <v>569</v>
      </c>
      <c r="C2264" s="11"/>
      <c r="D2264" s="11"/>
      <c r="E2264" s="11"/>
      <c r="F2264" s="11"/>
      <c r="G2264" s="11"/>
      <c r="H2264" s="11"/>
      <c r="I2264" s="11"/>
      <c r="J2264" s="11"/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11"/>
      <c r="AG2264" s="11"/>
      <c r="AH2264" s="11"/>
      <c r="AI2264" s="11"/>
      <c r="AJ2264" s="11"/>
      <c r="AK2264" s="11"/>
      <c r="AL2264" s="11"/>
      <c r="AM2264" s="11"/>
      <c r="AN2264" s="11"/>
      <c r="AO2264" s="11"/>
    </row>
    <row r="2265" spans="1:41" ht="14.25" x14ac:dyDescent="0.2">
      <c r="A2265" s="2">
        <v>280801</v>
      </c>
      <c r="B2265" s="3" t="s">
        <v>570</v>
      </c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9"/>
      <c r="AG2265" s="9"/>
      <c r="AH2265" s="9"/>
      <c r="AI2265" s="9"/>
      <c r="AJ2265" s="9"/>
      <c r="AK2265" s="9"/>
      <c r="AL2265" s="9"/>
      <c r="AM2265" s="9"/>
      <c r="AN2265" s="9"/>
      <c r="AO2265" s="9"/>
    </row>
    <row r="2266" spans="1:41" ht="14.25" x14ac:dyDescent="0.2">
      <c r="A2266" s="2">
        <v>280802</v>
      </c>
      <c r="B2266" s="3" t="s">
        <v>571</v>
      </c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  <c r="AO2266" s="9"/>
    </row>
    <row r="2267" spans="1:41" ht="14.25" x14ac:dyDescent="0.2">
      <c r="A2267" s="2">
        <v>280806</v>
      </c>
      <c r="B2267" s="3" t="s">
        <v>572</v>
      </c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9"/>
      <c r="AE2267" s="9"/>
      <c r="AF2267" s="9"/>
      <c r="AG2267" s="9"/>
      <c r="AH2267" s="9"/>
      <c r="AI2267" s="9"/>
      <c r="AJ2267" s="9"/>
      <c r="AK2267" s="9"/>
      <c r="AL2267" s="9"/>
      <c r="AM2267" s="9"/>
      <c r="AN2267" s="9"/>
      <c r="AO2267" s="9"/>
    </row>
    <row r="2268" spans="1:41" ht="14.25" x14ac:dyDescent="0.2">
      <c r="A2268" s="2">
        <v>280807</v>
      </c>
      <c r="B2268" s="3" t="s">
        <v>573</v>
      </c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  <c r="AO2268" s="9"/>
    </row>
    <row r="2269" spans="1:41" ht="14.25" x14ac:dyDescent="0.2">
      <c r="A2269" s="2">
        <v>29</v>
      </c>
      <c r="B2269" s="3" t="s">
        <v>574</v>
      </c>
      <c r="C2269" s="20">
        <f t="shared" ref="C2269:AB2269" si="74">+C2270+C2305</f>
        <v>-2123226.71</v>
      </c>
      <c r="D2269" s="20">
        <f t="shared" si="74"/>
        <v>-3388065.2</v>
      </c>
      <c r="E2269" s="20">
        <f t="shared" si="74"/>
        <v>-2801182.53</v>
      </c>
      <c r="F2269" s="20">
        <f t="shared" si="74"/>
        <v>-3005474.8299999996</v>
      </c>
      <c r="G2269" s="20">
        <f t="shared" si="74"/>
        <v>-2916757.36</v>
      </c>
      <c r="H2269" s="20">
        <f t="shared" si="74"/>
        <v>-2798449.8499999996</v>
      </c>
      <c r="I2269" s="20">
        <f t="shared" si="74"/>
        <v>-3767421.17</v>
      </c>
      <c r="J2269" s="20">
        <f t="shared" si="74"/>
        <v>-2773074.1199999996</v>
      </c>
      <c r="K2269" s="20">
        <f t="shared" si="74"/>
        <v>-2466824.6399999997</v>
      </c>
      <c r="L2269" s="20">
        <f t="shared" si="74"/>
        <v>-2250033.0099999998</v>
      </c>
      <c r="M2269" s="20">
        <f t="shared" si="74"/>
        <v>-4974026.9399999995</v>
      </c>
      <c r="N2269" s="20">
        <f t="shared" si="74"/>
        <v>-2616354.85</v>
      </c>
      <c r="O2269" s="20">
        <f t="shared" si="74"/>
        <v>-3386527.49</v>
      </c>
      <c r="P2269" s="20">
        <f t="shared" si="74"/>
        <v>-4190217.58</v>
      </c>
      <c r="Q2269" s="20">
        <f t="shared" si="74"/>
        <v>-5536089.1799999997</v>
      </c>
      <c r="R2269" s="20">
        <f t="shared" si="74"/>
        <v>-3741251.8500000006</v>
      </c>
      <c r="S2269" s="20">
        <f t="shared" si="74"/>
        <v>-3715161.36</v>
      </c>
      <c r="T2269" s="20">
        <f t="shared" si="74"/>
        <v>-4950907.79</v>
      </c>
      <c r="U2269" s="20">
        <f t="shared" si="74"/>
        <v>-4634114.49</v>
      </c>
      <c r="V2269" s="20">
        <f t="shared" si="74"/>
        <v>-4925109.28</v>
      </c>
      <c r="W2269" s="20">
        <f t="shared" si="74"/>
        <v>-4558984.3</v>
      </c>
      <c r="X2269" s="20">
        <f t="shared" si="74"/>
        <v>-4244200.28</v>
      </c>
      <c r="Y2269" s="20">
        <f t="shared" si="74"/>
        <v>-4096654.2800000003</v>
      </c>
      <c r="Z2269" s="20">
        <f t="shared" si="74"/>
        <v>-3691685.0199999996</v>
      </c>
      <c r="AA2269" s="20">
        <f t="shared" si="74"/>
        <v>-3948115.54</v>
      </c>
      <c r="AB2269" s="20">
        <f t="shared" si="74"/>
        <v>-3769586.7900000005</v>
      </c>
      <c r="AC2269" s="20">
        <f>+AC2270+AC2305</f>
        <v>-4343841.3500000006</v>
      </c>
      <c r="AD2269" s="20">
        <f t="shared" ref="AD2269:AO2269" si="75">+AD2270+AD2305</f>
        <v>-4442956.6100000003</v>
      </c>
      <c r="AE2269" s="20">
        <f t="shared" si="75"/>
        <v>-5312567.59</v>
      </c>
      <c r="AF2269" s="20">
        <f t="shared" si="75"/>
        <v>-5787789.1000000006</v>
      </c>
      <c r="AG2269" s="20">
        <f t="shared" si="75"/>
        <v>-4618044.5399999991</v>
      </c>
      <c r="AH2269" s="20">
        <f t="shared" si="75"/>
        <v>-5071090.57</v>
      </c>
      <c r="AI2269" s="20">
        <f t="shared" si="75"/>
        <v>-5365132.1899999995</v>
      </c>
      <c r="AJ2269" s="20">
        <f t="shared" si="75"/>
        <v>-5376210.79</v>
      </c>
      <c r="AK2269" s="20">
        <f t="shared" si="75"/>
        <v>-5437541.3600000013</v>
      </c>
      <c r="AL2269" s="20">
        <f t="shared" si="75"/>
        <v>-3975055.5699999994</v>
      </c>
      <c r="AM2269" s="20">
        <f t="shared" si="75"/>
        <v>-4264660</v>
      </c>
      <c r="AN2269" s="20">
        <f t="shared" si="75"/>
        <v>-3701522.1399999997</v>
      </c>
      <c r="AO2269" s="20">
        <f t="shared" si="75"/>
        <v>-3937295.7800000003</v>
      </c>
    </row>
    <row r="2270" spans="1:41" ht="14.25" x14ac:dyDescent="0.2">
      <c r="A2270" s="2">
        <v>2901</v>
      </c>
      <c r="B2270" s="3" t="s">
        <v>575</v>
      </c>
      <c r="C2270" s="20">
        <f>+C2278</f>
        <v>0</v>
      </c>
      <c r="D2270" s="20">
        <f t="shared" ref="D2270:AO2270" si="76">+D2278</f>
        <v>-134451.31</v>
      </c>
      <c r="E2270" s="20">
        <f t="shared" si="76"/>
        <v>-239737.66</v>
      </c>
      <c r="F2270" s="20">
        <f t="shared" si="76"/>
        <v>-442099.02</v>
      </c>
      <c r="G2270" s="20">
        <f t="shared" si="76"/>
        <v>-547084.31000000006</v>
      </c>
      <c r="H2270" s="20">
        <f t="shared" si="76"/>
        <v>-586727</v>
      </c>
      <c r="I2270" s="20">
        <f t="shared" si="76"/>
        <v>-587799.09</v>
      </c>
      <c r="J2270" s="20">
        <f t="shared" si="76"/>
        <v>-582859.48</v>
      </c>
      <c r="K2270" s="20">
        <f t="shared" si="76"/>
        <v>-481204.32</v>
      </c>
      <c r="L2270" s="20">
        <f t="shared" si="76"/>
        <v>-332800</v>
      </c>
      <c r="M2270" s="20">
        <f t="shared" si="76"/>
        <v>-165905.63</v>
      </c>
      <c r="N2270" s="20">
        <f t="shared" si="76"/>
        <v>0</v>
      </c>
      <c r="O2270" s="20">
        <f t="shared" si="76"/>
        <v>0</v>
      </c>
      <c r="P2270" s="20">
        <f t="shared" si="76"/>
        <v>0</v>
      </c>
      <c r="Q2270" s="20">
        <f t="shared" si="76"/>
        <v>0</v>
      </c>
      <c r="R2270" s="20">
        <f t="shared" si="76"/>
        <v>-68810.06</v>
      </c>
      <c r="S2270" s="20">
        <f t="shared" si="76"/>
        <v>-113062.87</v>
      </c>
      <c r="T2270" s="20">
        <f t="shared" si="76"/>
        <v>-422477.26</v>
      </c>
      <c r="U2270" s="20">
        <f t="shared" si="76"/>
        <v>-528487.06999999995</v>
      </c>
      <c r="V2270" s="20">
        <f t="shared" si="76"/>
        <v>-708690.35</v>
      </c>
      <c r="W2270" s="20">
        <f t="shared" si="76"/>
        <v>-785674.04</v>
      </c>
      <c r="X2270" s="20">
        <f t="shared" si="76"/>
        <v>-849571.09</v>
      </c>
      <c r="Y2270" s="20">
        <f t="shared" si="76"/>
        <v>-877833.89</v>
      </c>
      <c r="Z2270" s="20">
        <f t="shared" si="76"/>
        <v>0</v>
      </c>
      <c r="AA2270" s="20">
        <f t="shared" si="76"/>
        <v>-2361.08</v>
      </c>
      <c r="AB2270" s="20">
        <f t="shared" si="76"/>
        <v>-5905.12</v>
      </c>
      <c r="AC2270" s="20">
        <f t="shared" si="76"/>
        <v>-86956.57</v>
      </c>
      <c r="AD2270" s="20">
        <f t="shared" si="76"/>
        <v>-141852.54999999999</v>
      </c>
      <c r="AE2270" s="20">
        <f t="shared" si="76"/>
        <v>-193802.3</v>
      </c>
      <c r="AF2270" s="20">
        <f t="shared" si="76"/>
        <v>-492228.78</v>
      </c>
      <c r="AG2270" s="20">
        <f t="shared" si="76"/>
        <v>-610180.35</v>
      </c>
      <c r="AH2270" s="20">
        <f t="shared" si="76"/>
        <v>-733988</v>
      </c>
      <c r="AI2270" s="20">
        <f t="shared" si="76"/>
        <v>-817268.55</v>
      </c>
      <c r="AJ2270" s="20">
        <f t="shared" si="76"/>
        <v>-877889.35</v>
      </c>
      <c r="AK2270" s="20">
        <f t="shared" si="76"/>
        <v>-926645.07</v>
      </c>
      <c r="AL2270" s="20">
        <f t="shared" si="76"/>
        <v>0</v>
      </c>
      <c r="AM2270" s="20">
        <f t="shared" si="76"/>
        <v>-5283.23</v>
      </c>
      <c r="AN2270" s="20">
        <f t="shared" si="76"/>
        <v>-22038.32</v>
      </c>
      <c r="AO2270" s="20">
        <f t="shared" si="76"/>
        <v>-256834.23</v>
      </c>
    </row>
    <row r="2271" spans="1:41" ht="14.25" x14ac:dyDescent="0.2">
      <c r="A2271" s="2">
        <v>290101</v>
      </c>
      <c r="B2271" s="3" t="s">
        <v>576</v>
      </c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  <c r="AO2271" s="9"/>
    </row>
    <row r="2272" spans="1:41" ht="28.5" x14ac:dyDescent="0.2">
      <c r="A2272" s="2">
        <v>29010101</v>
      </c>
      <c r="B2272" s="4" t="s">
        <v>577</v>
      </c>
      <c r="C2272" s="11"/>
      <c r="D2272" s="11"/>
      <c r="E2272" s="11"/>
      <c r="F2272" s="11"/>
      <c r="G2272" s="11"/>
      <c r="H2272" s="11"/>
      <c r="I2272" s="11"/>
      <c r="J2272" s="11"/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1"/>
      <c r="AF2272" s="11"/>
      <c r="AG2272" s="11"/>
      <c r="AH2272" s="11"/>
      <c r="AI2272" s="11"/>
      <c r="AJ2272" s="11"/>
      <c r="AK2272" s="11"/>
      <c r="AL2272" s="11"/>
      <c r="AM2272" s="11"/>
      <c r="AN2272" s="11"/>
      <c r="AO2272" s="11"/>
    </row>
    <row r="2273" spans="1:41" ht="14.25" x14ac:dyDescent="0.2">
      <c r="A2273" s="2">
        <v>29010103</v>
      </c>
      <c r="B2273" s="3" t="s">
        <v>183</v>
      </c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  <c r="AO2273" s="9"/>
    </row>
    <row r="2274" spans="1:41" ht="14.25" x14ac:dyDescent="0.2">
      <c r="A2274" s="2">
        <v>29010104</v>
      </c>
      <c r="B2274" s="3" t="s">
        <v>182</v>
      </c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9"/>
      <c r="AF2274" s="9"/>
      <c r="AG2274" s="9"/>
      <c r="AH2274" s="9"/>
      <c r="AI2274" s="9"/>
      <c r="AJ2274" s="9"/>
      <c r="AK2274" s="9"/>
      <c r="AL2274" s="9"/>
      <c r="AM2274" s="9"/>
      <c r="AN2274" s="9"/>
      <c r="AO2274" s="9"/>
    </row>
    <row r="2275" spans="1:41" ht="14.25" x14ac:dyDescent="0.2">
      <c r="A2275" s="2">
        <v>29010105</v>
      </c>
      <c r="B2275" s="3" t="s">
        <v>578</v>
      </c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9"/>
    </row>
    <row r="2276" spans="1:41" ht="14.25" x14ac:dyDescent="0.2">
      <c r="A2276" s="2">
        <v>29010106</v>
      </c>
      <c r="B2276" s="3" t="s">
        <v>579</v>
      </c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  <c r="AO2276" s="9"/>
    </row>
    <row r="2277" spans="1:41" ht="14.25" x14ac:dyDescent="0.2">
      <c r="A2277" s="2">
        <v>290102</v>
      </c>
      <c r="B2277" s="3" t="s">
        <v>580</v>
      </c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9"/>
      <c r="AF2277" s="9"/>
      <c r="AG2277" s="9"/>
      <c r="AH2277" s="9"/>
      <c r="AI2277" s="9"/>
      <c r="AJ2277" s="9"/>
      <c r="AK2277" s="9"/>
      <c r="AL2277" s="9"/>
      <c r="AM2277" s="9"/>
      <c r="AN2277" s="9"/>
      <c r="AO2277" s="9"/>
    </row>
    <row r="2278" spans="1:41" s="15" customFormat="1" ht="14.25" x14ac:dyDescent="0.2">
      <c r="A2278" s="18" t="s">
        <v>1645</v>
      </c>
      <c r="B2278" s="19" t="s">
        <v>1646</v>
      </c>
      <c r="C2278" s="20">
        <v>0</v>
      </c>
      <c r="D2278" s="20">
        <v>-134451.31</v>
      </c>
      <c r="E2278" s="20">
        <v>-239737.66</v>
      </c>
      <c r="F2278" s="20">
        <v>-442099.02</v>
      </c>
      <c r="G2278" s="20">
        <v>-547084.31000000006</v>
      </c>
      <c r="H2278" s="20">
        <v>-586727</v>
      </c>
      <c r="I2278" s="20">
        <v>-587799.09</v>
      </c>
      <c r="J2278" s="20">
        <v>-582859.48</v>
      </c>
      <c r="K2278" s="20">
        <v>-481204.32</v>
      </c>
      <c r="L2278" s="20">
        <v>-332800</v>
      </c>
      <c r="M2278" s="20">
        <v>-165905.63</v>
      </c>
      <c r="N2278" s="20">
        <v>0</v>
      </c>
      <c r="O2278" s="20"/>
      <c r="P2278" s="20"/>
      <c r="Q2278" s="20"/>
      <c r="R2278" s="20">
        <v>-68810.06</v>
      </c>
      <c r="S2278" s="20">
        <v>-113062.87</v>
      </c>
      <c r="T2278" s="20">
        <v>-422477.26</v>
      </c>
      <c r="U2278" s="20">
        <v>-528487.06999999995</v>
      </c>
      <c r="V2278" s="20">
        <v>-708690.35</v>
      </c>
      <c r="W2278" s="20">
        <v>-785674.04</v>
      </c>
      <c r="X2278" s="20">
        <v>-849571.09</v>
      </c>
      <c r="Y2278" s="20">
        <v>-877833.89</v>
      </c>
      <c r="Z2278" s="20">
        <v>0</v>
      </c>
      <c r="AA2278" s="20">
        <v>-2361.08</v>
      </c>
      <c r="AB2278" s="20">
        <v>-5905.12</v>
      </c>
      <c r="AC2278" s="20">
        <v>-86956.57</v>
      </c>
      <c r="AD2278" s="20">
        <v>-141852.54999999999</v>
      </c>
      <c r="AE2278" s="20">
        <v>-193802.3</v>
      </c>
      <c r="AF2278" s="20">
        <v>-492228.78</v>
      </c>
      <c r="AG2278" s="20">
        <v>-610180.35</v>
      </c>
      <c r="AH2278" s="20">
        <v>-733988</v>
      </c>
      <c r="AI2278" s="20">
        <v>-817268.55</v>
      </c>
      <c r="AJ2278" s="20">
        <v>-877889.35</v>
      </c>
      <c r="AK2278" s="20">
        <v>-926645.07</v>
      </c>
      <c r="AL2278" s="20">
        <v>0</v>
      </c>
      <c r="AM2278" s="20">
        <v>-5283.23</v>
      </c>
      <c r="AN2278" s="20">
        <v>-22038.32</v>
      </c>
      <c r="AO2278" s="20">
        <v>-256834.23</v>
      </c>
    </row>
    <row r="2279" spans="1:41" ht="14.25" x14ac:dyDescent="0.2">
      <c r="A2279" s="2">
        <v>29010205</v>
      </c>
      <c r="B2279" s="3" t="s">
        <v>578</v>
      </c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  <c r="AF2279" s="9"/>
      <c r="AG2279" s="9"/>
      <c r="AH2279" s="9"/>
      <c r="AI2279" s="9"/>
      <c r="AJ2279" s="9"/>
      <c r="AK2279" s="9"/>
      <c r="AL2279" s="9"/>
      <c r="AM2279" s="9"/>
      <c r="AN2279" s="9"/>
      <c r="AO2279" s="9"/>
    </row>
    <row r="2280" spans="1:41" ht="14.25" x14ac:dyDescent="0.2">
      <c r="A2280" s="2">
        <v>29010206</v>
      </c>
      <c r="B2280" s="3" t="s">
        <v>579</v>
      </c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  <c r="AO2280" s="9"/>
    </row>
    <row r="2281" spans="1:41" ht="14.25" x14ac:dyDescent="0.2">
      <c r="A2281" s="2">
        <v>29010207</v>
      </c>
      <c r="B2281" s="3" t="s">
        <v>582</v>
      </c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  <c r="AO2281" s="9"/>
    </row>
    <row r="2282" spans="1:41" ht="14.25" x14ac:dyDescent="0.2">
      <c r="A2282" s="2">
        <v>290107</v>
      </c>
      <c r="B2282" s="3" t="s">
        <v>583</v>
      </c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  <c r="AO2282" s="9"/>
    </row>
    <row r="2283" spans="1:41" ht="14.25" x14ac:dyDescent="0.2">
      <c r="A2283" s="2">
        <v>29010701</v>
      </c>
      <c r="B2283" s="3" t="s">
        <v>584</v>
      </c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  <c r="AO2283" s="9"/>
    </row>
    <row r="2284" spans="1:41" ht="14.25" x14ac:dyDescent="0.2">
      <c r="A2284" s="2">
        <v>29010702</v>
      </c>
      <c r="B2284" s="3" t="s">
        <v>585</v>
      </c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  <c r="AB2284" s="9"/>
      <c r="AC2284" s="9"/>
      <c r="AD2284" s="9"/>
      <c r="AE2284" s="9"/>
      <c r="AF2284" s="9"/>
      <c r="AG2284" s="9"/>
      <c r="AH2284" s="9"/>
      <c r="AI2284" s="9"/>
      <c r="AJ2284" s="9"/>
      <c r="AK2284" s="9"/>
      <c r="AL2284" s="9"/>
      <c r="AM2284" s="9"/>
      <c r="AN2284" s="9"/>
      <c r="AO2284" s="9"/>
    </row>
    <row r="2285" spans="1:41" ht="14.25" x14ac:dyDescent="0.2">
      <c r="A2285" s="2">
        <v>2901070201</v>
      </c>
      <c r="B2285" s="3" t="s">
        <v>586</v>
      </c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  <c r="AO2285" s="9"/>
    </row>
    <row r="2286" spans="1:41" ht="14.25" x14ac:dyDescent="0.2">
      <c r="A2286" s="2">
        <v>2901070203</v>
      </c>
      <c r="B2286" s="3" t="s">
        <v>587</v>
      </c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  <c r="AO2286" s="9"/>
    </row>
    <row r="2287" spans="1:41" ht="14.25" x14ac:dyDescent="0.2">
      <c r="A2287" s="2">
        <v>2901070204</v>
      </c>
      <c r="B2287" s="3" t="s">
        <v>588</v>
      </c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  <c r="AO2287" s="9"/>
    </row>
    <row r="2288" spans="1:41" ht="14.25" x14ac:dyDescent="0.2">
      <c r="A2288" s="2">
        <v>2901070205</v>
      </c>
      <c r="B2288" s="3" t="s">
        <v>589</v>
      </c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  <c r="AO2288" s="9"/>
    </row>
    <row r="2289" spans="1:41" ht="14.25" x14ac:dyDescent="0.2">
      <c r="A2289" s="2">
        <v>2901070206</v>
      </c>
      <c r="B2289" s="3" t="s">
        <v>590</v>
      </c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  <c r="AO2289" s="9"/>
    </row>
    <row r="2290" spans="1:41" ht="14.25" x14ac:dyDescent="0.2">
      <c r="A2290" s="2">
        <v>29010705</v>
      </c>
      <c r="B2290" s="3" t="s">
        <v>591</v>
      </c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  <c r="AO2290" s="9"/>
    </row>
    <row r="2291" spans="1:41" ht="14.25" x14ac:dyDescent="0.2">
      <c r="A2291" s="2">
        <v>29010709</v>
      </c>
      <c r="B2291" s="3" t="s">
        <v>59</v>
      </c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  <c r="AO2291" s="9"/>
    </row>
    <row r="2292" spans="1:41" ht="14.25" x14ac:dyDescent="0.2">
      <c r="A2292" s="2">
        <v>290108</v>
      </c>
      <c r="B2292" s="3" t="s">
        <v>592</v>
      </c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  <c r="AO2292" s="9"/>
    </row>
    <row r="2293" spans="1:41" ht="14.25" x14ac:dyDescent="0.2">
      <c r="A2293" s="2">
        <v>29010801</v>
      </c>
      <c r="B2293" s="3" t="s">
        <v>593</v>
      </c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  <c r="AO2293" s="9"/>
    </row>
    <row r="2294" spans="1:41" ht="14.25" x14ac:dyDescent="0.2">
      <c r="A2294" s="2">
        <v>2901080101</v>
      </c>
      <c r="B2294" s="3" t="s">
        <v>581</v>
      </c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  <c r="AO2294" s="9"/>
    </row>
    <row r="2295" spans="1:41" ht="14.25" x14ac:dyDescent="0.2">
      <c r="A2295" s="2">
        <v>2901080103</v>
      </c>
      <c r="B2295" s="3" t="s">
        <v>183</v>
      </c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  <c r="AO2295" s="9"/>
    </row>
    <row r="2296" spans="1:41" ht="14.25" x14ac:dyDescent="0.2">
      <c r="A2296" s="2">
        <v>2901080104</v>
      </c>
      <c r="B2296" s="3" t="s">
        <v>182</v>
      </c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  <c r="AO2296" s="9"/>
    </row>
    <row r="2297" spans="1:41" ht="14.25" x14ac:dyDescent="0.2">
      <c r="A2297" s="2">
        <v>2901080105</v>
      </c>
      <c r="B2297" s="3" t="s">
        <v>578</v>
      </c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  <c r="AO2297" s="9"/>
    </row>
    <row r="2298" spans="1:41" ht="14.25" x14ac:dyDescent="0.2">
      <c r="A2298" s="2">
        <v>2901080106</v>
      </c>
      <c r="B2298" s="3" t="s">
        <v>579</v>
      </c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  <c r="AO2298" s="9"/>
    </row>
    <row r="2299" spans="1:41" ht="14.25" x14ac:dyDescent="0.2">
      <c r="A2299" s="2">
        <v>29010809</v>
      </c>
      <c r="B2299" s="3" t="s">
        <v>59</v>
      </c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  <c r="AO2299" s="9"/>
    </row>
    <row r="2300" spans="1:41" ht="14.25" x14ac:dyDescent="0.2">
      <c r="A2300" s="2">
        <v>290109</v>
      </c>
      <c r="B2300" s="3" t="s">
        <v>594</v>
      </c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  <c r="AO2300" s="9"/>
    </row>
    <row r="2301" spans="1:41" ht="14.25" x14ac:dyDescent="0.2">
      <c r="A2301" s="2">
        <v>2902</v>
      </c>
      <c r="B2301" s="3" t="s">
        <v>595</v>
      </c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  <c r="AO2301" s="9"/>
    </row>
    <row r="2302" spans="1:41" ht="14.25" x14ac:dyDescent="0.2">
      <c r="A2302" s="2">
        <v>290201</v>
      </c>
      <c r="B2302" s="3" t="s">
        <v>596</v>
      </c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  <c r="AO2302" s="9"/>
    </row>
    <row r="2303" spans="1:41" ht="14.25" x14ac:dyDescent="0.2">
      <c r="A2303" s="2">
        <v>2903</v>
      </c>
      <c r="B2303" s="3" t="s">
        <v>377</v>
      </c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  <c r="AO2303" s="9"/>
    </row>
    <row r="2304" spans="1:41" ht="14.25" x14ac:dyDescent="0.2">
      <c r="A2304" s="2">
        <v>290301</v>
      </c>
      <c r="B2304" s="3" t="s">
        <v>597</v>
      </c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  <c r="AO2304" s="9"/>
    </row>
    <row r="2305" spans="1:41" ht="14.25" x14ac:dyDescent="0.2">
      <c r="A2305" s="2">
        <v>2908</v>
      </c>
      <c r="B2305" s="3" t="s">
        <v>397</v>
      </c>
      <c r="C2305" s="20">
        <f>SUM(C2309:C2330)</f>
        <v>-2123226.71</v>
      </c>
      <c r="D2305" s="20">
        <f t="shared" ref="D2305:AO2305" si="77">SUM(D2309:D2330)</f>
        <v>-3253613.89</v>
      </c>
      <c r="E2305" s="20">
        <f t="shared" si="77"/>
        <v>-2561444.8699999996</v>
      </c>
      <c r="F2305" s="20">
        <f t="shared" si="77"/>
        <v>-2563375.8099999996</v>
      </c>
      <c r="G2305" s="20">
        <f t="shared" si="77"/>
        <v>-2369673.0499999998</v>
      </c>
      <c r="H2305" s="20">
        <f t="shared" si="77"/>
        <v>-2211722.8499999996</v>
      </c>
      <c r="I2305" s="20">
        <f t="shared" si="77"/>
        <v>-3179622.08</v>
      </c>
      <c r="J2305" s="20">
        <f t="shared" si="77"/>
        <v>-2190214.6399999997</v>
      </c>
      <c r="K2305" s="20">
        <f t="shared" si="77"/>
        <v>-1985620.3199999998</v>
      </c>
      <c r="L2305" s="20">
        <f t="shared" si="77"/>
        <v>-1917233.01</v>
      </c>
      <c r="M2305" s="20">
        <f t="shared" si="77"/>
        <v>-4808121.3099999996</v>
      </c>
      <c r="N2305" s="20">
        <f t="shared" si="77"/>
        <v>-2616354.85</v>
      </c>
      <c r="O2305" s="20">
        <f t="shared" si="77"/>
        <v>-3386527.49</v>
      </c>
      <c r="P2305" s="20">
        <f t="shared" si="77"/>
        <v>-4190217.58</v>
      </c>
      <c r="Q2305" s="20">
        <f t="shared" si="77"/>
        <v>-5536089.1799999997</v>
      </c>
      <c r="R2305" s="20">
        <f t="shared" si="77"/>
        <v>-3672441.7900000005</v>
      </c>
      <c r="S2305" s="20">
        <f t="shared" si="77"/>
        <v>-3602098.4899999998</v>
      </c>
      <c r="T2305" s="20">
        <f t="shared" si="77"/>
        <v>-4528430.53</v>
      </c>
      <c r="U2305" s="20">
        <f t="shared" si="77"/>
        <v>-4105627.4200000004</v>
      </c>
      <c r="V2305" s="20">
        <f t="shared" si="77"/>
        <v>-4216418.9300000006</v>
      </c>
      <c r="W2305" s="20">
        <f t="shared" si="77"/>
        <v>-3773310.26</v>
      </c>
      <c r="X2305" s="20">
        <f t="shared" si="77"/>
        <v>-3394629.19</v>
      </c>
      <c r="Y2305" s="20">
        <f t="shared" si="77"/>
        <v>-3218820.39</v>
      </c>
      <c r="Z2305" s="20">
        <f t="shared" si="77"/>
        <v>-3691685.0199999996</v>
      </c>
      <c r="AA2305" s="20">
        <f t="shared" si="77"/>
        <v>-3945754.46</v>
      </c>
      <c r="AB2305" s="20">
        <f t="shared" si="77"/>
        <v>-3763681.6700000004</v>
      </c>
      <c r="AC2305" s="20">
        <f t="shared" si="77"/>
        <v>-4256884.78</v>
      </c>
      <c r="AD2305" s="20">
        <f t="shared" si="77"/>
        <v>-4301104.0600000005</v>
      </c>
      <c r="AE2305" s="20">
        <f t="shared" si="77"/>
        <v>-5118765.29</v>
      </c>
      <c r="AF2305" s="20">
        <f t="shared" si="77"/>
        <v>-5295560.32</v>
      </c>
      <c r="AG2305" s="20">
        <f t="shared" si="77"/>
        <v>-4007864.1899999995</v>
      </c>
      <c r="AH2305" s="20">
        <f t="shared" si="77"/>
        <v>-4337102.57</v>
      </c>
      <c r="AI2305" s="20">
        <f t="shared" si="77"/>
        <v>-4547863.6399999997</v>
      </c>
      <c r="AJ2305" s="20">
        <f t="shared" si="77"/>
        <v>-4498321.4400000004</v>
      </c>
      <c r="AK2305" s="20">
        <f t="shared" si="77"/>
        <v>-4510896.290000001</v>
      </c>
      <c r="AL2305" s="20">
        <f t="shared" si="77"/>
        <v>-3975055.5699999994</v>
      </c>
      <c r="AM2305" s="20">
        <f t="shared" si="77"/>
        <v>-4259376.7699999996</v>
      </c>
      <c r="AN2305" s="20">
        <f t="shared" si="77"/>
        <v>-3679483.82</v>
      </c>
      <c r="AO2305" s="20">
        <f t="shared" si="77"/>
        <v>-3680461.5500000003</v>
      </c>
    </row>
    <row r="2306" spans="1:41" ht="14.25" x14ac:dyDescent="0.2">
      <c r="A2306" s="2">
        <v>290804</v>
      </c>
      <c r="B2306" s="3" t="s">
        <v>401</v>
      </c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  <c r="AO2306" s="9"/>
    </row>
    <row r="2307" spans="1:41" ht="14.25" x14ac:dyDescent="0.2">
      <c r="A2307" s="2">
        <v>290805</v>
      </c>
      <c r="B2307" s="3" t="s">
        <v>402</v>
      </c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  <c r="AO2307" s="9"/>
    </row>
    <row r="2308" spans="1:41" ht="14.25" x14ac:dyDescent="0.2">
      <c r="A2308" s="2">
        <v>290806</v>
      </c>
      <c r="B2308" s="3" t="s">
        <v>598</v>
      </c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9"/>
    </row>
    <row r="2309" spans="1:41" s="15" customFormat="1" ht="14.25" x14ac:dyDescent="0.2">
      <c r="A2309" s="18" t="s">
        <v>1647</v>
      </c>
      <c r="B2309" s="19" t="s">
        <v>1648</v>
      </c>
      <c r="C2309" s="20">
        <v>-274609.40000000002</v>
      </c>
      <c r="D2309" s="20">
        <v>-1075710.67</v>
      </c>
      <c r="E2309" s="20">
        <v>-811600.11</v>
      </c>
      <c r="F2309" s="20">
        <v>-811846.57</v>
      </c>
      <c r="G2309" s="20">
        <v>-244178.2</v>
      </c>
      <c r="H2309" s="20">
        <v>-86835.17</v>
      </c>
      <c r="I2309" s="20">
        <v>-107276.2</v>
      </c>
      <c r="J2309" s="20">
        <v>-80091.22</v>
      </c>
      <c r="K2309" s="20">
        <v>-81900.179999999993</v>
      </c>
      <c r="L2309" s="20">
        <v>-79882.78</v>
      </c>
      <c r="M2309" s="20">
        <v>-488348.62</v>
      </c>
      <c r="N2309" s="20">
        <v>-94033.919999999998</v>
      </c>
      <c r="O2309" s="20">
        <v>-97859.61</v>
      </c>
      <c r="P2309" s="20">
        <v>-131875.70000000001</v>
      </c>
      <c r="Q2309" s="20">
        <v>-846398.17</v>
      </c>
      <c r="R2309" s="20">
        <v>-102589.24</v>
      </c>
      <c r="S2309" s="20">
        <v>-29999.32</v>
      </c>
      <c r="T2309" s="20">
        <v>-55222.71</v>
      </c>
      <c r="U2309" s="20">
        <v>-49990.86</v>
      </c>
      <c r="V2309" s="20">
        <v>-76970.98</v>
      </c>
      <c r="W2309" s="20">
        <v>-57672.32</v>
      </c>
      <c r="X2309" s="20">
        <v>-46733.46</v>
      </c>
      <c r="Y2309" s="20">
        <v>-45835.14</v>
      </c>
      <c r="Z2309" s="20">
        <v>-41078.58</v>
      </c>
      <c r="AA2309" s="20">
        <v>-43846.14</v>
      </c>
      <c r="AB2309" s="20">
        <v>-65319.07</v>
      </c>
      <c r="AC2309" s="20">
        <v>-66041.64</v>
      </c>
      <c r="AD2309" s="20">
        <v>-110448.87</v>
      </c>
      <c r="AE2309" s="20">
        <v>-105452.59</v>
      </c>
      <c r="AF2309" s="20">
        <v>-152160.4</v>
      </c>
      <c r="AG2309" s="20">
        <v>-56866.5</v>
      </c>
      <c r="AH2309" s="20">
        <v>-41115.26</v>
      </c>
      <c r="AI2309" s="20">
        <v>-39943.78</v>
      </c>
      <c r="AJ2309" s="20">
        <v>-40710.78</v>
      </c>
      <c r="AK2309" s="20">
        <v>-38895.82</v>
      </c>
      <c r="AL2309" s="20">
        <v>-39689.54</v>
      </c>
      <c r="AM2309" s="20">
        <v>-38985.42</v>
      </c>
      <c r="AN2309" s="20">
        <v>-39149.08</v>
      </c>
      <c r="AO2309" s="20">
        <v>-40432.6</v>
      </c>
    </row>
    <row r="2310" spans="1:41" s="15" customFormat="1" ht="14.25" x14ac:dyDescent="0.2">
      <c r="A2310" s="18" t="s">
        <v>1649</v>
      </c>
      <c r="B2310" s="19" t="s">
        <v>1650</v>
      </c>
      <c r="C2310" s="20">
        <v>-229631.94</v>
      </c>
      <c r="D2310" s="20">
        <v>-240699.64</v>
      </c>
      <c r="E2310" s="20">
        <v>-243396.67</v>
      </c>
      <c r="F2310" s="20">
        <v>-293221.3</v>
      </c>
      <c r="G2310" s="20">
        <v>-294527.63</v>
      </c>
      <c r="H2310" s="20">
        <v>-303766.17</v>
      </c>
      <c r="I2310" s="20">
        <v>-310782.90000000002</v>
      </c>
      <c r="J2310" s="20">
        <v>-332876.84999999998</v>
      </c>
      <c r="K2310" s="20">
        <v>-349915.4</v>
      </c>
      <c r="L2310" s="20">
        <v>-401828.84</v>
      </c>
      <c r="M2310" s="20">
        <v>-407261.59</v>
      </c>
      <c r="N2310" s="20">
        <v>-442862.64</v>
      </c>
      <c r="O2310" s="20">
        <v>-466686.33</v>
      </c>
      <c r="P2310" s="20">
        <v>-441374.47</v>
      </c>
      <c r="Q2310" s="20">
        <v>-644103.4</v>
      </c>
      <c r="R2310" s="20">
        <v>-441484.37</v>
      </c>
      <c r="S2310" s="20">
        <v>-644672.6</v>
      </c>
      <c r="T2310" s="20">
        <v>-840656.98</v>
      </c>
      <c r="U2310" s="20">
        <v>-727244.81</v>
      </c>
      <c r="V2310" s="20">
        <v>-794921.49</v>
      </c>
      <c r="W2310" s="20">
        <v>-815291.94</v>
      </c>
      <c r="X2310" s="20">
        <v>-623361.44999999995</v>
      </c>
      <c r="Y2310" s="20">
        <v>-610466.13</v>
      </c>
      <c r="Z2310" s="20">
        <v>-641641.68000000005</v>
      </c>
      <c r="AA2310" s="20">
        <v>-812433.12</v>
      </c>
      <c r="AB2310" s="20">
        <v>-788270.84</v>
      </c>
      <c r="AC2310" s="20">
        <v>-768786.2</v>
      </c>
      <c r="AD2310" s="20">
        <v>-904068.48</v>
      </c>
      <c r="AE2310" s="20">
        <v>-767344.08</v>
      </c>
      <c r="AF2310" s="20">
        <v>-797867.14</v>
      </c>
      <c r="AG2310" s="20">
        <v>-746566.03</v>
      </c>
      <c r="AH2310" s="20">
        <v>-755100.46</v>
      </c>
      <c r="AI2310" s="20">
        <v>-788941.53</v>
      </c>
      <c r="AJ2310" s="20">
        <v>-831751.04</v>
      </c>
      <c r="AK2310" s="20">
        <v>-745422.63</v>
      </c>
      <c r="AL2310" s="20">
        <v>-714013.07</v>
      </c>
      <c r="AM2310" s="20">
        <v>-694858.39</v>
      </c>
      <c r="AN2310" s="20">
        <v>-711532.55</v>
      </c>
      <c r="AO2310" s="20">
        <v>-128785.27</v>
      </c>
    </row>
    <row r="2311" spans="1:41" s="15" customFormat="1" ht="14.25" x14ac:dyDescent="0.2">
      <c r="A2311" s="18" t="s">
        <v>1651</v>
      </c>
      <c r="B2311" s="19" t="s">
        <v>1652</v>
      </c>
      <c r="C2311" s="20">
        <v>-1497773.63</v>
      </c>
      <c r="D2311" s="20">
        <v>-1885931.77</v>
      </c>
      <c r="E2311" s="20">
        <v>-1469806.91</v>
      </c>
      <c r="F2311" s="20">
        <v>-1398994.41</v>
      </c>
      <c r="G2311" s="20">
        <v>-1662670.47</v>
      </c>
      <c r="H2311" s="20">
        <v>-1754911.96</v>
      </c>
      <c r="I2311" s="20">
        <v>-2718489.75</v>
      </c>
      <c r="J2311" s="20">
        <v>-1668885.19</v>
      </c>
      <c r="K2311" s="20">
        <v>-1487374.47</v>
      </c>
      <c r="L2311" s="20">
        <v>-1369388.48</v>
      </c>
      <c r="M2311" s="20">
        <v>-4249742.41</v>
      </c>
      <c r="N2311" s="20">
        <v>-664193.41</v>
      </c>
      <c r="O2311" s="20">
        <v>-909854.65</v>
      </c>
      <c r="P2311" s="20">
        <v>-1376420.16</v>
      </c>
      <c r="Q2311" s="20">
        <v>-1788506.31</v>
      </c>
      <c r="R2311" s="20">
        <v>-596663.05000000005</v>
      </c>
      <c r="S2311" s="20">
        <v>-426140.13</v>
      </c>
      <c r="T2311" s="20">
        <v>-1367276.77</v>
      </c>
      <c r="U2311" s="20">
        <v>-1036475.4</v>
      </c>
      <c r="V2311" s="20">
        <v>-1043567.53</v>
      </c>
      <c r="W2311" s="20">
        <v>-678563.4</v>
      </c>
      <c r="X2311" s="20">
        <v>-564612.39</v>
      </c>
      <c r="Y2311" s="20">
        <v>-384787.06</v>
      </c>
      <c r="Z2311" s="20">
        <v>-389893.48</v>
      </c>
      <c r="AA2311" s="20">
        <v>-878327.99</v>
      </c>
      <c r="AB2311" s="20">
        <v>-579188.26</v>
      </c>
      <c r="AC2311" s="20">
        <v>-983574.84</v>
      </c>
      <c r="AD2311" s="20">
        <v>-874782.28</v>
      </c>
      <c r="AE2311" s="20">
        <v>-1508183.07</v>
      </c>
      <c r="AF2311" s="20">
        <v>-1350578.79</v>
      </c>
      <c r="AG2311" s="20">
        <v>-1129972.3899999999</v>
      </c>
      <c r="AH2311" s="20">
        <v>-1393783.21</v>
      </c>
      <c r="AI2311" s="20">
        <v>-1316153.42</v>
      </c>
      <c r="AJ2311" s="20">
        <v>-1390228.68</v>
      </c>
      <c r="AK2311" s="20">
        <v>-1363351.62</v>
      </c>
      <c r="AL2311" s="20">
        <v>-1191354.44</v>
      </c>
      <c r="AM2311" s="20">
        <v>-1542942.4</v>
      </c>
      <c r="AN2311" s="20">
        <v>-862148.52</v>
      </c>
      <c r="AO2311" s="20">
        <v>-1122844.33</v>
      </c>
    </row>
    <row r="2312" spans="1:41" s="15" customFormat="1" ht="14.25" x14ac:dyDescent="0.2">
      <c r="A2312" s="18" t="s">
        <v>1653</v>
      </c>
      <c r="B2312" s="19" t="s">
        <v>1654</v>
      </c>
      <c r="C2312" s="20">
        <v>-78469.94</v>
      </c>
      <c r="D2312" s="20">
        <v>-14769.94</v>
      </c>
      <c r="E2312" s="20">
        <v>-16117.36</v>
      </c>
      <c r="F2312" s="20">
        <v>-40699.47</v>
      </c>
      <c r="G2312" s="20">
        <v>-86545.53</v>
      </c>
      <c r="H2312" s="20">
        <v>-56786.54</v>
      </c>
      <c r="I2312" s="20">
        <v>-18701.8</v>
      </c>
      <c r="J2312" s="20">
        <v>-74499.490000000005</v>
      </c>
      <c r="K2312" s="20">
        <v>-29587.439999999999</v>
      </c>
      <c r="L2312" s="20">
        <v>-12807.09</v>
      </c>
      <c r="M2312" s="20">
        <v>-12428.24</v>
      </c>
      <c r="N2312" s="20">
        <v>-15414.98</v>
      </c>
      <c r="O2312" s="20">
        <v>-16328.03</v>
      </c>
      <c r="P2312" s="20">
        <v>-8927.5300000000007</v>
      </c>
      <c r="Q2312" s="20">
        <v>-41430.03</v>
      </c>
      <c r="R2312" s="20">
        <v>-27370.09</v>
      </c>
      <c r="S2312" s="20">
        <v>-31927.89</v>
      </c>
      <c r="T2312" s="20">
        <v>-29014.59</v>
      </c>
      <c r="U2312" s="20">
        <v>-6762.53</v>
      </c>
      <c r="V2312" s="20">
        <v>-18756.900000000001</v>
      </c>
      <c r="W2312" s="20">
        <v>-52645.95</v>
      </c>
      <c r="X2312" s="20">
        <v>-2117.63</v>
      </c>
      <c r="Y2312" s="20">
        <v>-914.41</v>
      </c>
      <c r="Z2312" s="20">
        <v>-1133.4100000000001</v>
      </c>
      <c r="AA2312" s="20">
        <v>-1052.31</v>
      </c>
      <c r="AB2312" s="20">
        <v>-1395.61</v>
      </c>
      <c r="AC2312" s="20">
        <v>-1222.31</v>
      </c>
      <c r="AD2312" s="20">
        <v>-1076.51</v>
      </c>
      <c r="AE2312" s="20">
        <v>-78952.12</v>
      </c>
      <c r="AF2312" s="20">
        <v>-77818.740000000005</v>
      </c>
      <c r="AG2312" s="20">
        <v>-34702.639999999999</v>
      </c>
      <c r="AH2312" s="20">
        <v>-8186.59</v>
      </c>
      <c r="AI2312" s="20">
        <v>-42205.64</v>
      </c>
      <c r="AJ2312" s="20">
        <v>-1826.54</v>
      </c>
      <c r="AK2312" s="20">
        <v>-2878.74</v>
      </c>
      <c r="AL2312" s="20">
        <v>-48733.68</v>
      </c>
      <c r="AM2312" s="20">
        <v>-4020.88</v>
      </c>
      <c r="AN2312" s="20">
        <v>-6844.88</v>
      </c>
      <c r="AO2312" s="20">
        <v>-2891.11</v>
      </c>
    </row>
    <row r="2313" spans="1:41" s="15" customFormat="1" ht="14.25" x14ac:dyDescent="0.2">
      <c r="A2313" s="18" t="s">
        <v>1655</v>
      </c>
      <c r="B2313" s="19" t="s">
        <v>1656</v>
      </c>
      <c r="C2313" s="20">
        <v>-66264.19</v>
      </c>
      <c r="D2313" s="20">
        <v>-49918.82</v>
      </c>
      <c r="E2313" s="20">
        <v>-20523.82</v>
      </c>
      <c r="F2313" s="20">
        <v>-6557.82</v>
      </c>
      <c r="G2313" s="20">
        <v>-8293.1</v>
      </c>
      <c r="H2313" s="20">
        <v>-9423.01</v>
      </c>
      <c r="I2313" s="20">
        <v>-14712.52</v>
      </c>
      <c r="J2313" s="20">
        <v>-11128.82</v>
      </c>
      <c r="K2313" s="20">
        <v>-8540.92</v>
      </c>
      <c r="L2313" s="20">
        <v>-11415.9</v>
      </c>
      <c r="M2313" s="20">
        <v>-7696.22</v>
      </c>
      <c r="N2313" s="20">
        <v>-34119.379999999997</v>
      </c>
      <c r="O2313" s="20">
        <v>-11948.81</v>
      </c>
      <c r="P2313" s="20">
        <v>-25780.75</v>
      </c>
      <c r="Q2313" s="20">
        <v>-34066.910000000003</v>
      </c>
      <c r="R2313" s="20">
        <v>-10329.049999999999</v>
      </c>
      <c r="S2313" s="20">
        <v>-11464.21</v>
      </c>
      <c r="T2313" s="20">
        <v>-16414.080000000002</v>
      </c>
      <c r="U2313" s="20">
        <v>-18132.2</v>
      </c>
      <c r="V2313" s="20">
        <v>-22462.6</v>
      </c>
      <c r="W2313" s="20">
        <v>-14648.91</v>
      </c>
      <c r="X2313" s="20">
        <v>15647.54</v>
      </c>
      <c r="Y2313" s="20">
        <v>17550.89</v>
      </c>
      <c r="Z2313" s="20">
        <v>0</v>
      </c>
      <c r="AA2313" s="20">
        <v>96.95</v>
      </c>
      <c r="AB2313" s="20">
        <v>-2964.55</v>
      </c>
      <c r="AC2313" s="20">
        <v>-17392.669999999998</v>
      </c>
      <c r="AD2313" s="20">
        <v>-737.46</v>
      </c>
      <c r="AE2313" s="20">
        <v>-832.92</v>
      </c>
      <c r="AF2313" s="20">
        <v>-3225.23</v>
      </c>
      <c r="AG2313" s="20">
        <v>-8398.92</v>
      </c>
      <c r="AH2313" s="20">
        <v>-7498.49</v>
      </c>
      <c r="AI2313" s="20">
        <v>-15181.33</v>
      </c>
      <c r="AJ2313" s="20">
        <v>-8988.89</v>
      </c>
      <c r="AK2313" s="20">
        <v>-13834</v>
      </c>
      <c r="AL2313" s="20">
        <v>-13132.17</v>
      </c>
      <c r="AM2313" s="20">
        <v>-13744.01</v>
      </c>
      <c r="AN2313" s="20">
        <v>-15861.78</v>
      </c>
      <c r="AO2313" s="20">
        <v>-35909.279999999999</v>
      </c>
    </row>
    <row r="2314" spans="1:41" ht="14.25" x14ac:dyDescent="0.2">
      <c r="A2314" s="2">
        <v>290807</v>
      </c>
      <c r="B2314" s="3" t="s">
        <v>404</v>
      </c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  <c r="AO2314" s="9"/>
    </row>
    <row r="2315" spans="1:41" s="15" customFormat="1" ht="14.25" x14ac:dyDescent="0.2">
      <c r="A2315" s="18" t="s">
        <v>1657</v>
      </c>
      <c r="B2315" s="19" t="s">
        <v>1658</v>
      </c>
      <c r="C2315" s="20"/>
      <c r="D2315" s="20"/>
      <c r="E2315" s="20"/>
      <c r="F2315" s="20">
        <v>-3632.8</v>
      </c>
      <c r="G2315" s="20">
        <v>0</v>
      </c>
      <c r="H2315" s="20"/>
      <c r="I2315" s="20"/>
      <c r="J2315" s="20"/>
      <c r="K2315" s="20"/>
      <c r="L2315" s="20"/>
      <c r="M2315" s="20"/>
      <c r="N2315" s="20"/>
      <c r="O2315" s="20"/>
      <c r="P2315" s="20"/>
      <c r="Q2315" s="20"/>
      <c r="R2315" s="20"/>
      <c r="S2315" s="20"/>
      <c r="T2315" s="20"/>
      <c r="U2315" s="20"/>
      <c r="V2315" s="20"/>
      <c r="W2315" s="20"/>
      <c r="X2315" s="20"/>
      <c r="Y2315" s="20"/>
      <c r="Z2315" s="20"/>
      <c r="AA2315" s="20"/>
      <c r="AB2315" s="20"/>
      <c r="AC2315" s="20"/>
      <c r="AD2315" s="20"/>
      <c r="AE2315" s="20"/>
      <c r="AF2315" s="20"/>
      <c r="AG2315" s="20"/>
      <c r="AH2315" s="20"/>
      <c r="AI2315" s="20"/>
      <c r="AJ2315" s="20"/>
      <c r="AK2315" s="20"/>
      <c r="AL2315" s="20"/>
      <c r="AM2315" s="20"/>
      <c r="AN2315" s="20"/>
      <c r="AO2315" s="20"/>
    </row>
    <row r="2316" spans="1:41" s="15" customFormat="1" ht="14.25" x14ac:dyDescent="0.2">
      <c r="A2316" s="18" t="s">
        <v>1659</v>
      </c>
      <c r="B2316" s="19" t="s">
        <v>1660</v>
      </c>
      <c r="C2316" s="20"/>
      <c r="D2316" s="20"/>
      <c r="E2316" s="20"/>
      <c r="F2316" s="20"/>
      <c r="G2316" s="20"/>
      <c r="H2316" s="20"/>
      <c r="I2316" s="20"/>
      <c r="J2316" s="20"/>
      <c r="K2316" s="20"/>
      <c r="L2316" s="20"/>
      <c r="M2316" s="20"/>
      <c r="N2316" s="20"/>
      <c r="O2316" s="20"/>
      <c r="P2316" s="20"/>
      <c r="Q2316" s="20"/>
      <c r="R2316" s="20"/>
      <c r="S2316" s="20"/>
      <c r="T2316" s="20"/>
      <c r="U2316" s="20">
        <v>-31677.23</v>
      </c>
      <c r="V2316" s="20">
        <v>-31677.23</v>
      </c>
      <c r="W2316" s="20">
        <v>0</v>
      </c>
      <c r="X2316" s="20"/>
      <c r="Y2316" s="20">
        <v>0</v>
      </c>
      <c r="Z2316" s="20"/>
      <c r="AA2316" s="20">
        <v>5309.26</v>
      </c>
      <c r="AB2316" s="20">
        <v>2700.11</v>
      </c>
      <c r="AC2316" s="20">
        <v>0</v>
      </c>
      <c r="AD2316" s="20">
        <v>0</v>
      </c>
      <c r="AE2316" s="20">
        <v>0</v>
      </c>
      <c r="AF2316" s="20">
        <v>-12053</v>
      </c>
      <c r="AG2316" s="20">
        <v>-16375.45</v>
      </c>
      <c r="AH2316" s="20">
        <v>10452.65</v>
      </c>
      <c r="AI2316" s="20">
        <v>0</v>
      </c>
      <c r="AJ2316" s="20">
        <v>-21764.95</v>
      </c>
      <c r="AK2316" s="20">
        <v>-19617.62</v>
      </c>
      <c r="AL2316" s="20">
        <v>-1658</v>
      </c>
      <c r="AM2316" s="20">
        <v>-2154.54</v>
      </c>
      <c r="AN2316" s="20">
        <v>0</v>
      </c>
      <c r="AO2316" s="20">
        <v>-24264.15</v>
      </c>
    </row>
    <row r="2317" spans="1:41" s="15" customFormat="1" ht="14.25" x14ac:dyDescent="0.2">
      <c r="A2317" s="18" t="s">
        <v>1661</v>
      </c>
      <c r="B2317" s="19" t="s">
        <v>1662</v>
      </c>
      <c r="C2317" s="20">
        <v>23522.39</v>
      </c>
      <c r="D2317" s="20">
        <v>23162.25</v>
      </c>
      <c r="E2317" s="20">
        <v>0</v>
      </c>
      <c r="F2317" s="20">
        <v>-20714.29</v>
      </c>
      <c r="G2317" s="20">
        <v>-63160.61</v>
      </c>
      <c r="H2317" s="20">
        <v>0</v>
      </c>
      <c r="I2317" s="20">
        <v>-10483.89</v>
      </c>
      <c r="J2317" s="20">
        <v>-21933.07</v>
      </c>
      <c r="K2317" s="20">
        <v>-25511.18</v>
      </c>
      <c r="L2317" s="20">
        <v>-44745.64</v>
      </c>
      <c r="M2317" s="20">
        <v>357886.86</v>
      </c>
      <c r="N2317" s="20">
        <v>558522.62</v>
      </c>
      <c r="O2317" s="20">
        <v>-32321.25</v>
      </c>
      <c r="P2317" s="20">
        <v>-137076.26999999999</v>
      </c>
      <c r="Q2317" s="20">
        <v>-37291.71</v>
      </c>
      <c r="R2317" s="20">
        <v>-127793.01</v>
      </c>
      <c r="S2317" s="20">
        <v>-32106.52</v>
      </c>
      <c r="T2317" s="20">
        <v>-31577.22</v>
      </c>
      <c r="U2317" s="20">
        <v>-30932.58</v>
      </c>
      <c r="V2317" s="20">
        <v>-39024.589999999997</v>
      </c>
      <c r="W2317" s="20">
        <v>0</v>
      </c>
      <c r="X2317" s="20">
        <v>-3256.56</v>
      </c>
      <c r="Y2317" s="20">
        <v>-9909.77</v>
      </c>
      <c r="Z2317" s="20">
        <v>0</v>
      </c>
      <c r="AA2317" s="20">
        <v>6697.43</v>
      </c>
      <c r="AB2317" s="20">
        <v>6697.43</v>
      </c>
      <c r="AC2317" s="20">
        <v>-13457.96</v>
      </c>
      <c r="AD2317" s="20">
        <v>-16807.3</v>
      </c>
      <c r="AE2317" s="20">
        <v>-18478.28</v>
      </c>
      <c r="AF2317" s="20">
        <v>-51847.85</v>
      </c>
      <c r="AG2317" s="20">
        <v>-33569.360000000001</v>
      </c>
      <c r="AH2317" s="20">
        <v>-34901.74</v>
      </c>
      <c r="AI2317" s="20">
        <v>0</v>
      </c>
      <c r="AJ2317" s="20">
        <v>-2548.6799999999998</v>
      </c>
      <c r="AK2317" s="20">
        <v>-2783.04</v>
      </c>
      <c r="AL2317" s="20">
        <v>0</v>
      </c>
      <c r="AM2317" s="20">
        <v>-36539.919999999998</v>
      </c>
      <c r="AN2317" s="20">
        <v>0</v>
      </c>
      <c r="AO2317" s="20">
        <v>0</v>
      </c>
    </row>
    <row r="2318" spans="1:41" s="15" customFormat="1" ht="14.25" x14ac:dyDescent="0.2">
      <c r="A2318" s="18" t="s">
        <v>1663</v>
      </c>
      <c r="B2318" s="19" t="s">
        <v>1664</v>
      </c>
      <c r="C2318" s="20">
        <v>0</v>
      </c>
      <c r="D2318" s="20">
        <v>-124.1</v>
      </c>
      <c r="E2318" s="20">
        <v>0</v>
      </c>
      <c r="F2318" s="20">
        <v>0</v>
      </c>
      <c r="G2318" s="20">
        <v>-122</v>
      </c>
      <c r="H2318" s="20">
        <v>0</v>
      </c>
      <c r="I2318" s="20">
        <v>-277.60000000000002</v>
      </c>
      <c r="J2318" s="20">
        <v>0</v>
      </c>
      <c r="K2318" s="20">
        <v>0</v>
      </c>
      <c r="L2318" s="20">
        <v>0</v>
      </c>
      <c r="M2318" s="20">
        <v>0</v>
      </c>
      <c r="N2318" s="20">
        <v>0</v>
      </c>
      <c r="O2318" s="20">
        <v>0</v>
      </c>
      <c r="P2318" s="20">
        <v>0</v>
      </c>
      <c r="Q2318" s="20">
        <v>-99.1</v>
      </c>
      <c r="R2318" s="20">
        <v>-82.5</v>
      </c>
      <c r="S2318" s="20">
        <v>-82.5</v>
      </c>
      <c r="T2318" s="20">
        <v>0</v>
      </c>
      <c r="U2318" s="20">
        <v>-126.1</v>
      </c>
      <c r="V2318" s="20">
        <v>-263.10000000000002</v>
      </c>
      <c r="W2318" s="20">
        <v>0</v>
      </c>
      <c r="X2318" s="20">
        <v>-609.6</v>
      </c>
      <c r="Y2318" s="20">
        <v>-35.200000000000003</v>
      </c>
      <c r="Z2318" s="20">
        <v>-882.9</v>
      </c>
      <c r="AA2318" s="20">
        <v>-294.39999999999998</v>
      </c>
      <c r="AB2318" s="20">
        <v>-577.1</v>
      </c>
      <c r="AC2318" s="20">
        <v>0</v>
      </c>
      <c r="AD2318" s="20">
        <v>-1000</v>
      </c>
      <c r="AE2318" s="20">
        <v>-1000</v>
      </c>
      <c r="AF2318" s="20">
        <v>-1000</v>
      </c>
      <c r="AG2318" s="20">
        <v>0</v>
      </c>
      <c r="AH2318" s="20">
        <v>-117.6</v>
      </c>
      <c r="AI2318" s="20">
        <v>-181.5</v>
      </c>
      <c r="AJ2318" s="20">
        <v>0</v>
      </c>
      <c r="AK2318" s="20">
        <v>0</v>
      </c>
      <c r="AL2318" s="20">
        <v>-100</v>
      </c>
      <c r="AM2318" s="20">
        <v>-199</v>
      </c>
      <c r="AN2318" s="20">
        <v>0</v>
      </c>
      <c r="AO2318" s="20">
        <v>0</v>
      </c>
    </row>
    <row r="2319" spans="1:41" s="15" customFormat="1" ht="14.25" x14ac:dyDescent="0.2">
      <c r="A2319" s="18" t="s">
        <v>1665</v>
      </c>
      <c r="B2319" s="19" t="s">
        <v>1666</v>
      </c>
      <c r="C2319" s="20">
        <v>0</v>
      </c>
      <c r="D2319" s="20">
        <v>-99.1</v>
      </c>
      <c r="E2319" s="20">
        <v>0</v>
      </c>
      <c r="F2319" s="20">
        <v>4864.4399999999996</v>
      </c>
      <c r="G2319" s="20">
        <v>6310.34</v>
      </c>
      <c r="H2319" s="20">
        <v>0</v>
      </c>
      <c r="I2319" s="20">
        <v>0</v>
      </c>
      <c r="J2319" s="20">
        <v>0</v>
      </c>
      <c r="K2319" s="20">
        <v>0</v>
      </c>
      <c r="L2319" s="20">
        <v>0</v>
      </c>
      <c r="M2319" s="20">
        <v>0</v>
      </c>
      <c r="N2319" s="20">
        <v>0.08</v>
      </c>
      <c r="O2319" s="20">
        <v>1540</v>
      </c>
      <c r="P2319" s="20">
        <v>1540</v>
      </c>
      <c r="Q2319" s="20">
        <v>1101</v>
      </c>
      <c r="R2319" s="20">
        <v>-4932.09</v>
      </c>
      <c r="S2319" s="20">
        <v>-4969.09</v>
      </c>
      <c r="T2319" s="20">
        <v>-5120.09</v>
      </c>
      <c r="U2319" s="20">
        <v>29087.91</v>
      </c>
      <c r="V2319" s="20">
        <v>82500.639999999999</v>
      </c>
      <c r="W2319" s="20">
        <v>-1610</v>
      </c>
      <c r="X2319" s="20">
        <v>-3734.05</v>
      </c>
      <c r="Y2319" s="20">
        <v>13161.66</v>
      </c>
      <c r="Z2319" s="20">
        <v>-220966.9</v>
      </c>
      <c r="AA2319" s="20">
        <v>-4171.8500000000004</v>
      </c>
      <c r="AB2319" s="20">
        <v>-4158.25</v>
      </c>
      <c r="AC2319" s="20">
        <v>0</v>
      </c>
      <c r="AD2319" s="20">
        <v>4979.5</v>
      </c>
      <c r="AE2319" s="20">
        <v>1531.42</v>
      </c>
      <c r="AF2319" s="20">
        <v>-268.58</v>
      </c>
      <c r="AG2319" s="20">
        <v>-135.19999999999999</v>
      </c>
      <c r="AH2319" s="20">
        <v>-50135.199999999997</v>
      </c>
      <c r="AI2319" s="20">
        <v>-135.19999999999999</v>
      </c>
      <c r="AJ2319" s="20">
        <v>0</v>
      </c>
      <c r="AK2319" s="20">
        <v>0</v>
      </c>
      <c r="AL2319" s="20">
        <v>0</v>
      </c>
      <c r="AM2319" s="20">
        <v>0</v>
      </c>
      <c r="AN2319" s="20">
        <v>-57.1</v>
      </c>
      <c r="AO2319" s="20">
        <v>0</v>
      </c>
    </row>
    <row r="2320" spans="1:41" s="15" customFormat="1" ht="14.25" x14ac:dyDescent="0.2">
      <c r="A2320" s="18" t="s">
        <v>1667</v>
      </c>
      <c r="B2320" s="19" t="s">
        <v>1668</v>
      </c>
      <c r="C2320" s="20">
        <v>0</v>
      </c>
      <c r="D2320" s="20">
        <v>-9522.1</v>
      </c>
      <c r="E2320" s="20">
        <v>0</v>
      </c>
      <c r="F2320" s="20">
        <v>7426.41</v>
      </c>
      <c r="G2320" s="20">
        <v>-16485.849999999999</v>
      </c>
      <c r="H2320" s="20">
        <v>0</v>
      </c>
      <c r="I2320" s="20">
        <v>1102.58</v>
      </c>
      <c r="J2320" s="20">
        <v>0</v>
      </c>
      <c r="K2320" s="20">
        <v>-2480.73</v>
      </c>
      <c r="L2320" s="20">
        <v>0</v>
      </c>
      <c r="M2320" s="20">
        <v>0</v>
      </c>
      <c r="N2320" s="20">
        <v>254.06</v>
      </c>
      <c r="O2320" s="20">
        <v>0</v>
      </c>
      <c r="P2320" s="20">
        <v>-9189</v>
      </c>
      <c r="Q2320" s="20">
        <v>-11712.81</v>
      </c>
      <c r="R2320" s="20">
        <v>-412812.14</v>
      </c>
      <c r="S2320" s="20">
        <v>-438926.27</v>
      </c>
      <c r="T2320" s="20">
        <v>3447.4</v>
      </c>
      <c r="U2320" s="20">
        <v>-47312.42</v>
      </c>
      <c r="V2320" s="20">
        <v>-19305.71</v>
      </c>
      <c r="W2320" s="20">
        <v>-170</v>
      </c>
      <c r="X2320" s="20">
        <v>-14614.18</v>
      </c>
      <c r="Y2320" s="20">
        <v>-22598.58</v>
      </c>
      <c r="Z2320" s="20">
        <v>-27939.7</v>
      </c>
      <c r="AA2320" s="20">
        <v>-180219.69</v>
      </c>
      <c r="AB2320" s="20">
        <v>-71517.850000000006</v>
      </c>
      <c r="AC2320" s="20">
        <v>-159264.76</v>
      </c>
      <c r="AD2320" s="20">
        <v>-36248.559999999998</v>
      </c>
      <c r="AE2320" s="20">
        <v>-42494.36</v>
      </c>
      <c r="AF2320" s="20">
        <v>-169.61</v>
      </c>
      <c r="AG2320" s="20">
        <v>20</v>
      </c>
      <c r="AH2320" s="20">
        <v>-56931.79</v>
      </c>
      <c r="AI2320" s="20">
        <v>-450</v>
      </c>
      <c r="AJ2320" s="20">
        <v>0</v>
      </c>
      <c r="AK2320" s="20">
        <v>0</v>
      </c>
      <c r="AL2320" s="20">
        <v>-990.16</v>
      </c>
      <c r="AM2320" s="20">
        <v>-605.59</v>
      </c>
      <c r="AN2320" s="20">
        <v>0</v>
      </c>
      <c r="AO2320" s="20">
        <v>0</v>
      </c>
    </row>
    <row r="2321" spans="1:41" s="15" customFormat="1" ht="14.25" x14ac:dyDescent="0.2">
      <c r="A2321" s="18" t="s">
        <v>1669</v>
      </c>
      <c r="B2321" s="19" t="s">
        <v>1670</v>
      </c>
      <c r="C2321" s="20">
        <v>0</v>
      </c>
      <c r="D2321" s="20">
        <v>0</v>
      </c>
      <c r="E2321" s="20">
        <v>0</v>
      </c>
      <c r="F2321" s="20">
        <v>0</v>
      </c>
      <c r="G2321" s="20">
        <v>0</v>
      </c>
      <c r="H2321" s="20">
        <v>0</v>
      </c>
      <c r="I2321" s="20">
        <v>0</v>
      </c>
      <c r="J2321" s="20">
        <v>0</v>
      </c>
      <c r="K2321" s="20">
        <v>0</v>
      </c>
      <c r="L2321" s="20">
        <v>0</v>
      </c>
      <c r="M2321" s="20">
        <v>-372.95</v>
      </c>
      <c r="N2321" s="20">
        <v>0</v>
      </c>
      <c r="O2321" s="20">
        <v>0</v>
      </c>
      <c r="P2321" s="20">
        <v>0</v>
      </c>
      <c r="Q2321" s="20">
        <v>0</v>
      </c>
      <c r="R2321" s="20">
        <v>0</v>
      </c>
      <c r="S2321" s="20">
        <v>0</v>
      </c>
      <c r="T2321" s="20">
        <v>0</v>
      </c>
      <c r="U2321" s="20">
        <v>0</v>
      </c>
      <c r="V2321" s="20">
        <v>0</v>
      </c>
      <c r="W2321" s="20">
        <v>0</v>
      </c>
      <c r="X2321" s="20">
        <v>-7221.22</v>
      </c>
      <c r="Y2321" s="20">
        <v>-7221.22</v>
      </c>
      <c r="Z2321" s="20">
        <v>-7588.02</v>
      </c>
      <c r="AA2321" s="20">
        <v>-5387.06</v>
      </c>
      <c r="AB2321" s="20">
        <v>-5472.46</v>
      </c>
      <c r="AC2321" s="20">
        <v>1834.16</v>
      </c>
      <c r="AD2321" s="20">
        <v>1834.16</v>
      </c>
      <c r="AE2321" s="20">
        <v>1834.16</v>
      </c>
      <c r="AF2321" s="20">
        <v>0</v>
      </c>
      <c r="AG2321" s="20">
        <v>0</v>
      </c>
      <c r="AH2321" s="20">
        <v>0</v>
      </c>
      <c r="AI2321" s="20">
        <v>0</v>
      </c>
      <c r="AJ2321" s="20">
        <v>0</v>
      </c>
      <c r="AK2321" s="20">
        <v>0</v>
      </c>
      <c r="AL2321" s="20">
        <v>0</v>
      </c>
      <c r="AM2321" s="20">
        <v>0</v>
      </c>
      <c r="AN2321" s="20">
        <v>0</v>
      </c>
      <c r="AO2321" s="20">
        <v>0</v>
      </c>
    </row>
    <row r="2322" spans="1:41" s="15" customFormat="1" ht="14.25" x14ac:dyDescent="0.2">
      <c r="A2322" s="18" t="s">
        <v>1671</v>
      </c>
      <c r="B2322" s="19" t="s">
        <v>1672</v>
      </c>
      <c r="C2322" s="20">
        <v>0</v>
      </c>
      <c r="D2322" s="20">
        <v>0</v>
      </c>
      <c r="E2322" s="20">
        <v>0</v>
      </c>
      <c r="F2322" s="20">
        <v>0</v>
      </c>
      <c r="G2322" s="20">
        <v>0</v>
      </c>
      <c r="H2322" s="20">
        <v>0</v>
      </c>
      <c r="I2322" s="20">
        <v>0</v>
      </c>
      <c r="J2322" s="20">
        <v>0</v>
      </c>
      <c r="K2322" s="20">
        <v>0</v>
      </c>
      <c r="L2322" s="20">
        <v>0</v>
      </c>
      <c r="M2322" s="20">
        <v>-181.3</v>
      </c>
      <c r="N2322" s="20">
        <v>0</v>
      </c>
      <c r="O2322" s="20">
        <v>0</v>
      </c>
      <c r="P2322" s="20">
        <v>0</v>
      </c>
      <c r="Q2322" s="20">
        <v>0</v>
      </c>
      <c r="R2322" s="20">
        <v>0</v>
      </c>
      <c r="S2322" s="20">
        <v>0</v>
      </c>
      <c r="T2322" s="20">
        <v>0</v>
      </c>
      <c r="U2322" s="20">
        <v>-315.5</v>
      </c>
      <c r="V2322" s="20">
        <v>870.16</v>
      </c>
      <c r="W2322" s="20">
        <v>-3547.93</v>
      </c>
      <c r="X2322" s="20">
        <v>-17106.45</v>
      </c>
      <c r="Y2322" s="20">
        <v>-4956.21</v>
      </c>
      <c r="Z2322" s="20">
        <v>-6899.37</v>
      </c>
      <c r="AA2322" s="20">
        <v>-10192.52</v>
      </c>
      <c r="AB2322" s="20">
        <v>-10403.86</v>
      </c>
      <c r="AC2322" s="20">
        <v>3058.21</v>
      </c>
      <c r="AD2322" s="20">
        <v>8669.64</v>
      </c>
      <c r="AE2322" s="20">
        <v>8669.64</v>
      </c>
      <c r="AF2322" s="20">
        <v>0</v>
      </c>
      <c r="AG2322" s="20">
        <v>0</v>
      </c>
      <c r="AH2322" s="20">
        <v>-226.6</v>
      </c>
      <c r="AI2322" s="20">
        <v>-245.39</v>
      </c>
      <c r="AJ2322" s="20">
        <v>0</v>
      </c>
      <c r="AK2322" s="20">
        <v>0</v>
      </c>
      <c r="AL2322" s="20">
        <v>-393.2</v>
      </c>
      <c r="AM2322" s="20">
        <v>0</v>
      </c>
      <c r="AN2322" s="20">
        <v>0</v>
      </c>
      <c r="AO2322" s="20">
        <v>0</v>
      </c>
    </row>
    <row r="2323" spans="1:41" s="15" customFormat="1" ht="14.25" x14ac:dyDescent="0.2">
      <c r="A2323" s="18" t="s">
        <v>1673</v>
      </c>
      <c r="B2323" s="19" t="s">
        <v>1674</v>
      </c>
      <c r="C2323" s="20"/>
      <c r="D2323" s="20"/>
      <c r="E2323" s="20"/>
      <c r="F2323" s="20"/>
      <c r="G2323" s="20"/>
      <c r="H2323" s="20"/>
      <c r="I2323" s="20"/>
      <c r="J2323" s="20"/>
      <c r="K2323" s="20"/>
      <c r="L2323" s="20"/>
      <c r="M2323" s="20"/>
      <c r="N2323" s="20"/>
      <c r="O2323" s="20"/>
      <c r="P2323" s="20"/>
      <c r="Q2323" s="20"/>
      <c r="R2323" s="20"/>
      <c r="S2323" s="20">
        <v>0</v>
      </c>
      <c r="T2323" s="20"/>
      <c r="U2323" s="20"/>
      <c r="V2323" s="20"/>
      <c r="W2323" s="20"/>
      <c r="X2323" s="20">
        <v>0</v>
      </c>
      <c r="Y2323" s="20">
        <v>0</v>
      </c>
      <c r="Z2323" s="20">
        <v>0</v>
      </c>
      <c r="AA2323" s="20"/>
      <c r="AB2323" s="20"/>
      <c r="AC2323" s="20"/>
      <c r="AD2323" s="20">
        <v>0</v>
      </c>
      <c r="AE2323" s="20"/>
      <c r="AF2323" s="20">
        <v>0</v>
      </c>
      <c r="AG2323" s="20">
        <v>0</v>
      </c>
      <c r="AH2323" s="20">
        <v>0</v>
      </c>
      <c r="AI2323" s="20">
        <v>0</v>
      </c>
      <c r="AJ2323" s="20">
        <v>0</v>
      </c>
      <c r="AK2323" s="20">
        <v>0</v>
      </c>
      <c r="AL2323" s="20"/>
      <c r="AM2323" s="20">
        <v>0</v>
      </c>
      <c r="AN2323" s="20">
        <v>0</v>
      </c>
      <c r="AO2323" s="20">
        <v>0</v>
      </c>
    </row>
    <row r="2324" spans="1:41" s="15" customFormat="1" ht="14.25" x14ac:dyDescent="0.2">
      <c r="A2324" s="18" t="s">
        <v>1675</v>
      </c>
      <c r="B2324" s="19" t="s">
        <v>1676</v>
      </c>
      <c r="C2324" s="20"/>
      <c r="D2324" s="20"/>
      <c r="E2324" s="20"/>
      <c r="F2324" s="20"/>
      <c r="G2324" s="20"/>
      <c r="H2324" s="20"/>
      <c r="I2324" s="20"/>
      <c r="J2324" s="20"/>
      <c r="K2324" s="20"/>
      <c r="L2324" s="20"/>
      <c r="M2324" s="20"/>
      <c r="N2324" s="20"/>
      <c r="O2324" s="20"/>
      <c r="P2324" s="20"/>
      <c r="Q2324" s="20"/>
      <c r="R2324" s="20"/>
      <c r="S2324" s="20"/>
      <c r="T2324" s="20"/>
      <c r="U2324" s="20"/>
      <c r="V2324" s="20"/>
      <c r="W2324" s="20"/>
      <c r="X2324" s="20">
        <v>0</v>
      </c>
      <c r="Y2324" s="20"/>
      <c r="Z2324" s="20"/>
      <c r="AA2324" s="20"/>
      <c r="AB2324" s="20"/>
      <c r="AC2324" s="20"/>
      <c r="AD2324" s="20"/>
      <c r="AE2324" s="20"/>
      <c r="AF2324" s="20"/>
      <c r="AG2324" s="20"/>
      <c r="AH2324" s="20"/>
      <c r="AI2324" s="20"/>
      <c r="AJ2324" s="20"/>
      <c r="AK2324" s="20"/>
      <c r="AL2324" s="20"/>
      <c r="AM2324" s="20"/>
      <c r="AN2324" s="20"/>
      <c r="AO2324" s="20"/>
    </row>
    <row r="2325" spans="1:41" ht="14.25" x14ac:dyDescent="0.2">
      <c r="A2325" s="2">
        <v>290809</v>
      </c>
      <c r="B2325" s="3" t="s">
        <v>266</v>
      </c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  <c r="AO2325" s="9"/>
    </row>
    <row r="2326" spans="1:41" s="15" customFormat="1" ht="14.25" x14ac:dyDescent="0.2">
      <c r="A2326" s="18" t="s">
        <v>1677</v>
      </c>
      <c r="B2326" s="19" t="s">
        <v>1678</v>
      </c>
      <c r="C2326" s="20">
        <v>0</v>
      </c>
      <c r="D2326" s="20">
        <v>0</v>
      </c>
      <c r="E2326" s="20"/>
      <c r="F2326" s="20"/>
      <c r="G2326" s="20">
        <v>0</v>
      </c>
      <c r="H2326" s="20">
        <v>0</v>
      </c>
      <c r="I2326" s="20">
        <v>0</v>
      </c>
      <c r="J2326" s="20">
        <v>-800</v>
      </c>
      <c r="K2326" s="20">
        <v>-310</v>
      </c>
      <c r="L2326" s="20">
        <v>2835.72</v>
      </c>
      <c r="M2326" s="20">
        <v>23.16</v>
      </c>
      <c r="N2326" s="20">
        <v>-136.29</v>
      </c>
      <c r="O2326" s="20">
        <v>-136.29</v>
      </c>
      <c r="P2326" s="20">
        <v>637.80999999999995</v>
      </c>
      <c r="Q2326" s="20">
        <v>-136.29</v>
      </c>
      <c r="R2326" s="20">
        <v>-136.29</v>
      </c>
      <c r="S2326" s="20">
        <v>-136.29</v>
      </c>
      <c r="T2326" s="20">
        <v>-136.29</v>
      </c>
      <c r="U2326" s="20">
        <v>-136.29</v>
      </c>
      <c r="V2326" s="20">
        <v>-136.29</v>
      </c>
      <c r="W2326" s="20">
        <v>-136.29</v>
      </c>
      <c r="X2326" s="20">
        <v>-136.29</v>
      </c>
      <c r="Y2326" s="20">
        <v>-136.29</v>
      </c>
      <c r="Z2326" s="20">
        <v>-136.29</v>
      </c>
      <c r="AA2326" s="20">
        <v>-136.29</v>
      </c>
      <c r="AB2326" s="20">
        <v>-136.29</v>
      </c>
      <c r="AC2326" s="20">
        <v>-136.29</v>
      </c>
      <c r="AD2326" s="20">
        <v>-136.29</v>
      </c>
      <c r="AE2326" s="20">
        <v>-136.29</v>
      </c>
      <c r="AF2326" s="20">
        <v>-136.29</v>
      </c>
      <c r="AG2326" s="20">
        <v>-136.29</v>
      </c>
      <c r="AH2326" s="20">
        <v>-136.29</v>
      </c>
      <c r="AI2326" s="20">
        <v>-160.69</v>
      </c>
      <c r="AJ2326" s="20">
        <v>0</v>
      </c>
      <c r="AK2326" s="20"/>
      <c r="AL2326" s="20"/>
      <c r="AM2326" s="20"/>
      <c r="AN2326" s="20">
        <v>0</v>
      </c>
      <c r="AO2326" s="20"/>
    </row>
    <row r="2327" spans="1:41" s="15" customFormat="1" ht="14.25" x14ac:dyDescent="0.2">
      <c r="A2327" s="18" t="s">
        <v>1679</v>
      </c>
      <c r="B2327" s="19" t="s">
        <v>1680</v>
      </c>
      <c r="C2327" s="20"/>
      <c r="D2327" s="20"/>
      <c r="E2327" s="20"/>
      <c r="F2327" s="20"/>
      <c r="G2327" s="20"/>
      <c r="H2327" s="20"/>
      <c r="I2327" s="20"/>
      <c r="J2327" s="20"/>
      <c r="K2327" s="20"/>
      <c r="L2327" s="20"/>
      <c r="M2327" s="20"/>
      <c r="N2327" s="20">
        <v>-1924370.99</v>
      </c>
      <c r="O2327" s="20">
        <v>-1852932.52</v>
      </c>
      <c r="P2327" s="20">
        <v>-2061751.51</v>
      </c>
      <c r="Q2327" s="20">
        <v>-2133445.4500000002</v>
      </c>
      <c r="R2327" s="20">
        <v>-1948249.96</v>
      </c>
      <c r="S2327" s="20">
        <v>-1981673.67</v>
      </c>
      <c r="T2327" s="20">
        <v>-2186459.2000000002</v>
      </c>
      <c r="U2327" s="20">
        <v>-2185609.41</v>
      </c>
      <c r="V2327" s="20">
        <v>-2252703.31</v>
      </c>
      <c r="W2327" s="20">
        <v>-2149023.52</v>
      </c>
      <c r="X2327" s="20">
        <v>-2126773.4500000002</v>
      </c>
      <c r="Y2327" s="20">
        <v>-2162672.9300000002</v>
      </c>
      <c r="Z2327" s="20">
        <v>-2353524.69</v>
      </c>
      <c r="AA2327" s="20">
        <v>-2021242.98</v>
      </c>
      <c r="AB2327" s="20">
        <v>-2244277.5499999998</v>
      </c>
      <c r="AC2327" s="20">
        <v>-2251758.9700000002</v>
      </c>
      <c r="AD2327" s="20">
        <v>-2364628.61</v>
      </c>
      <c r="AE2327" s="20">
        <v>-2603149.44</v>
      </c>
      <c r="AF2327" s="20">
        <v>-2842566.5</v>
      </c>
      <c r="AG2327" s="20">
        <v>-1975388.2</v>
      </c>
      <c r="AH2327" s="20">
        <v>-1993456.14</v>
      </c>
      <c r="AI2327" s="20">
        <v>-2338191.1</v>
      </c>
      <c r="AJ2327" s="20">
        <v>-2192799.9900000002</v>
      </c>
      <c r="AK2327" s="20">
        <v>-2318208.7400000002</v>
      </c>
      <c r="AL2327" s="20">
        <v>-1954782.73</v>
      </c>
      <c r="AM2327" s="20">
        <v>-1914974.74</v>
      </c>
      <c r="AN2327" s="20">
        <v>-2034767.15</v>
      </c>
      <c r="AO2327" s="20">
        <v>-2320072.15</v>
      </c>
    </row>
    <row r="2328" spans="1:41" s="15" customFormat="1" ht="14.25" x14ac:dyDescent="0.2">
      <c r="A2328" s="18" t="s">
        <v>1681</v>
      </c>
      <c r="B2328" s="19" t="s">
        <v>1682</v>
      </c>
      <c r="C2328" s="20"/>
      <c r="D2328" s="20"/>
      <c r="E2328" s="20"/>
      <c r="F2328" s="20"/>
      <c r="G2328" s="20"/>
      <c r="H2328" s="20"/>
      <c r="I2328" s="20"/>
      <c r="J2328" s="20"/>
      <c r="K2328" s="20"/>
      <c r="L2328" s="20"/>
      <c r="M2328" s="20"/>
      <c r="N2328" s="20"/>
      <c r="O2328" s="20"/>
      <c r="P2328" s="20"/>
      <c r="Q2328" s="20"/>
      <c r="R2328" s="20"/>
      <c r="S2328" s="20"/>
      <c r="T2328" s="20"/>
      <c r="U2328" s="20"/>
      <c r="V2328" s="20"/>
      <c r="W2328" s="20"/>
      <c r="X2328" s="20"/>
      <c r="Y2328" s="20"/>
      <c r="Z2328" s="20"/>
      <c r="AA2328" s="20">
        <v>0</v>
      </c>
      <c r="AB2328" s="20">
        <v>632.13</v>
      </c>
      <c r="AC2328" s="20">
        <v>-120.51</v>
      </c>
      <c r="AD2328" s="20">
        <v>-1327.3</v>
      </c>
      <c r="AE2328" s="20">
        <v>-4727.7</v>
      </c>
      <c r="AF2328" s="20">
        <v>-5830.63</v>
      </c>
      <c r="AG2328" s="20">
        <v>-5500.15</v>
      </c>
      <c r="AH2328" s="20">
        <v>-5732.39</v>
      </c>
      <c r="AI2328" s="20">
        <v>-1134.3399999999999</v>
      </c>
      <c r="AJ2328" s="20">
        <v>-7492.77</v>
      </c>
      <c r="AK2328" s="20">
        <v>-5152.46</v>
      </c>
      <c r="AL2328" s="20">
        <v>-9344.56</v>
      </c>
      <c r="AM2328" s="20">
        <v>-9346.36</v>
      </c>
      <c r="AN2328" s="20">
        <v>-8567.99</v>
      </c>
      <c r="AO2328" s="20">
        <v>-4704.3900000000003</v>
      </c>
    </row>
    <row r="2329" spans="1:41" s="15" customFormat="1" ht="14.25" x14ac:dyDescent="0.2">
      <c r="A2329" s="18" t="s">
        <v>1683</v>
      </c>
      <c r="B2329" s="19" t="s">
        <v>1684</v>
      </c>
      <c r="C2329" s="20"/>
      <c r="D2329" s="20"/>
      <c r="E2329" s="20"/>
      <c r="F2329" s="20"/>
      <c r="G2329" s="20"/>
      <c r="H2329" s="20"/>
      <c r="I2329" s="20"/>
      <c r="J2329" s="20"/>
      <c r="K2329" s="20"/>
      <c r="L2329" s="20"/>
      <c r="M2329" s="20"/>
      <c r="N2329" s="20"/>
      <c r="O2329" s="20"/>
      <c r="P2329" s="20"/>
      <c r="Q2329" s="20"/>
      <c r="R2329" s="20"/>
      <c r="S2329" s="20"/>
      <c r="T2329" s="20"/>
      <c r="U2329" s="20"/>
      <c r="V2329" s="20"/>
      <c r="W2329" s="20"/>
      <c r="X2329" s="20"/>
      <c r="Y2329" s="20"/>
      <c r="Z2329" s="20"/>
      <c r="AA2329" s="20">
        <v>-553.75</v>
      </c>
      <c r="AB2329" s="20">
        <v>-29.65</v>
      </c>
      <c r="AC2329" s="20">
        <v>-21</v>
      </c>
      <c r="AD2329" s="20">
        <v>-5325.7</v>
      </c>
      <c r="AE2329" s="20">
        <v>-49.66</v>
      </c>
      <c r="AF2329" s="20">
        <v>-37.56</v>
      </c>
      <c r="AG2329" s="20">
        <v>-273.06</v>
      </c>
      <c r="AH2329" s="20">
        <v>-233.46</v>
      </c>
      <c r="AI2329" s="20">
        <v>-4939.72</v>
      </c>
      <c r="AJ2329" s="20">
        <v>-209.12</v>
      </c>
      <c r="AK2329" s="20">
        <v>-751.62</v>
      </c>
      <c r="AL2329" s="20">
        <v>-864.02</v>
      </c>
      <c r="AM2329" s="20">
        <v>-1005.52</v>
      </c>
      <c r="AN2329" s="20">
        <v>-554.77</v>
      </c>
      <c r="AO2329" s="20">
        <v>-558.27</v>
      </c>
    </row>
    <row r="2330" spans="1:41" s="15" customFormat="1" ht="14.25" x14ac:dyDescent="0.2">
      <c r="A2330" s="18" t="s">
        <v>1685</v>
      </c>
      <c r="B2330" s="19" t="s">
        <v>1686</v>
      </c>
      <c r="C2330" s="20"/>
      <c r="D2330" s="20"/>
      <c r="E2330" s="20"/>
      <c r="F2330" s="20"/>
      <c r="G2330" s="20"/>
      <c r="H2330" s="20"/>
      <c r="I2330" s="20"/>
      <c r="J2330" s="20"/>
      <c r="K2330" s="20"/>
      <c r="L2330" s="20"/>
      <c r="M2330" s="20"/>
      <c r="N2330" s="20"/>
      <c r="O2330" s="20"/>
      <c r="P2330" s="20"/>
      <c r="Q2330" s="20"/>
      <c r="R2330" s="20"/>
      <c r="S2330" s="20"/>
      <c r="T2330" s="20"/>
      <c r="U2330" s="20"/>
      <c r="V2330" s="20"/>
      <c r="W2330" s="20"/>
      <c r="X2330" s="20"/>
      <c r="Y2330" s="20"/>
      <c r="Z2330" s="20"/>
      <c r="AA2330" s="20"/>
      <c r="AB2330" s="20"/>
      <c r="AC2330" s="20"/>
      <c r="AD2330" s="20"/>
      <c r="AE2330" s="20"/>
      <c r="AF2330" s="20">
        <v>0</v>
      </c>
      <c r="AG2330" s="20"/>
      <c r="AH2330" s="20"/>
      <c r="AI2330" s="20"/>
      <c r="AJ2330" s="20"/>
      <c r="AK2330" s="20"/>
      <c r="AL2330" s="20"/>
      <c r="AM2330" s="20"/>
      <c r="AN2330" s="20"/>
      <c r="AO2330" s="20"/>
    </row>
    <row r="2331" spans="1:41" ht="14.25" x14ac:dyDescent="0.2">
      <c r="A2331" s="2">
        <v>2909</v>
      </c>
      <c r="B2331" s="3" t="s">
        <v>405</v>
      </c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  <c r="AO2331" s="9"/>
    </row>
    <row r="2332" spans="1:41" ht="14.25" x14ac:dyDescent="0.2">
      <c r="A2332" s="2">
        <v>290901</v>
      </c>
      <c r="B2332" s="3" t="s">
        <v>599</v>
      </c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  <c r="AO2332" s="9"/>
    </row>
    <row r="2333" spans="1:41" ht="14.25" x14ac:dyDescent="0.2">
      <c r="A2333" s="2">
        <v>290902</v>
      </c>
      <c r="B2333" s="3" t="s">
        <v>407</v>
      </c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  <c r="AO2333" s="9"/>
    </row>
    <row r="2334" spans="1:41" ht="14.25" x14ac:dyDescent="0.2">
      <c r="A2334" s="28">
        <v>3</v>
      </c>
      <c r="B2334" s="29" t="s">
        <v>600</v>
      </c>
      <c r="C2334" s="30">
        <f t="shared" ref="C2334:AN2334" si="78">+C2335+C2342+C2346+C2357+C2370</f>
        <v>-50667972.25</v>
      </c>
      <c r="D2334" s="30">
        <f t="shared" si="78"/>
        <v>-46957971.399999999</v>
      </c>
      <c r="E2334" s="30">
        <f t="shared" si="78"/>
        <v>-45669738.670000009</v>
      </c>
      <c r="F2334" s="30">
        <f t="shared" si="78"/>
        <v>-45809850.180000007</v>
      </c>
      <c r="G2334" s="30">
        <f t="shared" si="78"/>
        <v>-45468632.430000007</v>
      </c>
      <c r="H2334" s="30">
        <f t="shared" si="78"/>
        <v>-45276881.690000005</v>
      </c>
      <c r="I2334" s="30">
        <f t="shared" si="78"/>
        <v>-45062630.620000005</v>
      </c>
      <c r="J2334" s="30">
        <f t="shared" si="78"/>
        <v>-44666308.400000006</v>
      </c>
      <c r="K2334" s="30">
        <f t="shared" si="78"/>
        <v>-43599675.760000005</v>
      </c>
      <c r="L2334" s="30">
        <f t="shared" si="78"/>
        <v>-43450705.990000002</v>
      </c>
      <c r="M2334" s="30">
        <f t="shared" si="78"/>
        <v>-43935458.660000011</v>
      </c>
      <c r="N2334" s="30">
        <f t="shared" si="78"/>
        <v>-43822742.460000008</v>
      </c>
      <c r="O2334" s="30">
        <f t="shared" si="78"/>
        <v>-43385948.700000003</v>
      </c>
      <c r="P2334" s="30">
        <f t="shared" si="78"/>
        <v>-43419577.32</v>
      </c>
      <c r="Q2334" s="30">
        <f t="shared" si="78"/>
        <v>-42237249.710000008</v>
      </c>
      <c r="R2334" s="30">
        <f t="shared" si="78"/>
        <v>-41630239.720000006</v>
      </c>
      <c r="S2334" s="30">
        <f t="shared" si="78"/>
        <v>-41265448.790000007</v>
      </c>
      <c r="T2334" s="30">
        <f t="shared" si="78"/>
        <v>-40565219.840000004</v>
      </c>
      <c r="U2334" s="30">
        <f t="shared" si="78"/>
        <v>-41000275.630000003</v>
      </c>
      <c r="V2334" s="30">
        <f t="shared" si="78"/>
        <v>-41010448.910000004</v>
      </c>
      <c r="W2334" s="30">
        <f t="shared" si="78"/>
        <v>-40805017.200000003</v>
      </c>
      <c r="X2334" s="30">
        <f t="shared" si="78"/>
        <v>-40531700.440000005</v>
      </c>
      <c r="Y2334" s="30">
        <f t="shared" si="78"/>
        <v>-40612440.670000009</v>
      </c>
      <c r="Z2334" s="30">
        <f t="shared" si="78"/>
        <v>-40569647.140000001</v>
      </c>
      <c r="AA2334" s="30">
        <f t="shared" si="78"/>
        <v>-40778459.400000006</v>
      </c>
      <c r="AB2334" s="30">
        <f t="shared" si="78"/>
        <v>-40968078.289999999</v>
      </c>
      <c r="AC2334" s="30">
        <f t="shared" si="78"/>
        <v>-40717165.980000004</v>
      </c>
      <c r="AD2334" s="30">
        <f t="shared" si="78"/>
        <v>-40569978.079999998</v>
      </c>
      <c r="AE2334" s="30">
        <f t="shared" si="78"/>
        <v>-40734582.920000009</v>
      </c>
      <c r="AF2334" s="30">
        <f t="shared" si="78"/>
        <v>-41015563.660000004</v>
      </c>
      <c r="AG2334" s="30">
        <f t="shared" si="78"/>
        <v>-40964500.410000004</v>
      </c>
      <c r="AH2334" s="30">
        <f t="shared" si="78"/>
        <v>-41181647.920000009</v>
      </c>
      <c r="AI2334" s="30">
        <f t="shared" si="78"/>
        <v>-41195976.980000004</v>
      </c>
      <c r="AJ2334" s="30">
        <f t="shared" si="78"/>
        <v>-41653354.230000004</v>
      </c>
      <c r="AK2334" s="30">
        <f t="shared" si="78"/>
        <v>-41613550.539999999</v>
      </c>
      <c r="AL2334" s="30">
        <f t="shared" si="78"/>
        <v>-42136453.229999997</v>
      </c>
      <c r="AM2334" s="30">
        <f t="shared" si="78"/>
        <v>-42254279.770000011</v>
      </c>
      <c r="AN2334" s="30">
        <f t="shared" si="78"/>
        <v>-42250743.619999997</v>
      </c>
      <c r="AO2334" s="30">
        <f>+AO2335+AO2342+AO2346+AO2357+AO2370</f>
        <v>-41357277.039999999</v>
      </c>
    </row>
    <row r="2335" spans="1:41" ht="14.25" x14ac:dyDescent="0.2">
      <c r="A2335" s="2">
        <v>31</v>
      </c>
      <c r="B2335" s="3" t="s">
        <v>601</v>
      </c>
      <c r="C2335" s="20">
        <f t="shared" ref="C2335:AN2335" si="79">+C2338</f>
        <v>-48053845.68</v>
      </c>
      <c r="D2335" s="20">
        <f t="shared" si="79"/>
        <v>-48307996.729999997</v>
      </c>
      <c r="E2335" s="20">
        <f t="shared" si="79"/>
        <v>-48253849.350000001</v>
      </c>
      <c r="F2335" s="20">
        <f t="shared" si="79"/>
        <v>-48363286.18</v>
      </c>
      <c r="G2335" s="20">
        <f t="shared" si="79"/>
        <v>-48390685.670000002</v>
      </c>
      <c r="H2335" s="20">
        <f t="shared" si="79"/>
        <v>-48389687.509999998</v>
      </c>
      <c r="I2335" s="20">
        <f t="shared" si="79"/>
        <v>-48450604.530000001</v>
      </c>
      <c r="J2335" s="20">
        <f t="shared" si="79"/>
        <v>-48471506.490000002</v>
      </c>
      <c r="K2335" s="20">
        <f t="shared" si="79"/>
        <v>-48436279.130000003</v>
      </c>
      <c r="L2335" s="20">
        <f t="shared" si="79"/>
        <v>-48542602.299999997</v>
      </c>
      <c r="M2335" s="20">
        <f t="shared" si="79"/>
        <v>-48416542.880000003</v>
      </c>
      <c r="N2335" s="20">
        <f t="shared" si="79"/>
        <v>-48490720.950000003</v>
      </c>
      <c r="O2335" s="20">
        <f t="shared" si="79"/>
        <v>-48495273.299999997</v>
      </c>
      <c r="P2335" s="20">
        <f t="shared" si="79"/>
        <v>-48555788.829999998</v>
      </c>
      <c r="Q2335" s="20">
        <f t="shared" si="79"/>
        <v>-48629426.710000001</v>
      </c>
      <c r="R2335" s="20">
        <f t="shared" si="79"/>
        <v>-48527242.390000001</v>
      </c>
      <c r="S2335" s="20">
        <f t="shared" si="79"/>
        <v>-48636410.009999998</v>
      </c>
      <c r="T2335" s="20">
        <f t="shared" si="79"/>
        <v>-48301219.969999999</v>
      </c>
      <c r="U2335" s="20">
        <f t="shared" si="79"/>
        <v>-48340059.329999998</v>
      </c>
      <c r="V2335" s="20">
        <f t="shared" si="79"/>
        <v>-48426919.530000001</v>
      </c>
      <c r="W2335" s="20">
        <f t="shared" si="79"/>
        <v>-48537794.399999999</v>
      </c>
      <c r="X2335" s="20">
        <f t="shared" si="79"/>
        <v>-48688110.219999999</v>
      </c>
      <c r="Y2335" s="20">
        <f t="shared" si="79"/>
        <v>-48787429.130000003</v>
      </c>
      <c r="Z2335" s="20">
        <f t="shared" si="79"/>
        <v>-48973734.259999998</v>
      </c>
      <c r="AA2335" s="20">
        <f t="shared" si="79"/>
        <v>-49087895.43</v>
      </c>
      <c r="AB2335" s="20">
        <f t="shared" si="79"/>
        <v>-49282521.5</v>
      </c>
      <c r="AC2335" s="20">
        <f t="shared" si="79"/>
        <v>-49522492.149999999</v>
      </c>
      <c r="AD2335" s="20">
        <f t="shared" si="79"/>
        <v>-49694155.719999999</v>
      </c>
      <c r="AE2335" s="20">
        <f t="shared" si="79"/>
        <v>-49899448.770000003</v>
      </c>
      <c r="AF2335" s="20">
        <f t="shared" si="79"/>
        <v>-50104096.350000001</v>
      </c>
      <c r="AG2335" s="20">
        <f t="shared" si="79"/>
        <v>-50359255.960000001</v>
      </c>
      <c r="AH2335" s="20">
        <f t="shared" si="79"/>
        <v>-50542872.090000004</v>
      </c>
      <c r="AI2335" s="20">
        <f t="shared" si="79"/>
        <v>-50777808.899999999</v>
      </c>
      <c r="AJ2335" s="20">
        <f t="shared" si="79"/>
        <v>-50946089.140000001</v>
      </c>
      <c r="AK2335" s="20">
        <f t="shared" si="79"/>
        <v>-51013241.009999998</v>
      </c>
      <c r="AL2335" s="20">
        <f t="shared" si="79"/>
        <v>-51206098.799999997</v>
      </c>
      <c r="AM2335" s="20">
        <f t="shared" si="79"/>
        <v>-51294974.420000002</v>
      </c>
      <c r="AN2335" s="20">
        <f t="shared" si="79"/>
        <v>-51580022.18</v>
      </c>
      <c r="AO2335" s="20">
        <f>+AO2338</f>
        <v>-52059673.399999999</v>
      </c>
    </row>
    <row r="2336" spans="1:41" ht="14.25" x14ac:dyDescent="0.2">
      <c r="A2336" s="2">
        <v>3101</v>
      </c>
      <c r="B2336" s="3" t="s">
        <v>602</v>
      </c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  <c r="AO2336" s="9"/>
    </row>
    <row r="2337" spans="1:41" ht="14.25" x14ac:dyDescent="0.2">
      <c r="A2337" s="2">
        <v>310101</v>
      </c>
      <c r="B2337" s="3" t="s">
        <v>603</v>
      </c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  <c r="AO2337" s="9"/>
    </row>
    <row r="2338" spans="1:41" s="15" customFormat="1" ht="14.25" x14ac:dyDescent="0.2">
      <c r="A2338" s="18" t="s">
        <v>1687</v>
      </c>
      <c r="B2338" s="19" t="s">
        <v>1688</v>
      </c>
      <c r="C2338" s="20">
        <v>-48053845.68</v>
      </c>
      <c r="D2338" s="20">
        <v>-48307996.729999997</v>
      </c>
      <c r="E2338" s="20">
        <v>-48253849.350000001</v>
      </c>
      <c r="F2338" s="20">
        <v>-48363286.18</v>
      </c>
      <c r="G2338" s="20">
        <v>-48390685.670000002</v>
      </c>
      <c r="H2338" s="20">
        <v>-48389687.509999998</v>
      </c>
      <c r="I2338" s="20">
        <v>-48450604.530000001</v>
      </c>
      <c r="J2338" s="20">
        <v>-48471506.490000002</v>
      </c>
      <c r="K2338" s="20">
        <v>-48436279.130000003</v>
      </c>
      <c r="L2338" s="20">
        <v>-48542602.299999997</v>
      </c>
      <c r="M2338" s="20">
        <v>-48416542.880000003</v>
      </c>
      <c r="N2338" s="20">
        <v>-48490720.950000003</v>
      </c>
      <c r="O2338" s="20">
        <v>-48495273.299999997</v>
      </c>
      <c r="P2338" s="20">
        <v>-48555788.829999998</v>
      </c>
      <c r="Q2338" s="20">
        <v>-48629426.710000001</v>
      </c>
      <c r="R2338" s="20">
        <v>-48527242.390000001</v>
      </c>
      <c r="S2338" s="20">
        <v>-48636410.009999998</v>
      </c>
      <c r="T2338" s="20">
        <v>-48301219.969999999</v>
      </c>
      <c r="U2338" s="20">
        <v>-48340059.329999998</v>
      </c>
      <c r="V2338" s="20">
        <v>-48426919.530000001</v>
      </c>
      <c r="W2338" s="20">
        <v>-48537794.399999999</v>
      </c>
      <c r="X2338" s="20">
        <v>-48688110.219999999</v>
      </c>
      <c r="Y2338" s="20">
        <v>-48787429.130000003</v>
      </c>
      <c r="Z2338" s="20">
        <v>-48973734.259999998</v>
      </c>
      <c r="AA2338" s="20">
        <v>-49087895.43</v>
      </c>
      <c r="AB2338" s="20">
        <v>-49282521.5</v>
      </c>
      <c r="AC2338" s="20">
        <v>-49522492.149999999</v>
      </c>
      <c r="AD2338" s="20">
        <v>-49694155.719999999</v>
      </c>
      <c r="AE2338" s="20">
        <v>-49899448.770000003</v>
      </c>
      <c r="AF2338" s="20">
        <v>-50104096.350000001</v>
      </c>
      <c r="AG2338" s="20">
        <v>-50359255.960000001</v>
      </c>
      <c r="AH2338" s="20">
        <v>-50542872.090000004</v>
      </c>
      <c r="AI2338" s="20">
        <v>-50777808.899999999</v>
      </c>
      <c r="AJ2338" s="20">
        <v>-50946089.140000001</v>
      </c>
      <c r="AK2338" s="20">
        <v>-51013241.009999998</v>
      </c>
      <c r="AL2338" s="20">
        <v>-51206098.799999997</v>
      </c>
      <c r="AM2338" s="20">
        <v>-51294974.420000002</v>
      </c>
      <c r="AN2338" s="20">
        <v>-51580022.18</v>
      </c>
      <c r="AO2338" s="20">
        <v>-52059673.399999999</v>
      </c>
    </row>
    <row r="2339" spans="1:41" ht="14.25" x14ac:dyDescent="0.2">
      <c r="A2339" s="2">
        <v>3102</v>
      </c>
      <c r="B2339" s="3" t="s">
        <v>604</v>
      </c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  <c r="AO2339" s="9"/>
    </row>
    <row r="2340" spans="1:41" ht="14.25" x14ac:dyDescent="0.2">
      <c r="A2340" s="2">
        <v>310201</v>
      </c>
      <c r="B2340" s="3" t="s">
        <v>605</v>
      </c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  <c r="AO2340" s="9"/>
    </row>
    <row r="2341" spans="1:41" ht="14.25" x14ac:dyDescent="0.2">
      <c r="A2341" s="2">
        <v>3103</v>
      </c>
      <c r="B2341" s="3" t="s">
        <v>606</v>
      </c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  <c r="AO2341" s="9"/>
    </row>
    <row r="2342" spans="1:41" ht="14.25" x14ac:dyDescent="0.2">
      <c r="A2342" s="2">
        <v>310301</v>
      </c>
      <c r="B2342" s="3" t="s">
        <v>607</v>
      </c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  <c r="AO2342" s="9"/>
    </row>
    <row r="2343" spans="1:41" ht="14.25" x14ac:dyDescent="0.2">
      <c r="A2343" s="2">
        <v>32</v>
      </c>
      <c r="B2343" s="3" t="s">
        <v>608</v>
      </c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  <c r="AO2343" s="9"/>
    </row>
    <row r="2344" spans="1:41" ht="14.25" x14ac:dyDescent="0.2">
      <c r="A2344" s="2">
        <v>3201</v>
      </c>
      <c r="B2344" s="3" t="s">
        <v>609</v>
      </c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  <c r="AO2344" s="9"/>
    </row>
    <row r="2345" spans="1:41" ht="14.25" x14ac:dyDescent="0.2">
      <c r="A2345" s="2">
        <v>320101</v>
      </c>
      <c r="B2345" s="3" t="s">
        <v>610</v>
      </c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  <c r="AO2345" s="9"/>
    </row>
    <row r="2346" spans="1:41" ht="14.25" x14ac:dyDescent="0.2">
      <c r="A2346" s="2">
        <v>33</v>
      </c>
      <c r="B2346" s="3" t="s">
        <v>611</v>
      </c>
      <c r="C2346" s="20">
        <f>+C2349+C2351</f>
        <v>-6498165.79</v>
      </c>
      <c r="D2346" s="20">
        <f t="shared" ref="D2346:AO2346" si="80">+D2349+D2351</f>
        <v>-6498165.79</v>
      </c>
      <c r="E2346" s="20">
        <f t="shared" si="80"/>
        <v>-2976579.88</v>
      </c>
      <c r="F2346" s="20">
        <f t="shared" si="80"/>
        <v>-2976579.88</v>
      </c>
      <c r="G2346" s="20">
        <f t="shared" si="80"/>
        <v>-2976579.88</v>
      </c>
      <c r="H2346" s="20">
        <f t="shared" si="80"/>
        <v>-2976579.88</v>
      </c>
      <c r="I2346" s="20">
        <f t="shared" si="80"/>
        <v>-2976579.88</v>
      </c>
      <c r="J2346" s="20">
        <f t="shared" si="80"/>
        <v>-2976579.88</v>
      </c>
      <c r="K2346" s="20">
        <f t="shared" si="80"/>
        <v>-2976579.88</v>
      </c>
      <c r="L2346" s="20">
        <f t="shared" si="80"/>
        <v>-2976579.88</v>
      </c>
      <c r="M2346" s="20">
        <f t="shared" si="80"/>
        <v>-2976579.88</v>
      </c>
      <c r="N2346" s="20">
        <f t="shared" si="80"/>
        <v>-2976579.88</v>
      </c>
      <c r="O2346" s="20">
        <f t="shared" si="80"/>
        <v>-2976579.88</v>
      </c>
      <c r="P2346" s="20">
        <f t="shared" si="80"/>
        <v>-2976579.88</v>
      </c>
      <c r="Q2346" s="20">
        <f t="shared" si="80"/>
        <v>-2976579.88</v>
      </c>
      <c r="R2346" s="20">
        <f t="shared" si="80"/>
        <v>-2976579.88</v>
      </c>
      <c r="S2346" s="20">
        <f t="shared" si="80"/>
        <v>-2976579.88</v>
      </c>
      <c r="T2346" s="20">
        <f t="shared" si="80"/>
        <v>-2976579.88</v>
      </c>
      <c r="U2346" s="20">
        <f t="shared" si="80"/>
        <v>-2976579.88</v>
      </c>
      <c r="V2346" s="20">
        <f t="shared" si="80"/>
        <v>-2976579.88</v>
      </c>
      <c r="W2346" s="20">
        <f t="shared" si="80"/>
        <v>-2976579.88</v>
      </c>
      <c r="X2346" s="20">
        <f t="shared" si="80"/>
        <v>-2976579.88</v>
      </c>
      <c r="Y2346" s="20">
        <f t="shared" si="80"/>
        <v>-2976579.88</v>
      </c>
      <c r="Z2346" s="20">
        <f t="shared" si="80"/>
        <v>-2976579.88</v>
      </c>
      <c r="AA2346" s="20">
        <f t="shared" si="80"/>
        <v>-2976579.88</v>
      </c>
      <c r="AB2346" s="20">
        <f t="shared" si="80"/>
        <v>-2976579.88</v>
      </c>
      <c r="AC2346" s="20">
        <f t="shared" si="80"/>
        <v>-2976579.88</v>
      </c>
      <c r="AD2346" s="20">
        <f t="shared" si="80"/>
        <v>-2976579.88</v>
      </c>
      <c r="AE2346" s="20">
        <f t="shared" si="80"/>
        <v>-2976579.88</v>
      </c>
      <c r="AF2346" s="20">
        <f t="shared" si="80"/>
        <v>-2976579.88</v>
      </c>
      <c r="AG2346" s="20">
        <f t="shared" si="80"/>
        <v>-2976579.88</v>
      </c>
      <c r="AH2346" s="20">
        <f t="shared" si="80"/>
        <v>-2976579.88</v>
      </c>
      <c r="AI2346" s="20">
        <f t="shared" si="80"/>
        <v>-2976579.88</v>
      </c>
      <c r="AJ2346" s="20">
        <f t="shared" si="80"/>
        <v>-2976579.88</v>
      </c>
      <c r="AK2346" s="20">
        <f t="shared" si="80"/>
        <v>-2976579.88</v>
      </c>
      <c r="AL2346" s="20">
        <f t="shared" si="80"/>
        <v>-2976579.88</v>
      </c>
      <c r="AM2346" s="20">
        <f t="shared" si="80"/>
        <v>-2976579.88</v>
      </c>
      <c r="AN2346" s="20">
        <f t="shared" si="80"/>
        <v>-2976579.88</v>
      </c>
      <c r="AO2346" s="20">
        <f t="shared" si="80"/>
        <v>-2976579.88</v>
      </c>
    </row>
    <row r="2347" spans="1:41" ht="14.25" x14ac:dyDescent="0.2">
      <c r="A2347" s="2">
        <v>3301</v>
      </c>
      <c r="B2347" s="3" t="s">
        <v>612</v>
      </c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  <c r="AO2347" s="9"/>
    </row>
    <row r="2348" spans="1:41" ht="14.25" x14ac:dyDescent="0.2">
      <c r="A2348" s="2">
        <v>330102</v>
      </c>
      <c r="B2348" s="3" t="s">
        <v>613</v>
      </c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  <c r="AO2348" s="9"/>
    </row>
    <row r="2349" spans="1:41" s="15" customFormat="1" ht="14.25" x14ac:dyDescent="0.2">
      <c r="A2349" s="18" t="s">
        <v>1689</v>
      </c>
      <c r="B2349" s="19" t="s">
        <v>1690</v>
      </c>
      <c r="C2349" s="20">
        <v>-2364718.84</v>
      </c>
      <c r="D2349" s="20">
        <v>-2364718.84</v>
      </c>
      <c r="E2349" s="20">
        <v>1156867.07</v>
      </c>
      <c r="F2349" s="20">
        <v>1156867.07</v>
      </c>
      <c r="G2349" s="20">
        <v>1156867.07</v>
      </c>
      <c r="H2349" s="20">
        <v>1156867.07</v>
      </c>
      <c r="I2349" s="20">
        <v>1156867.07</v>
      </c>
      <c r="J2349" s="20">
        <v>1156867.07</v>
      </c>
      <c r="K2349" s="20">
        <v>1156867.07</v>
      </c>
      <c r="L2349" s="20">
        <v>1156867.07</v>
      </c>
      <c r="M2349" s="20">
        <v>1156867.07</v>
      </c>
      <c r="N2349" s="20">
        <v>1156867.07</v>
      </c>
      <c r="O2349" s="20">
        <v>1156867.07</v>
      </c>
      <c r="P2349" s="20">
        <v>1156867.07</v>
      </c>
      <c r="Q2349" s="20">
        <v>1156867.07</v>
      </c>
      <c r="R2349" s="20">
        <v>1156867.07</v>
      </c>
      <c r="S2349" s="20">
        <v>1156867.07</v>
      </c>
      <c r="T2349" s="20">
        <v>1156867.07</v>
      </c>
      <c r="U2349" s="20">
        <v>1156867.07</v>
      </c>
      <c r="V2349" s="20">
        <v>1156867.07</v>
      </c>
      <c r="W2349" s="20">
        <v>1156867.07</v>
      </c>
      <c r="X2349" s="20">
        <v>1156867.07</v>
      </c>
      <c r="Y2349" s="20">
        <v>1156867.07</v>
      </c>
      <c r="Z2349" s="20">
        <v>1156867.07</v>
      </c>
      <c r="AA2349" s="20">
        <v>1156867.07</v>
      </c>
      <c r="AB2349" s="20">
        <v>1156867.07</v>
      </c>
      <c r="AC2349" s="20">
        <v>1156867.07</v>
      </c>
      <c r="AD2349" s="20">
        <v>1156867.07</v>
      </c>
      <c r="AE2349" s="20">
        <v>1156867.07</v>
      </c>
      <c r="AF2349" s="20">
        <v>0</v>
      </c>
      <c r="AG2349" s="20"/>
      <c r="AH2349" s="20"/>
      <c r="AI2349" s="20"/>
      <c r="AJ2349" s="20"/>
      <c r="AK2349" s="20"/>
      <c r="AL2349" s="20"/>
      <c r="AM2349" s="20"/>
      <c r="AN2349" s="20"/>
      <c r="AO2349" s="20"/>
    </row>
    <row r="2350" spans="1:41" ht="14.25" x14ac:dyDescent="0.2">
      <c r="A2350" s="2">
        <v>330109</v>
      </c>
      <c r="B2350" s="3" t="s">
        <v>59</v>
      </c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  <c r="AO2350" s="9"/>
    </row>
    <row r="2351" spans="1:41" s="15" customFormat="1" ht="14.25" x14ac:dyDescent="0.2">
      <c r="A2351" s="18" t="s">
        <v>1691</v>
      </c>
      <c r="B2351" s="19" t="s">
        <v>1692</v>
      </c>
      <c r="C2351" s="20">
        <v>-4133446.95</v>
      </c>
      <c r="D2351" s="20">
        <v>-4133446.95</v>
      </c>
      <c r="E2351" s="20">
        <v>-4133446.95</v>
      </c>
      <c r="F2351" s="20">
        <v>-4133446.95</v>
      </c>
      <c r="G2351" s="20">
        <v>-4133446.95</v>
      </c>
      <c r="H2351" s="20">
        <v>-4133446.95</v>
      </c>
      <c r="I2351" s="20">
        <v>-4133446.95</v>
      </c>
      <c r="J2351" s="20">
        <v>-4133446.95</v>
      </c>
      <c r="K2351" s="20">
        <v>-4133446.95</v>
      </c>
      <c r="L2351" s="20">
        <v>-4133446.95</v>
      </c>
      <c r="M2351" s="20">
        <v>-4133446.95</v>
      </c>
      <c r="N2351" s="20">
        <v>-4133446.95</v>
      </c>
      <c r="O2351" s="20">
        <v>-4133446.95</v>
      </c>
      <c r="P2351" s="20">
        <v>-4133446.95</v>
      </c>
      <c r="Q2351" s="20">
        <v>-4133446.95</v>
      </c>
      <c r="R2351" s="20">
        <v>-4133446.95</v>
      </c>
      <c r="S2351" s="20">
        <v>-4133446.95</v>
      </c>
      <c r="T2351" s="20">
        <v>-4133446.95</v>
      </c>
      <c r="U2351" s="20">
        <v>-4133446.95</v>
      </c>
      <c r="V2351" s="20">
        <v>-4133446.95</v>
      </c>
      <c r="W2351" s="20">
        <v>-4133446.95</v>
      </c>
      <c r="X2351" s="20">
        <v>-4133446.95</v>
      </c>
      <c r="Y2351" s="20">
        <v>-4133446.95</v>
      </c>
      <c r="Z2351" s="20">
        <v>-4133446.95</v>
      </c>
      <c r="AA2351" s="20">
        <v>-4133446.95</v>
      </c>
      <c r="AB2351" s="20">
        <v>-4133446.95</v>
      </c>
      <c r="AC2351" s="20">
        <v>-4133446.95</v>
      </c>
      <c r="AD2351" s="20">
        <v>-4133446.95</v>
      </c>
      <c r="AE2351" s="20">
        <v>-4133446.95</v>
      </c>
      <c r="AF2351" s="20">
        <v>-2976579.88</v>
      </c>
      <c r="AG2351" s="20">
        <v>-2976579.88</v>
      </c>
      <c r="AH2351" s="20">
        <v>-2976579.88</v>
      </c>
      <c r="AI2351" s="20">
        <v>-2976579.88</v>
      </c>
      <c r="AJ2351" s="20">
        <v>-2976579.88</v>
      </c>
      <c r="AK2351" s="20">
        <v>-2976579.88</v>
      </c>
      <c r="AL2351" s="20">
        <v>-2976579.88</v>
      </c>
      <c r="AM2351" s="20">
        <v>-2976579.88</v>
      </c>
      <c r="AN2351" s="20">
        <v>-2976579.88</v>
      </c>
      <c r="AO2351" s="20">
        <v>-2976579.88</v>
      </c>
    </row>
    <row r="2352" spans="1:41" ht="14.25" x14ac:dyDescent="0.2">
      <c r="A2352" s="2">
        <v>3303</v>
      </c>
      <c r="B2352" s="3" t="s">
        <v>614</v>
      </c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  <c r="AO2352" s="9"/>
    </row>
    <row r="2353" spans="1:41" ht="28.5" x14ac:dyDescent="0.2">
      <c r="A2353" s="2">
        <v>330301</v>
      </c>
      <c r="B2353" s="4" t="s">
        <v>615</v>
      </c>
      <c r="C2353" s="11"/>
      <c r="D2353" s="11"/>
      <c r="E2353" s="11"/>
      <c r="F2353" s="11"/>
      <c r="G2353" s="11"/>
      <c r="H2353" s="11"/>
      <c r="I2353" s="11"/>
      <c r="J2353" s="11"/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1"/>
      <c r="AF2353" s="11"/>
      <c r="AG2353" s="11"/>
      <c r="AH2353" s="11"/>
      <c r="AI2353" s="11"/>
      <c r="AJ2353" s="11"/>
      <c r="AK2353" s="11"/>
      <c r="AL2353" s="11"/>
      <c r="AM2353" s="11"/>
      <c r="AN2353" s="11"/>
      <c r="AO2353" s="11"/>
    </row>
    <row r="2354" spans="1:41" ht="28.5" x14ac:dyDescent="0.2">
      <c r="A2354" s="2">
        <v>330302</v>
      </c>
      <c r="B2354" s="4" t="s">
        <v>616</v>
      </c>
      <c r="C2354" s="11"/>
      <c r="D2354" s="11"/>
      <c r="E2354" s="11"/>
      <c r="F2354" s="11"/>
      <c r="G2354" s="11"/>
      <c r="H2354" s="11"/>
      <c r="I2354" s="11"/>
      <c r="J2354" s="11"/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11"/>
      <c r="AG2354" s="11"/>
      <c r="AH2354" s="11"/>
      <c r="AI2354" s="11"/>
      <c r="AJ2354" s="11"/>
      <c r="AK2354" s="11"/>
      <c r="AL2354" s="11"/>
      <c r="AM2354" s="11"/>
      <c r="AN2354" s="11"/>
      <c r="AO2354" s="11"/>
    </row>
    <row r="2355" spans="1:41" ht="14.25" x14ac:dyDescent="0.2">
      <c r="A2355" s="2">
        <v>36</v>
      </c>
      <c r="B2355" s="3" t="s">
        <v>617</v>
      </c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9"/>
      <c r="AH2355" s="9"/>
      <c r="AI2355" s="9"/>
      <c r="AJ2355" s="9"/>
      <c r="AK2355" s="9"/>
      <c r="AL2355" s="9"/>
      <c r="AM2355" s="9"/>
      <c r="AN2355" s="9"/>
      <c r="AO2355" s="9"/>
    </row>
    <row r="2356" spans="1:41" ht="28.5" x14ac:dyDescent="0.2">
      <c r="A2356" s="2">
        <v>3605</v>
      </c>
      <c r="B2356" s="4" t="s">
        <v>618</v>
      </c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  <c r="N2356" s="20"/>
      <c r="O2356" s="20"/>
      <c r="P2356" s="20"/>
      <c r="Q2356" s="20"/>
      <c r="R2356" s="20"/>
      <c r="S2356" s="20"/>
      <c r="T2356" s="20"/>
      <c r="U2356" s="20"/>
      <c r="V2356" s="20"/>
      <c r="W2356" s="20"/>
      <c r="X2356" s="20"/>
      <c r="Y2356" s="20"/>
      <c r="Z2356" s="20"/>
      <c r="AA2356" s="20"/>
      <c r="AB2356" s="20"/>
      <c r="AC2356" s="20"/>
      <c r="AD2356" s="20"/>
      <c r="AE2356" s="20"/>
      <c r="AF2356" s="20"/>
      <c r="AG2356" s="20"/>
      <c r="AH2356" s="20"/>
      <c r="AI2356" s="20"/>
      <c r="AJ2356" s="20"/>
      <c r="AK2356" s="20"/>
      <c r="AL2356" s="20"/>
      <c r="AM2356" s="20"/>
      <c r="AN2356" s="20"/>
      <c r="AO2356" s="20"/>
    </row>
    <row r="2357" spans="1:41" ht="14.25" x14ac:dyDescent="0.2">
      <c r="A2357" s="2">
        <v>38</v>
      </c>
      <c r="B2357" s="3" t="s">
        <v>619</v>
      </c>
      <c r="C2357" s="20">
        <f>+C2366</f>
        <v>3521585.91</v>
      </c>
      <c r="D2357" s="20">
        <f t="shared" ref="D2357:AO2357" si="81">+D2366</f>
        <v>8285069.21</v>
      </c>
      <c r="E2357" s="20">
        <f t="shared" si="81"/>
        <v>4763483.3</v>
      </c>
      <c r="F2357" s="20">
        <f t="shared" si="81"/>
        <v>4763483.3</v>
      </c>
      <c r="G2357" s="20">
        <f t="shared" si="81"/>
        <v>4763483.3</v>
      </c>
      <c r="H2357" s="20">
        <f t="shared" si="81"/>
        <v>4763483.3</v>
      </c>
      <c r="I2357" s="20">
        <f t="shared" si="81"/>
        <v>4763483.3</v>
      </c>
      <c r="J2357" s="20">
        <f t="shared" si="81"/>
        <v>4763483.3</v>
      </c>
      <c r="K2357" s="20">
        <f t="shared" si="81"/>
        <v>4763483.3</v>
      </c>
      <c r="L2357" s="20">
        <f t="shared" si="81"/>
        <v>4763483.3</v>
      </c>
      <c r="M2357" s="20">
        <f t="shared" si="81"/>
        <v>4763483.3</v>
      </c>
      <c r="N2357" s="20">
        <f t="shared" si="81"/>
        <v>4763483.3</v>
      </c>
      <c r="O2357" s="20">
        <f t="shared" si="81"/>
        <v>7644558.3700000001</v>
      </c>
      <c r="P2357" s="20">
        <f t="shared" si="81"/>
        <v>7644558.3700000001</v>
      </c>
      <c r="Q2357" s="20">
        <f t="shared" si="81"/>
        <v>7644558.3700000001</v>
      </c>
      <c r="R2357" s="20">
        <f t="shared" si="81"/>
        <v>7644558.3700000001</v>
      </c>
      <c r="S2357" s="20">
        <f t="shared" si="81"/>
        <v>7644558.3700000001</v>
      </c>
      <c r="T2357" s="20">
        <f t="shared" si="81"/>
        <v>7644558.3700000001</v>
      </c>
      <c r="U2357" s="20">
        <f t="shared" si="81"/>
        <v>7644558.3700000001</v>
      </c>
      <c r="V2357" s="20">
        <f t="shared" si="81"/>
        <v>7644558.3700000001</v>
      </c>
      <c r="W2357" s="20">
        <f t="shared" si="81"/>
        <v>7644558.3700000001</v>
      </c>
      <c r="X2357" s="20">
        <f t="shared" si="81"/>
        <v>7644558.3700000001</v>
      </c>
      <c r="Y2357" s="20">
        <f t="shared" si="81"/>
        <v>7644558.3700000001</v>
      </c>
      <c r="Z2357" s="20">
        <f t="shared" si="81"/>
        <v>7644558.3700000001</v>
      </c>
      <c r="AA2357" s="20">
        <f t="shared" si="81"/>
        <v>11380667</v>
      </c>
      <c r="AB2357" s="20">
        <f t="shared" si="81"/>
        <v>11380667</v>
      </c>
      <c r="AC2357" s="20">
        <f t="shared" si="81"/>
        <v>11380667</v>
      </c>
      <c r="AD2357" s="20">
        <f t="shared" si="81"/>
        <v>11380667</v>
      </c>
      <c r="AE2357" s="20">
        <f t="shared" si="81"/>
        <v>11380667</v>
      </c>
      <c r="AF2357" s="20">
        <f t="shared" si="81"/>
        <v>11380667</v>
      </c>
      <c r="AG2357" s="20">
        <f t="shared" si="81"/>
        <v>11380667</v>
      </c>
      <c r="AH2357" s="20">
        <f t="shared" si="81"/>
        <v>11380667</v>
      </c>
      <c r="AI2357" s="20">
        <f t="shared" si="81"/>
        <v>11380667</v>
      </c>
      <c r="AJ2357" s="20">
        <f t="shared" si="81"/>
        <v>11380667</v>
      </c>
      <c r="AK2357" s="20">
        <f t="shared" si="81"/>
        <v>11380667</v>
      </c>
      <c r="AL2357" s="20">
        <f t="shared" si="81"/>
        <v>11380667</v>
      </c>
      <c r="AM2357" s="20">
        <f t="shared" si="81"/>
        <v>12046225.449999999</v>
      </c>
      <c r="AN2357" s="20">
        <f t="shared" si="81"/>
        <v>12046225.449999999</v>
      </c>
      <c r="AO2357" s="20">
        <f t="shared" si="81"/>
        <v>12396035.859999999</v>
      </c>
    </row>
    <row r="2358" spans="1:41" ht="14.25" x14ac:dyDescent="0.2">
      <c r="A2358" s="2">
        <v>3801</v>
      </c>
      <c r="B2358" s="3" t="s">
        <v>620</v>
      </c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  <c r="AH2358" s="9"/>
      <c r="AI2358" s="9"/>
      <c r="AJ2358" s="9"/>
      <c r="AK2358" s="9"/>
      <c r="AL2358" s="9"/>
      <c r="AM2358" s="9"/>
      <c r="AN2358" s="9"/>
      <c r="AO2358" s="9"/>
    </row>
    <row r="2359" spans="1:41" ht="14.25" x14ac:dyDescent="0.2">
      <c r="A2359" s="2">
        <v>380101</v>
      </c>
      <c r="B2359" s="3" t="s">
        <v>621</v>
      </c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9"/>
      <c r="AE2359" s="9"/>
      <c r="AF2359" s="9"/>
      <c r="AG2359" s="9"/>
      <c r="AH2359" s="9"/>
      <c r="AI2359" s="9"/>
      <c r="AJ2359" s="9"/>
      <c r="AK2359" s="9"/>
      <c r="AL2359" s="9"/>
      <c r="AM2359" s="9"/>
      <c r="AN2359" s="9"/>
      <c r="AO2359" s="9"/>
    </row>
    <row r="2360" spans="1:41" ht="14.25" x14ac:dyDescent="0.2">
      <c r="A2360" s="2">
        <v>380102</v>
      </c>
      <c r="B2360" s="3" t="s">
        <v>622</v>
      </c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9"/>
      <c r="AF2360" s="9"/>
      <c r="AG2360" s="9"/>
      <c r="AH2360" s="9"/>
      <c r="AI2360" s="9"/>
      <c r="AJ2360" s="9"/>
      <c r="AK2360" s="9"/>
      <c r="AL2360" s="9"/>
      <c r="AM2360" s="9"/>
      <c r="AN2360" s="9"/>
      <c r="AO2360" s="9"/>
    </row>
    <row r="2361" spans="1:41" ht="14.25" x14ac:dyDescent="0.2">
      <c r="A2361" s="2">
        <v>380103</v>
      </c>
      <c r="B2361" s="3" t="s">
        <v>623</v>
      </c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9"/>
      <c r="AF2361" s="9"/>
      <c r="AG2361" s="9"/>
      <c r="AH2361" s="9"/>
      <c r="AI2361" s="9"/>
      <c r="AJ2361" s="9"/>
      <c r="AK2361" s="9"/>
      <c r="AL2361" s="9"/>
      <c r="AM2361" s="9"/>
      <c r="AN2361" s="9"/>
      <c r="AO2361" s="9"/>
    </row>
    <row r="2362" spans="1:41" ht="28.5" x14ac:dyDescent="0.2">
      <c r="A2362" s="2">
        <v>380104</v>
      </c>
      <c r="B2362" s="4" t="s">
        <v>624</v>
      </c>
      <c r="C2362" s="11"/>
      <c r="D2362" s="11"/>
      <c r="E2362" s="11"/>
      <c r="F2362" s="11"/>
      <c r="G2362" s="11"/>
      <c r="H2362" s="11"/>
      <c r="I2362" s="11"/>
      <c r="J2362" s="11"/>
      <c r="K2362" s="11"/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1"/>
      <c r="AB2362" s="11"/>
      <c r="AC2362" s="11"/>
      <c r="AD2362" s="11"/>
      <c r="AE2362" s="11"/>
      <c r="AF2362" s="11"/>
      <c r="AG2362" s="11"/>
      <c r="AH2362" s="11"/>
      <c r="AI2362" s="11"/>
      <c r="AJ2362" s="11"/>
      <c r="AK2362" s="11"/>
      <c r="AL2362" s="11"/>
      <c r="AM2362" s="11"/>
      <c r="AN2362" s="11"/>
      <c r="AO2362" s="11"/>
    </row>
    <row r="2363" spans="1:41" ht="28.5" x14ac:dyDescent="0.2">
      <c r="A2363" s="2">
        <v>380105</v>
      </c>
      <c r="B2363" s="4" t="s">
        <v>625</v>
      </c>
      <c r="C2363" s="11"/>
      <c r="D2363" s="11"/>
      <c r="E2363" s="11"/>
      <c r="F2363" s="11"/>
      <c r="G2363" s="11"/>
      <c r="H2363" s="11"/>
      <c r="I2363" s="11"/>
      <c r="J2363" s="11"/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11"/>
      <c r="AG2363" s="11"/>
      <c r="AH2363" s="11"/>
      <c r="AI2363" s="11"/>
      <c r="AJ2363" s="11"/>
      <c r="AK2363" s="11"/>
      <c r="AL2363" s="11"/>
      <c r="AM2363" s="11"/>
      <c r="AN2363" s="11"/>
      <c r="AO2363" s="11"/>
    </row>
    <row r="2364" spans="1:41" ht="14.25" x14ac:dyDescent="0.2">
      <c r="A2364" s="2">
        <v>3802</v>
      </c>
      <c r="B2364" s="3" t="s">
        <v>626</v>
      </c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9"/>
      <c r="AH2364" s="9"/>
      <c r="AI2364" s="9"/>
      <c r="AJ2364" s="9"/>
      <c r="AK2364" s="9"/>
      <c r="AL2364" s="9"/>
      <c r="AM2364" s="9"/>
      <c r="AN2364" s="9"/>
      <c r="AO2364" s="9"/>
    </row>
    <row r="2365" spans="1:41" ht="14.25" x14ac:dyDescent="0.2">
      <c r="A2365" s="2">
        <v>380201</v>
      </c>
      <c r="B2365" s="3" t="s">
        <v>627</v>
      </c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  <c r="AF2365" s="9"/>
      <c r="AG2365" s="9"/>
      <c r="AH2365" s="9"/>
      <c r="AI2365" s="9"/>
      <c r="AJ2365" s="9"/>
      <c r="AK2365" s="9"/>
      <c r="AL2365" s="9"/>
      <c r="AM2365" s="9"/>
      <c r="AN2365" s="9"/>
      <c r="AO2365" s="9"/>
    </row>
    <row r="2366" spans="1:41" s="15" customFormat="1" ht="14.25" x14ac:dyDescent="0.2">
      <c r="A2366" s="18" t="s">
        <v>1693</v>
      </c>
      <c r="B2366" s="19" t="s">
        <v>1694</v>
      </c>
      <c r="C2366" s="20">
        <v>3521585.91</v>
      </c>
      <c r="D2366" s="20">
        <v>8285069.21</v>
      </c>
      <c r="E2366" s="20">
        <v>4763483.3</v>
      </c>
      <c r="F2366" s="20">
        <v>4763483.3</v>
      </c>
      <c r="G2366" s="20">
        <v>4763483.3</v>
      </c>
      <c r="H2366" s="20">
        <v>4763483.3</v>
      </c>
      <c r="I2366" s="20">
        <v>4763483.3</v>
      </c>
      <c r="J2366" s="20">
        <v>4763483.3</v>
      </c>
      <c r="K2366" s="20">
        <v>4763483.3</v>
      </c>
      <c r="L2366" s="20">
        <v>4763483.3</v>
      </c>
      <c r="M2366" s="20">
        <v>4763483.3</v>
      </c>
      <c r="N2366" s="20">
        <v>4763483.3</v>
      </c>
      <c r="O2366" s="20">
        <v>7644558.3700000001</v>
      </c>
      <c r="P2366" s="20">
        <v>7644558.3700000001</v>
      </c>
      <c r="Q2366" s="20">
        <v>7644558.3700000001</v>
      </c>
      <c r="R2366" s="20">
        <v>7644558.3700000001</v>
      </c>
      <c r="S2366" s="20">
        <v>7644558.3700000001</v>
      </c>
      <c r="T2366" s="20">
        <v>7644558.3700000001</v>
      </c>
      <c r="U2366" s="20">
        <v>7644558.3700000001</v>
      </c>
      <c r="V2366" s="20">
        <v>7644558.3700000001</v>
      </c>
      <c r="W2366" s="20">
        <v>7644558.3700000001</v>
      </c>
      <c r="X2366" s="20">
        <v>7644558.3700000001</v>
      </c>
      <c r="Y2366" s="20">
        <v>7644558.3700000001</v>
      </c>
      <c r="Z2366" s="20">
        <v>7644558.3700000001</v>
      </c>
      <c r="AA2366" s="20">
        <v>11380667</v>
      </c>
      <c r="AB2366" s="20">
        <v>11380667</v>
      </c>
      <c r="AC2366" s="20">
        <v>11380667</v>
      </c>
      <c r="AD2366" s="20">
        <v>11380667</v>
      </c>
      <c r="AE2366" s="20">
        <v>11380667</v>
      </c>
      <c r="AF2366" s="20">
        <v>11380667</v>
      </c>
      <c r="AG2366" s="20">
        <v>11380667</v>
      </c>
      <c r="AH2366" s="20">
        <v>11380667</v>
      </c>
      <c r="AI2366" s="20">
        <v>11380667</v>
      </c>
      <c r="AJ2366" s="20">
        <v>11380667</v>
      </c>
      <c r="AK2366" s="20">
        <v>11380667</v>
      </c>
      <c r="AL2366" s="20">
        <v>11380667</v>
      </c>
      <c r="AM2366" s="20">
        <v>12046225.449999999</v>
      </c>
      <c r="AN2366" s="20">
        <v>12046225.449999999</v>
      </c>
      <c r="AO2366" s="20">
        <v>12396035.859999999</v>
      </c>
    </row>
    <row r="2367" spans="1:41" ht="14.25" x14ac:dyDescent="0.2">
      <c r="A2367" s="2">
        <v>380203</v>
      </c>
      <c r="B2367" s="3" t="s">
        <v>628</v>
      </c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9"/>
      <c r="AG2367" s="9"/>
      <c r="AH2367" s="9"/>
      <c r="AI2367" s="9"/>
      <c r="AJ2367" s="9"/>
      <c r="AK2367" s="9"/>
      <c r="AL2367" s="9"/>
      <c r="AM2367" s="9"/>
      <c r="AN2367" s="9"/>
      <c r="AO2367" s="9"/>
    </row>
    <row r="2368" spans="1:41" ht="28.5" x14ac:dyDescent="0.2">
      <c r="A2368" s="2">
        <v>380204</v>
      </c>
      <c r="B2368" s="4" t="s">
        <v>629</v>
      </c>
      <c r="C2368" s="11"/>
      <c r="D2368" s="11"/>
      <c r="E2368" s="11"/>
      <c r="F2368" s="11"/>
      <c r="G2368" s="11"/>
      <c r="H2368" s="11"/>
      <c r="I2368" s="11"/>
      <c r="J2368" s="11"/>
      <c r="K2368" s="11"/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11"/>
      <c r="AG2368" s="11"/>
      <c r="AH2368" s="11"/>
      <c r="AI2368" s="11"/>
      <c r="AJ2368" s="11"/>
      <c r="AK2368" s="11"/>
      <c r="AL2368" s="11"/>
      <c r="AM2368" s="11"/>
      <c r="AN2368" s="11"/>
      <c r="AO2368" s="11"/>
    </row>
    <row r="2369" spans="1:41" ht="28.5" x14ac:dyDescent="0.2">
      <c r="A2369" s="2">
        <v>380205</v>
      </c>
      <c r="B2369" s="4" t="s">
        <v>630</v>
      </c>
      <c r="C2369" s="11"/>
      <c r="D2369" s="11"/>
      <c r="E2369" s="11"/>
      <c r="F2369" s="11"/>
      <c r="G2369" s="11"/>
      <c r="H2369" s="11"/>
      <c r="I2369" s="11"/>
      <c r="J2369" s="11"/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1"/>
      <c r="AB2369" s="11"/>
      <c r="AC2369" s="11"/>
      <c r="AD2369" s="11"/>
      <c r="AE2369" s="11"/>
      <c r="AF2369" s="11"/>
      <c r="AG2369" s="11"/>
      <c r="AH2369" s="11"/>
      <c r="AI2369" s="11"/>
      <c r="AJ2369" s="11"/>
      <c r="AK2369" s="11"/>
      <c r="AL2369" s="11"/>
      <c r="AM2369" s="11"/>
      <c r="AN2369" s="11"/>
      <c r="AO2369" s="11"/>
    </row>
    <row r="2370" spans="1:41" ht="14.25" x14ac:dyDescent="0.2">
      <c r="A2370" s="2">
        <v>39</v>
      </c>
      <c r="B2370" s="3" t="s">
        <v>631</v>
      </c>
      <c r="C2370" s="20">
        <f>+C2375+C2372</f>
        <v>362453.31</v>
      </c>
      <c r="D2370" s="20">
        <f t="shared" ref="D2370:AO2370" si="82">+D2375+D2372</f>
        <v>-436878.09</v>
      </c>
      <c r="E2370" s="20">
        <f t="shared" si="82"/>
        <v>797207.26</v>
      </c>
      <c r="F2370" s="20">
        <f t="shared" si="82"/>
        <v>766532.58</v>
      </c>
      <c r="G2370" s="20">
        <f t="shared" si="82"/>
        <v>1135149.82</v>
      </c>
      <c r="H2370" s="20">
        <f t="shared" si="82"/>
        <v>1325902.3999999999</v>
      </c>
      <c r="I2370" s="20">
        <f t="shared" si="82"/>
        <v>1601070.49</v>
      </c>
      <c r="J2370" s="20">
        <f t="shared" si="82"/>
        <v>2018294.67</v>
      </c>
      <c r="K2370" s="20">
        <f t="shared" si="82"/>
        <v>3049699.95</v>
      </c>
      <c r="L2370" s="20">
        <f t="shared" si="82"/>
        <v>3304992.89</v>
      </c>
      <c r="M2370" s="20">
        <f t="shared" si="82"/>
        <v>2694180.8</v>
      </c>
      <c r="N2370" s="20">
        <f t="shared" si="82"/>
        <v>2881075.07</v>
      </c>
      <c r="O2370" s="20">
        <f t="shared" si="82"/>
        <v>441346.11</v>
      </c>
      <c r="P2370" s="20">
        <f t="shared" si="82"/>
        <v>468233.02</v>
      </c>
      <c r="Q2370" s="20">
        <f t="shared" si="82"/>
        <v>1724198.51</v>
      </c>
      <c r="R2370" s="20">
        <f t="shared" si="82"/>
        <v>2229024.1800000002</v>
      </c>
      <c r="S2370" s="20">
        <f t="shared" si="82"/>
        <v>2702982.73</v>
      </c>
      <c r="T2370" s="20">
        <f t="shared" si="82"/>
        <v>3068021.64</v>
      </c>
      <c r="U2370" s="20">
        <f t="shared" si="82"/>
        <v>2671805.21</v>
      </c>
      <c r="V2370" s="20">
        <f t="shared" si="82"/>
        <v>2748492.13</v>
      </c>
      <c r="W2370" s="20">
        <f t="shared" si="82"/>
        <v>3064798.71</v>
      </c>
      <c r="X2370" s="20">
        <f t="shared" si="82"/>
        <v>3488431.29</v>
      </c>
      <c r="Y2370" s="20">
        <f t="shared" si="82"/>
        <v>3507009.97</v>
      </c>
      <c r="Z2370" s="20">
        <f t="shared" si="82"/>
        <v>3736108.63</v>
      </c>
      <c r="AA2370" s="20">
        <f t="shared" si="82"/>
        <v>-94651.09</v>
      </c>
      <c r="AB2370" s="20">
        <f t="shared" si="82"/>
        <v>-89643.91</v>
      </c>
      <c r="AC2370" s="20">
        <f t="shared" si="82"/>
        <v>401239.05</v>
      </c>
      <c r="AD2370" s="20">
        <f t="shared" si="82"/>
        <v>720090.52</v>
      </c>
      <c r="AE2370" s="20">
        <f t="shared" si="82"/>
        <v>760778.73</v>
      </c>
      <c r="AF2370" s="20">
        <f t="shared" si="82"/>
        <v>684445.57</v>
      </c>
      <c r="AG2370" s="20">
        <f t="shared" si="82"/>
        <v>990668.43</v>
      </c>
      <c r="AH2370" s="20">
        <f t="shared" si="82"/>
        <v>957137.05</v>
      </c>
      <c r="AI2370" s="20">
        <f t="shared" si="82"/>
        <v>1177744.8</v>
      </c>
      <c r="AJ2370" s="20">
        <f t="shared" si="82"/>
        <v>888647.79</v>
      </c>
      <c r="AK2370" s="20">
        <f t="shared" si="82"/>
        <v>995603.35</v>
      </c>
      <c r="AL2370" s="20">
        <f t="shared" si="82"/>
        <v>665558.44999999995</v>
      </c>
      <c r="AM2370" s="20">
        <f t="shared" si="82"/>
        <v>-28950.92</v>
      </c>
      <c r="AN2370" s="20">
        <f t="shared" si="82"/>
        <v>259632.99</v>
      </c>
      <c r="AO2370" s="20">
        <f t="shared" si="82"/>
        <v>1282940.3799999999</v>
      </c>
    </row>
    <row r="2371" spans="1:41" ht="14.25" x14ac:dyDescent="0.2">
      <c r="A2371" s="2">
        <v>3901</v>
      </c>
      <c r="B2371" s="3" t="s">
        <v>632</v>
      </c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  <c r="AE2371" s="9"/>
      <c r="AF2371" s="9"/>
      <c r="AG2371" s="9"/>
      <c r="AH2371" s="9"/>
      <c r="AI2371" s="9"/>
      <c r="AJ2371" s="9"/>
      <c r="AK2371" s="9"/>
      <c r="AL2371" s="9"/>
      <c r="AM2371" s="9"/>
      <c r="AN2371" s="9"/>
      <c r="AO2371" s="9"/>
    </row>
    <row r="2372" spans="1:41" ht="14.25" x14ac:dyDescent="0.2">
      <c r="A2372" s="2">
        <v>390101</v>
      </c>
      <c r="B2372" s="3" t="s">
        <v>633</v>
      </c>
      <c r="C2372" s="9"/>
      <c r="D2372" s="20">
        <v>-436878.09</v>
      </c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20">
        <v>-94651.09</v>
      </c>
      <c r="AB2372" s="20">
        <v>-89643.91</v>
      </c>
      <c r="AC2372" s="9"/>
      <c r="AD2372" s="9"/>
      <c r="AE2372" s="9"/>
      <c r="AF2372" s="9"/>
      <c r="AG2372" s="9"/>
      <c r="AH2372" s="9"/>
      <c r="AI2372" s="9"/>
      <c r="AJ2372" s="9"/>
      <c r="AK2372" s="9"/>
      <c r="AL2372" s="9"/>
      <c r="AM2372" s="20">
        <v>-28950.92</v>
      </c>
      <c r="AN2372" s="9"/>
      <c r="AO2372" s="9"/>
    </row>
    <row r="2373" spans="1:41" ht="14.25" x14ac:dyDescent="0.2">
      <c r="A2373" s="2">
        <v>390102</v>
      </c>
      <c r="B2373" s="3" t="s">
        <v>634</v>
      </c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  <c r="AF2373" s="9"/>
      <c r="AG2373" s="9"/>
      <c r="AH2373" s="9"/>
      <c r="AI2373" s="9"/>
      <c r="AJ2373" s="9"/>
      <c r="AK2373" s="9"/>
      <c r="AL2373" s="9"/>
      <c r="AM2373" s="9"/>
      <c r="AN2373" s="9"/>
      <c r="AO2373" s="9"/>
    </row>
    <row r="2374" spans="1:41" ht="14.25" x14ac:dyDescent="0.2">
      <c r="A2374" s="2">
        <v>3902</v>
      </c>
      <c r="B2374" s="3" t="s">
        <v>635</v>
      </c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  <c r="AF2374" s="9"/>
      <c r="AG2374" s="9"/>
      <c r="AH2374" s="9"/>
      <c r="AI2374" s="9"/>
      <c r="AJ2374" s="9"/>
      <c r="AK2374" s="9"/>
      <c r="AL2374" s="9"/>
      <c r="AM2374" s="9"/>
      <c r="AN2374" s="9"/>
      <c r="AO2374" s="9"/>
    </row>
    <row r="2375" spans="1:41" ht="14.25" x14ac:dyDescent="0.2">
      <c r="A2375" s="2">
        <v>390201</v>
      </c>
      <c r="B2375" s="3" t="s">
        <v>636</v>
      </c>
      <c r="C2375" s="20">
        <v>362453.31</v>
      </c>
      <c r="D2375" s="9"/>
      <c r="E2375" s="20">
        <v>797207.26</v>
      </c>
      <c r="F2375" s="20">
        <v>766532.58</v>
      </c>
      <c r="G2375" s="20">
        <v>1135149.82</v>
      </c>
      <c r="H2375" s="20">
        <v>1325902.3999999999</v>
      </c>
      <c r="I2375" s="20">
        <v>1601070.49</v>
      </c>
      <c r="J2375" s="20">
        <v>2018294.67</v>
      </c>
      <c r="K2375" s="20">
        <v>3049699.95</v>
      </c>
      <c r="L2375" s="20">
        <v>3304992.89</v>
      </c>
      <c r="M2375" s="20">
        <v>2694180.8</v>
      </c>
      <c r="N2375" s="20">
        <v>2881075.07</v>
      </c>
      <c r="O2375" s="20">
        <v>441346.11</v>
      </c>
      <c r="P2375" s="20">
        <v>468233.02</v>
      </c>
      <c r="Q2375" s="20">
        <v>1724198.51</v>
      </c>
      <c r="R2375" s="20">
        <v>2229024.1800000002</v>
      </c>
      <c r="S2375" s="20">
        <v>2702982.73</v>
      </c>
      <c r="T2375" s="20">
        <v>3068021.64</v>
      </c>
      <c r="U2375" s="20">
        <v>2671805.21</v>
      </c>
      <c r="V2375" s="20">
        <v>2748492.13</v>
      </c>
      <c r="W2375" s="20">
        <v>3064798.71</v>
      </c>
      <c r="X2375" s="20">
        <v>3488431.29</v>
      </c>
      <c r="Y2375" s="20">
        <v>3507009.97</v>
      </c>
      <c r="Z2375" s="20">
        <v>3736108.63</v>
      </c>
      <c r="AA2375" s="20"/>
      <c r="AB2375" s="20"/>
      <c r="AC2375" s="20">
        <v>401239.05</v>
      </c>
      <c r="AD2375" s="20">
        <v>720090.52</v>
      </c>
      <c r="AE2375" s="20">
        <v>760778.73</v>
      </c>
      <c r="AF2375" s="20">
        <v>684445.57</v>
      </c>
      <c r="AG2375" s="20">
        <v>990668.43</v>
      </c>
      <c r="AH2375" s="20">
        <v>957137.05</v>
      </c>
      <c r="AI2375" s="20">
        <v>1177744.8</v>
      </c>
      <c r="AJ2375" s="20">
        <v>888647.79</v>
      </c>
      <c r="AK2375" s="20">
        <v>995603.35</v>
      </c>
      <c r="AL2375" s="20">
        <v>665558.44999999995</v>
      </c>
      <c r="AM2375" s="20"/>
      <c r="AN2375" s="20">
        <v>259632.99</v>
      </c>
      <c r="AO2375" s="20">
        <v>1282940.3799999999</v>
      </c>
    </row>
    <row r="2376" spans="1:41" ht="14.25" x14ac:dyDescent="0.2">
      <c r="A2376" s="2">
        <v>4</v>
      </c>
      <c r="B2376" s="3" t="s">
        <v>637</v>
      </c>
      <c r="C2376" s="20">
        <f>+C2377+C2679+C2702+C2846+C2888+C3116</f>
        <v>1598543.26</v>
      </c>
      <c r="D2376" s="20">
        <f t="shared" ref="D2376:AO2376" si="83">+D2377+D2679+D2702+D2846+D2888+D3116</f>
        <v>1984566.1500000004</v>
      </c>
      <c r="E2376" s="20">
        <f t="shared" si="83"/>
        <v>4406655.3100000005</v>
      </c>
      <c r="F2376" s="20">
        <f t="shared" si="83"/>
        <v>5561295.1799999997</v>
      </c>
      <c r="G2376" s="20">
        <f t="shared" si="83"/>
        <v>7298959.1500000004</v>
      </c>
      <c r="H2376" s="20">
        <f t="shared" si="83"/>
        <v>8820821.7300000004</v>
      </c>
      <c r="I2376" s="20">
        <f t="shared" si="83"/>
        <v>10437070.440000001</v>
      </c>
      <c r="J2376" s="20">
        <f t="shared" si="83"/>
        <v>12238238.48</v>
      </c>
      <c r="K2376" s="20">
        <f t="shared" si="83"/>
        <v>14629604.07</v>
      </c>
      <c r="L2376" s="20">
        <f t="shared" si="83"/>
        <v>16164505.690000001</v>
      </c>
      <c r="M2376" s="20">
        <f t="shared" si="83"/>
        <v>17454137.190000001</v>
      </c>
      <c r="N2376" s="20">
        <f t="shared" si="83"/>
        <v>18655078.440000001</v>
      </c>
      <c r="O2376" s="20">
        <f t="shared" si="83"/>
        <v>1705960.33</v>
      </c>
      <c r="P2376" s="20">
        <f t="shared" si="83"/>
        <v>3541309.9299999997</v>
      </c>
      <c r="Q2376" s="20">
        <f t="shared" si="83"/>
        <v>6059803.3400000008</v>
      </c>
      <c r="R2376" s="20">
        <f t="shared" si="83"/>
        <v>8084857.620000001</v>
      </c>
      <c r="S2376" s="20">
        <f t="shared" si="83"/>
        <v>9695076.2899999991</v>
      </c>
      <c r="T2376" s="20">
        <f t="shared" si="83"/>
        <v>11155795.810000001</v>
      </c>
      <c r="U2376" s="20">
        <f t="shared" si="83"/>
        <v>12143983.26</v>
      </c>
      <c r="V2376" s="20">
        <f t="shared" si="83"/>
        <v>13412219.23</v>
      </c>
      <c r="W2376" s="20">
        <f t="shared" si="83"/>
        <v>15544515.76</v>
      </c>
      <c r="X2376" s="20">
        <f t="shared" si="83"/>
        <v>18825723.41</v>
      </c>
      <c r="Y2376" s="20">
        <f t="shared" si="83"/>
        <v>19831221.41</v>
      </c>
      <c r="Z2376" s="20">
        <f t="shared" si="83"/>
        <v>21123391.159999996</v>
      </c>
      <c r="AA2376" s="20">
        <f t="shared" si="83"/>
        <v>1057084.01</v>
      </c>
      <c r="AB2376" s="20">
        <f t="shared" si="83"/>
        <v>2143397.69</v>
      </c>
      <c r="AC2376" s="20">
        <f t="shared" si="83"/>
        <v>3559125.1799999997</v>
      </c>
      <c r="AD2376" s="20">
        <f t="shared" si="83"/>
        <v>4808740.7</v>
      </c>
      <c r="AE2376" s="20">
        <f t="shared" si="83"/>
        <v>5971163.3299999991</v>
      </c>
      <c r="AF2376" s="20">
        <f t="shared" si="83"/>
        <v>7195868.46</v>
      </c>
      <c r="AG2376" s="20">
        <f t="shared" si="83"/>
        <v>8386859.04</v>
      </c>
      <c r="AH2376" s="20">
        <f t="shared" si="83"/>
        <v>9693526.9200000018</v>
      </c>
      <c r="AI2376" s="20">
        <f t="shared" si="83"/>
        <v>10986725</v>
      </c>
      <c r="AJ2376" s="20">
        <f t="shared" si="83"/>
        <v>12100185.189999999</v>
      </c>
      <c r="AK2376" s="20">
        <f t="shared" si="83"/>
        <v>13265046.58</v>
      </c>
      <c r="AL2376" s="20">
        <f t="shared" si="83"/>
        <v>14351310</v>
      </c>
      <c r="AM2376" s="20">
        <f t="shared" si="83"/>
        <v>1022008.8599999999</v>
      </c>
      <c r="AN2376" s="20">
        <f t="shared" si="83"/>
        <v>2182934.12</v>
      </c>
      <c r="AO2376" s="20">
        <f t="shared" si="83"/>
        <v>4183126.77</v>
      </c>
    </row>
    <row r="2377" spans="1:41" ht="14.25" x14ac:dyDescent="0.2">
      <c r="A2377" s="2">
        <v>41</v>
      </c>
      <c r="B2377" s="3" t="s">
        <v>638</v>
      </c>
      <c r="C2377" s="20">
        <f>+C2397+C2401+C2404+C2460+C2463+C2470</f>
        <v>854558.95</v>
      </c>
      <c r="D2377" s="20">
        <f t="shared" ref="D2377:AO2377" si="84">+D2397+D2401+D2404+D2460+D2463+D2470</f>
        <v>1404953.05</v>
      </c>
      <c r="E2377" s="20">
        <f t="shared" si="84"/>
        <v>1853722.8800000001</v>
      </c>
      <c r="F2377" s="20">
        <f t="shared" si="84"/>
        <v>2272267.15</v>
      </c>
      <c r="G2377" s="20">
        <f t="shared" si="84"/>
        <v>2906155.21</v>
      </c>
      <c r="H2377" s="20">
        <f t="shared" si="84"/>
        <v>3365077.03</v>
      </c>
      <c r="I2377" s="20">
        <f t="shared" si="84"/>
        <v>3945708.05</v>
      </c>
      <c r="J2377" s="20">
        <f t="shared" si="84"/>
        <v>4871214.6900000004</v>
      </c>
      <c r="K2377" s="20">
        <f t="shared" si="84"/>
        <v>5801075.5499999998</v>
      </c>
      <c r="L2377" s="20">
        <f t="shared" si="84"/>
        <v>6515551.4700000007</v>
      </c>
      <c r="M2377" s="20">
        <f t="shared" si="84"/>
        <v>7175635.9999999991</v>
      </c>
      <c r="N2377" s="20">
        <f t="shared" si="84"/>
        <v>7771275.5099999998</v>
      </c>
      <c r="O2377" s="20">
        <f t="shared" si="84"/>
        <v>1002522.47</v>
      </c>
      <c r="P2377" s="20">
        <f t="shared" si="84"/>
        <v>2004836.0199999998</v>
      </c>
      <c r="Q2377" s="20">
        <f t="shared" si="84"/>
        <v>2807847.6100000003</v>
      </c>
      <c r="R2377" s="20">
        <f t="shared" si="84"/>
        <v>3951574.5900000003</v>
      </c>
      <c r="S2377" s="20">
        <f t="shared" si="84"/>
        <v>4600468.72</v>
      </c>
      <c r="T2377" s="20">
        <f t="shared" si="84"/>
        <v>5579733.46</v>
      </c>
      <c r="U2377" s="20">
        <f t="shared" si="84"/>
        <v>5970799.5800000001</v>
      </c>
      <c r="V2377" s="20">
        <f t="shared" si="84"/>
        <v>6541643.5899999999</v>
      </c>
      <c r="W2377" s="20">
        <f t="shared" si="84"/>
        <v>8045170.9299999997</v>
      </c>
      <c r="X2377" s="20">
        <f t="shared" si="84"/>
        <v>10667908.969999999</v>
      </c>
      <c r="Y2377" s="20">
        <f t="shared" si="84"/>
        <v>11046222.73</v>
      </c>
      <c r="Z2377" s="20">
        <f t="shared" si="84"/>
        <v>11533428.49</v>
      </c>
      <c r="AA2377" s="20">
        <f t="shared" si="84"/>
        <v>397929.29</v>
      </c>
      <c r="AB2377" s="20">
        <f t="shared" si="84"/>
        <v>808269.68</v>
      </c>
      <c r="AC2377" s="20">
        <f t="shared" si="84"/>
        <v>1227655.3699999999</v>
      </c>
      <c r="AD2377" s="20">
        <f t="shared" si="84"/>
        <v>1715185.99</v>
      </c>
      <c r="AE2377" s="20">
        <f t="shared" si="84"/>
        <v>2137621.0699999998</v>
      </c>
      <c r="AF2377" s="20">
        <f t="shared" si="84"/>
        <v>2548645.9499999997</v>
      </c>
      <c r="AG2377" s="20">
        <f t="shared" si="84"/>
        <v>2988814.42</v>
      </c>
      <c r="AH2377" s="20">
        <f t="shared" si="84"/>
        <v>3619503.62</v>
      </c>
      <c r="AI2377" s="20">
        <f t="shared" si="84"/>
        <v>4049581.6</v>
      </c>
      <c r="AJ2377" s="20">
        <f t="shared" si="84"/>
        <v>4499527.54</v>
      </c>
      <c r="AK2377" s="20">
        <f t="shared" si="84"/>
        <v>4970475.6899999995</v>
      </c>
      <c r="AL2377" s="20">
        <f t="shared" si="84"/>
        <v>5423890.3599999994</v>
      </c>
      <c r="AM2377" s="20">
        <f t="shared" si="84"/>
        <v>450582.14999999997</v>
      </c>
      <c r="AN2377" s="20">
        <f t="shared" si="84"/>
        <v>933959.06</v>
      </c>
      <c r="AO2377" s="20">
        <f t="shared" si="84"/>
        <v>2037112.8</v>
      </c>
    </row>
    <row r="2378" spans="1:41" ht="14.25" x14ac:dyDescent="0.2">
      <c r="A2378" s="2">
        <v>4101</v>
      </c>
      <c r="B2378" s="3" t="s">
        <v>639</v>
      </c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9"/>
      <c r="AH2378" s="9"/>
      <c r="AI2378" s="9"/>
      <c r="AJ2378" s="9"/>
      <c r="AK2378" s="9"/>
      <c r="AL2378" s="9"/>
      <c r="AM2378" s="9"/>
      <c r="AN2378" s="9"/>
      <c r="AO2378" s="9"/>
    </row>
    <row r="2379" spans="1:41" x14ac:dyDescent="0.2">
      <c r="A2379" s="5">
        <v>410101</v>
      </c>
      <c r="B2379" s="6" t="s">
        <v>640</v>
      </c>
      <c r="C2379" s="12"/>
      <c r="D2379" s="12"/>
      <c r="E2379" s="12"/>
      <c r="F2379" s="12"/>
      <c r="G2379" s="12"/>
      <c r="H2379" s="12"/>
      <c r="I2379" s="12"/>
      <c r="J2379" s="12"/>
      <c r="K2379" s="12"/>
      <c r="L2379" s="12"/>
      <c r="M2379" s="12"/>
      <c r="N2379" s="12"/>
      <c r="O2379" s="12"/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  <c r="AA2379" s="12"/>
      <c r="AB2379" s="12"/>
      <c r="AC2379" s="12"/>
      <c r="AD2379" s="12"/>
      <c r="AE2379" s="12"/>
      <c r="AF2379" s="12"/>
      <c r="AG2379" s="12"/>
      <c r="AH2379" s="12"/>
      <c r="AI2379" s="12"/>
      <c r="AJ2379" s="12"/>
      <c r="AK2379" s="12"/>
      <c r="AL2379" s="12"/>
      <c r="AM2379" s="12"/>
      <c r="AN2379" s="12"/>
      <c r="AO2379" s="12"/>
    </row>
    <row r="2380" spans="1:41" x14ac:dyDescent="0.2">
      <c r="A2380" s="5">
        <v>41010101</v>
      </c>
      <c r="B2380" s="6" t="s">
        <v>411</v>
      </c>
      <c r="C2380" s="12"/>
      <c r="D2380" s="12"/>
      <c r="E2380" s="12"/>
      <c r="F2380" s="12"/>
      <c r="G2380" s="12"/>
      <c r="H2380" s="12"/>
      <c r="I2380" s="12"/>
      <c r="J2380" s="12"/>
      <c r="K2380" s="12"/>
      <c r="L2380" s="12"/>
      <c r="M2380" s="12"/>
      <c r="N2380" s="12"/>
      <c r="O2380" s="12"/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  <c r="AA2380" s="12"/>
      <c r="AB2380" s="12"/>
      <c r="AC2380" s="12"/>
      <c r="AD2380" s="12"/>
      <c r="AE2380" s="12"/>
      <c r="AF2380" s="12"/>
      <c r="AG2380" s="12"/>
      <c r="AH2380" s="12"/>
      <c r="AI2380" s="12"/>
      <c r="AJ2380" s="12"/>
      <c r="AK2380" s="12"/>
      <c r="AL2380" s="12"/>
      <c r="AM2380" s="12"/>
      <c r="AN2380" s="12"/>
      <c r="AO2380" s="12"/>
    </row>
    <row r="2381" spans="1:41" x14ac:dyDescent="0.2">
      <c r="A2381" s="5">
        <v>41010102</v>
      </c>
      <c r="B2381" s="6" t="s">
        <v>412</v>
      </c>
      <c r="C2381" s="12"/>
      <c r="D2381" s="12"/>
      <c r="E2381" s="12"/>
      <c r="F2381" s="12"/>
      <c r="G2381" s="12"/>
      <c r="H2381" s="12"/>
      <c r="I2381" s="12"/>
      <c r="J2381" s="12"/>
      <c r="K2381" s="12"/>
      <c r="L2381" s="12"/>
      <c r="M2381" s="12"/>
      <c r="N2381" s="12"/>
      <c r="O2381" s="12"/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  <c r="AA2381" s="12"/>
      <c r="AB2381" s="12"/>
      <c r="AC2381" s="12"/>
      <c r="AD2381" s="12"/>
      <c r="AE2381" s="12"/>
      <c r="AF2381" s="12"/>
      <c r="AG2381" s="12"/>
      <c r="AH2381" s="12"/>
      <c r="AI2381" s="12"/>
      <c r="AJ2381" s="12"/>
      <c r="AK2381" s="12"/>
      <c r="AL2381" s="12"/>
      <c r="AM2381" s="12"/>
      <c r="AN2381" s="12"/>
      <c r="AO2381" s="12"/>
    </row>
    <row r="2382" spans="1:41" x14ac:dyDescent="0.2">
      <c r="A2382" s="5">
        <v>41010103</v>
      </c>
      <c r="B2382" s="6" t="s">
        <v>413</v>
      </c>
      <c r="C2382" s="12"/>
      <c r="D2382" s="12"/>
      <c r="E2382" s="12"/>
      <c r="F2382" s="12"/>
      <c r="G2382" s="12"/>
      <c r="H2382" s="12"/>
      <c r="I2382" s="12"/>
      <c r="J2382" s="12"/>
      <c r="K2382" s="12"/>
      <c r="L2382" s="12"/>
      <c r="M2382" s="12"/>
      <c r="N2382" s="12"/>
      <c r="O2382" s="12"/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  <c r="AA2382" s="12"/>
      <c r="AB2382" s="12"/>
      <c r="AC2382" s="12"/>
      <c r="AD2382" s="12"/>
      <c r="AE2382" s="12"/>
      <c r="AF2382" s="12"/>
      <c r="AG2382" s="12"/>
      <c r="AH2382" s="12"/>
      <c r="AI2382" s="12"/>
      <c r="AJ2382" s="12"/>
      <c r="AK2382" s="12"/>
      <c r="AL2382" s="12"/>
      <c r="AM2382" s="12"/>
      <c r="AN2382" s="12"/>
      <c r="AO2382" s="12"/>
    </row>
    <row r="2383" spans="1:41" x14ac:dyDescent="0.2">
      <c r="A2383" s="5">
        <v>41010104</v>
      </c>
      <c r="B2383" s="6" t="s">
        <v>414</v>
      </c>
      <c r="C2383" s="12"/>
      <c r="D2383" s="12"/>
      <c r="E2383" s="12"/>
      <c r="F2383" s="12"/>
      <c r="G2383" s="12"/>
      <c r="H2383" s="12"/>
      <c r="I2383" s="12"/>
      <c r="J2383" s="12"/>
      <c r="K2383" s="12"/>
      <c r="L2383" s="12"/>
      <c r="M2383" s="12"/>
      <c r="N2383" s="12"/>
      <c r="O2383" s="12"/>
      <c r="P2383" s="12"/>
      <c r="Q2383" s="12"/>
      <c r="R2383" s="12"/>
      <c r="S2383" s="12"/>
      <c r="T2383" s="12"/>
      <c r="U2383" s="12"/>
      <c r="V2383" s="12"/>
      <c r="W2383" s="12"/>
      <c r="X2383" s="12"/>
      <c r="Y2383" s="12"/>
      <c r="Z2383" s="12"/>
      <c r="AA2383" s="12"/>
      <c r="AB2383" s="12"/>
      <c r="AC2383" s="12"/>
      <c r="AD2383" s="12"/>
      <c r="AE2383" s="12"/>
      <c r="AF2383" s="12"/>
      <c r="AG2383" s="12"/>
      <c r="AH2383" s="12"/>
      <c r="AI2383" s="12"/>
      <c r="AJ2383" s="12"/>
      <c r="AK2383" s="12"/>
      <c r="AL2383" s="12"/>
      <c r="AM2383" s="12"/>
      <c r="AN2383" s="12"/>
      <c r="AO2383" s="12"/>
    </row>
    <row r="2384" spans="1:41" x14ac:dyDescent="0.2">
      <c r="A2384" s="5">
        <v>41010105</v>
      </c>
      <c r="B2384" s="6" t="s">
        <v>415</v>
      </c>
      <c r="C2384" s="12"/>
      <c r="D2384" s="12"/>
      <c r="E2384" s="12"/>
      <c r="F2384" s="12"/>
      <c r="G2384" s="12"/>
      <c r="H2384" s="12"/>
      <c r="I2384" s="12"/>
      <c r="J2384" s="12"/>
      <c r="K2384" s="12"/>
      <c r="L2384" s="12"/>
      <c r="M2384" s="12"/>
      <c r="N2384" s="12"/>
      <c r="O2384" s="12"/>
      <c r="P2384" s="12"/>
      <c r="Q2384" s="12"/>
      <c r="R2384" s="12"/>
      <c r="S2384" s="12"/>
      <c r="T2384" s="12"/>
      <c r="U2384" s="12"/>
      <c r="V2384" s="12"/>
      <c r="W2384" s="12"/>
      <c r="X2384" s="12"/>
      <c r="Y2384" s="12"/>
      <c r="Z2384" s="12"/>
      <c r="AA2384" s="12"/>
      <c r="AB2384" s="12"/>
      <c r="AC2384" s="12"/>
      <c r="AD2384" s="12"/>
      <c r="AE2384" s="12"/>
      <c r="AF2384" s="12"/>
      <c r="AG2384" s="12"/>
      <c r="AH2384" s="12"/>
      <c r="AI2384" s="12"/>
      <c r="AJ2384" s="12"/>
      <c r="AK2384" s="12"/>
      <c r="AL2384" s="12"/>
      <c r="AM2384" s="12"/>
      <c r="AN2384" s="12"/>
      <c r="AO2384" s="12"/>
    </row>
    <row r="2385" spans="1:41" x14ac:dyDescent="0.2">
      <c r="A2385" s="5">
        <v>41010106</v>
      </c>
      <c r="B2385" s="6" t="s">
        <v>416</v>
      </c>
      <c r="C2385" s="12"/>
      <c r="D2385" s="12"/>
      <c r="E2385" s="12"/>
      <c r="F2385" s="12"/>
      <c r="G2385" s="12"/>
      <c r="H2385" s="12"/>
      <c r="I2385" s="12"/>
      <c r="J2385" s="12"/>
      <c r="K2385" s="12"/>
      <c r="L2385" s="12"/>
      <c r="M2385" s="12"/>
      <c r="N2385" s="12"/>
      <c r="O2385" s="12"/>
      <c r="P2385" s="12"/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  <c r="AA2385" s="12"/>
      <c r="AB2385" s="12"/>
      <c r="AC2385" s="12"/>
      <c r="AD2385" s="12"/>
      <c r="AE2385" s="12"/>
      <c r="AF2385" s="12"/>
      <c r="AG2385" s="12"/>
      <c r="AH2385" s="12"/>
      <c r="AI2385" s="12"/>
      <c r="AJ2385" s="12"/>
      <c r="AK2385" s="12"/>
      <c r="AL2385" s="12"/>
      <c r="AM2385" s="12"/>
      <c r="AN2385" s="12"/>
      <c r="AO2385" s="12"/>
    </row>
    <row r="2386" spans="1:41" x14ac:dyDescent="0.2">
      <c r="A2386" s="5">
        <v>41010107</v>
      </c>
      <c r="B2386" s="6" t="s">
        <v>417</v>
      </c>
      <c r="C2386" s="12"/>
      <c r="D2386" s="12"/>
      <c r="E2386" s="12"/>
      <c r="F2386" s="12"/>
      <c r="G2386" s="12"/>
      <c r="H2386" s="12"/>
      <c r="I2386" s="12"/>
      <c r="J2386" s="12"/>
      <c r="K2386" s="12"/>
      <c r="L2386" s="12"/>
      <c r="M2386" s="12"/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  <c r="AA2386" s="12"/>
      <c r="AB2386" s="12"/>
      <c r="AC2386" s="12"/>
      <c r="AD2386" s="12"/>
      <c r="AE2386" s="12"/>
      <c r="AF2386" s="12"/>
      <c r="AG2386" s="12"/>
      <c r="AH2386" s="12"/>
      <c r="AI2386" s="12"/>
      <c r="AJ2386" s="12"/>
      <c r="AK2386" s="12"/>
      <c r="AL2386" s="12"/>
      <c r="AM2386" s="12"/>
      <c r="AN2386" s="12"/>
      <c r="AO2386" s="12"/>
    </row>
    <row r="2387" spans="1:41" x14ac:dyDescent="0.2">
      <c r="A2387" s="5">
        <v>41010108</v>
      </c>
      <c r="B2387" s="6" t="s">
        <v>420</v>
      </c>
      <c r="C2387" s="12"/>
      <c r="D2387" s="12"/>
      <c r="E2387" s="12"/>
      <c r="F2387" s="12"/>
      <c r="G2387" s="12"/>
      <c r="H2387" s="12"/>
      <c r="I2387" s="12"/>
      <c r="J2387" s="12"/>
      <c r="K2387" s="12"/>
      <c r="L2387" s="12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2"/>
      <c r="AB2387" s="12"/>
      <c r="AC2387" s="12"/>
      <c r="AD2387" s="12"/>
      <c r="AE2387" s="12"/>
      <c r="AF2387" s="12"/>
      <c r="AG2387" s="12"/>
      <c r="AH2387" s="12"/>
      <c r="AI2387" s="12"/>
      <c r="AJ2387" s="12"/>
      <c r="AK2387" s="12"/>
      <c r="AL2387" s="12"/>
      <c r="AM2387" s="12"/>
      <c r="AN2387" s="12"/>
      <c r="AO2387" s="12"/>
    </row>
    <row r="2388" spans="1:41" x14ac:dyDescent="0.2">
      <c r="A2388" s="5">
        <v>41010109</v>
      </c>
      <c r="B2388" s="6" t="s">
        <v>423</v>
      </c>
      <c r="C2388" s="12"/>
      <c r="D2388" s="12"/>
      <c r="E2388" s="12"/>
      <c r="F2388" s="12"/>
      <c r="G2388" s="12"/>
      <c r="H2388" s="12"/>
      <c r="I2388" s="12"/>
      <c r="J2388" s="12"/>
      <c r="K2388" s="12"/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  <c r="AA2388" s="12"/>
      <c r="AB2388" s="12"/>
      <c r="AC2388" s="12"/>
      <c r="AD2388" s="12"/>
      <c r="AE2388" s="12"/>
      <c r="AF2388" s="12"/>
      <c r="AG2388" s="12"/>
      <c r="AH2388" s="12"/>
      <c r="AI2388" s="12"/>
      <c r="AJ2388" s="12"/>
      <c r="AK2388" s="12"/>
      <c r="AL2388" s="12"/>
      <c r="AM2388" s="12"/>
      <c r="AN2388" s="12"/>
      <c r="AO2388" s="12"/>
    </row>
    <row r="2389" spans="1:41" x14ac:dyDescent="0.2">
      <c r="A2389" s="5">
        <v>41010110</v>
      </c>
      <c r="B2389" s="6" t="s">
        <v>431</v>
      </c>
      <c r="C2389" s="12"/>
      <c r="D2389" s="12"/>
      <c r="E2389" s="12"/>
      <c r="F2389" s="12"/>
      <c r="G2389" s="12"/>
      <c r="H2389" s="12"/>
      <c r="I2389" s="12"/>
      <c r="J2389" s="12"/>
      <c r="K2389" s="12"/>
      <c r="L2389" s="12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  <c r="AA2389" s="12"/>
      <c r="AB2389" s="12"/>
      <c r="AC2389" s="12"/>
      <c r="AD2389" s="12"/>
      <c r="AE2389" s="12"/>
      <c r="AF2389" s="12"/>
      <c r="AG2389" s="12"/>
      <c r="AH2389" s="12"/>
      <c r="AI2389" s="12"/>
      <c r="AJ2389" s="12"/>
      <c r="AK2389" s="12"/>
      <c r="AL2389" s="12"/>
      <c r="AM2389" s="12"/>
      <c r="AN2389" s="12"/>
      <c r="AO2389" s="12"/>
    </row>
    <row r="2390" spans="1:41" x14ac:dyDescent="0.2">
      <c r="A2390" s="5">
        <v>41010112</v>
      </c>
      <c r="B2390" s="6" t="s">
        <v>433</v>
      </c>
      <c r="C2390" s="12"/>
      <c r="D2390" s="12"/>
      <c r="E2390" s="12"/>
      <c r="F2390" s="12"/>
      <c r="G2390" s="12"/>
      <c r="H2390" s="12"/>
      <c r="I2390" s="12"/>
      <c r="J2390" s="12"/>
      <c r="K2390" s="12"/>
      <c r="L2390" s="12"/>
      <c r="M2390" s="12"/>
      <c r="N2390" s="12"/>
      <c r="O2390" s="12"/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  <c r="AA2390" s="12"/>
      <c r="AB2390" s="12"/>
      <c r="AC2390" s="12"/>
      <c r="AD2390" s="12"/>
      <c r="AE2390" s="12"/>
      <c r="AF2390" s="12"/>
      <c r="AG2390" s="12"/>
      <c r="AH2390" s="12"/>
      <c r="AI2390" s="12"/>
      <c r="AJ2390" s="12"/>
      <c r="AK2390" s="12"/>
      <c r="AL2390" s="12"/>
      <c r="AM2390" s="12"/>
      <c r="AN2390" s="12"/>
      <c r="AO2390" s="12"/>
    </row>
    <row r="2391" spans="1:41" x14ac:dyDescent="0.2">
      <c r="A2391" s="5">
        <v>41010113</v>
      </c>
      <c r="B2391" s="6" t="s">
        <v>435</v>
      </c>
      <c r="C2391" s="12"/>
      <c r="D2391" s="12"/>
      <c r="E2391" s="12"/>
      <c r="F2391" s="12"/>
      <c r="G2391" s="12"/>
      <c r="H2391" s="12"/>
      <c r="I2391" s="12"/>
      <c r="J2391" s="12"/>
      <c r="K2391" s="12"/>
      <c r="L2391" s="12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  <c r="AA2391" s="12"/>
      <c r="AB2391" s="12"/>
      <c r="AC2391" s="12"/>
      <c r="AD2391" s="12"/>
      <c r="AE2391" s="12"/>
      <c r="AF2391" s="12"/>
      <c r="AG2391" s="12"/>
      <c r="AH2391" s="12"/>
      <c r="AI2391" s="12"/>
      <c r="AJ2391" s="12"/>
      <c r="AK2391" s="12"/>
      <c r="AL2391" s="12"/>
      <c r="AM2391" s="12"/>
      <c r="AN2391" s="12"/>
      <c r="AO2391" s="12"/>
    </row>
    <row r="2392" spans="1:41" x14ac:dyDescent="0.2">
      <c r="A2392" s="5">
        <v>41010114</v>
      </c>
      <c r="B2392" s="6" t="s">
        <v>436</v>
      </c>
      <c r="C2392" s="12"/>
      <c r="D2392" s="12"/>
      <c r="E2392" s="12"/>
      <c r="F2392" s="12"/>
      <c r="G2392" s="12"/>
      <c r="H2392" s="12"/>
      <c r="I2392" s="12"/>
      <c r="J2392" s="12"/>
      <c r="K2392" s="12"/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  <c r="AA2392" s="12"/>
      <c r="AB2392" s="12"/>
      <c r="AC2392" s="12"/>
      <c r="AD2392" s="12"/>
      <c r="AE2392" s="12"/>
      <c r="AF2392" s="12"/>
      <c r="AG2392" s="12"/>
      <c r="AH2392" s="12"/>
      <c r="AI2392" s="12"/>
      <c r="AJ2392" s="12"/>
      <c r="AK2392" s="12"/>
      <c r="AL2392" s="12"/>
      <c r="AM2392" s="12"/>
      <c r="AN2392" s="12"/>
      <c r="AO2392" s="12"/>
    </row>
    <row r="2393" spans="1:41" x14ac:dyDescent="0.2">
      <c r="A2393" s="5">
        <v>41010115</v>
      </c>
      <c r="B2393" s="6" t="s">
        <v>437</v>
      </c>
      <c r="C2393" s="12"/>
      <c r="D2393" s="12"/>
      <c r="E2393" s="12"/>
      <c r="F2393" s="12"/>
      <c r="G2393" s="12"/>
      <c r="H2393" s="12"/>
      <c r="I2393" s="12"/>
      <c r="J2393" s="12"/>
      <c r="K2393" s="12"/>
      <c r="L2393" s="12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  <c r="AA2393" s="12"/>
      <c r="AB2393" s="12"/>
      <c r="AC2393" s="12"/>
      <c r="AD2393" s="12"/>
      <c r="AE2393" s="12"/>
      <c r="AF2393" s="12"/>
      <c r="AG2393" s="12"/>
      <c r="AH2393" s="12"/>
      <c r="AI2393" s="12"/>
      <c r="AJ2393" s="12"/>
      <c r="AK2393" s="12"/>
      <c r="AL2393" s="12"/>
      <c r="AM2393" s="12"/>
      <c r="AN2393" s="12"/>
      <c r="AO2393" s="12"/>
    </row>
    <row r="2394" spans="1:41" x14ac:dyDescent="0.2">
      <c r="A2394" s="5">
        <v>41010116</v>
      </c>
      <c r="B2394" s="6" t="s">
        <v>438</v>
      </c>
      <c r="C2394" s="12"/>
      <c r="D2394" s="12"/>
      <c r="E2394" s="12"/>
      <c r="F2394" s="12"/>
      <c r="G2394" s="12"/>
      <c r="H2394" s="12"/>
      <c r="I2394" s="12"/>
      <c r="J2394" s="12"/>
      <c r="K2394" s="12"/>
      <c r="L2394" s="12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  <c r="AA2394" s="12"/>
      <c r="AB2394" s="12"/>
      <c r="AC2394" s="12"/>
      <c r="AD2394" s="12"/>
      <c r="AE2394" s="12"/>
      <c r="AF2394" s="12"/>
      <c r="AG2394" s="12"/>
      <c r="AH2394" s="12"/>
      <c r="AI2394" s="12"/>
      <c r="AJ2394" s="12"/>
      <c r="AK2394" s="12"/>
      <c r="AL2394" s="12"/>
      <c r="AM2394" s="12"/>
      <c r="AN2394" s="12"/>
      <c r="AO2394" s="12"/>
    </row>
    <row r="2395" spans="1:41" x14ac:dyDescent="0.2">
      <c r="A2395" s="5">
        <v>41010119</v>
      </c>
      <c r="B2395" s="6" t="s">
        <v>439</v>
      </c>
      <c r="C2395" s="12"/>
      <c r="D2395" s="12"/>
      <c r="E2395" s="12"/>
      <c r="F2395" s="12"/>
      <c r="G2395" s="12"/>
      <c r="H2395" s="12"/>
      <c r="I2395" s="12"/>
      <c r="J2395" s="12"/>
      <c r="K2395" s="12"/>
      <c r="L2395" s="12"/>
      <c r="M2395" s="12"/>
      <c r="N2395" s="12"/>
      <c r="O2395" s="12"/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  <c r="AA2395" s="12"/>
      <c r="AB2395" s="12"/>
      <c r="AC2395" s="12"/>
      <c r="AD2395" s="12"/>
      <c r="AE2395" s="12"/>
      <c r="AF2395" s="12"/>
      <c r="AG2395" s="12"/>
      <c r="AH2395" s="12"/>
      <c r="AI2395" s="12"/>
      <c r="AJ2395" s="12"/>
      <c r="AK2395" s="12"/>
      <c r="AL2395" s="12"/>
      <c r="AM2395" s="12"/>
      <c r="AN2395" s="12"/>
      <c r="AO2395" s="12"/>
    </row>
    <row r="2396" spans="1:41" ht="28.5" x14ac:dyDescent="0.2">
      <c r="A2396" s="2">
        <v>410102</v>
      </c>
      <c r="B2396" s="4" t="s">
        <v>641</v>
      </c>
      <c r="C2396" s="11"/>
      <c r="D2396" s="11"/>
      <c r="E2396" s="11"/>
      <c r="F2396" s="11"/>
      <c r="G2396" s="11"/>
      <c r="H2396" s="11"/>
      <c r="I2396" s="11"/>
      <c r="J2396" s="11"/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  <c r="AA2396" s="11"/>
      <c r="AB2396" s="11"/>
      <c r="AC2396" s="11"/>
      <c r="AD2396" s="11"/>
      <c r="AE2396" s="11"/>
      <c r="AF2396" s="11"/>
      <c r="AG2396" s="11"/>
      <c r="AH2396" s="11"/>
      <c r="AI2396" s="11"/>
      <c r="AJ2396" s="11"/>
      <c r="AK2396" s="11"/>
      <c r="AL2396" s="11"/>
      <c r="AM2396" s="11"/>
      <c r="AN2396" s="11"/>
      <c r="AO2396" s="11"/>
    </row>
    <row r="2397" spans="1:41" s="15" customFormat="1" ht="14.25" x14ac:dyDescent="0.2">
      <c r="A2397" s="18" t="s">
        <v>1695</v>
      </c>
      <c r="B2397" s="19" t="s">
        <v>1696</v>
      </c>
      <c r="C2397" s="20">
        <v>60716.160000000003</v>
      </c>
      <c r="D2397" s="20">
        <v>116061.55</v>
      </c>
      <c r="E2397" s="20">
        <v>176207.27</v>
      </c>
      <c r="F2397" s="20">
        <v>234110.28</v>
      </c>
      <c r="G2397" s="20">
        <v>293404.26</v>
      </c>
      <c r="H2397" s="20">
        <v>350513.96</v>
      </c>
      <c r="I2397" s="20">
        <v>409298.46</v>
      </c>
      <c r="J2397" s="20">
        <v>468157.91</v>
      </c>
      <c r="K2397" s="20">
        <v>525218.18999999994</v>
      </c>
      <c r="L2397" s="20">
        <v>583651.85</v>
      </c>
      <c r="M2397" s="20">
        <v>638840.18999999994</v>
      </c>
      <c r="N2397" s="20">
        <v>693977.94</v>
      </c>
      <c r="O2397" s="20">
        <v>53725.43</v>
      </c>
      <c r="P2397" s="20">
        <v>105380.54</v>
      </c>
      <c r="Q2397" s="20">
        <v>159955.32999999999</v>
      </c>
      <c r="R2397" s="20">
        <v>212336.53</v>
      </c>
      <c r="S2397" s="20">
        <v>267072.42</v>
      </c>
      <c r="T2397" s="20">
        <v>328100.75</v>
      </c>
      <c r="U2397" s="20">
        <v>380363.27</v>
      </c>
      <c r="V2397" s="20">
        <v>431671.64</v>
      </c>
      <c r="W2397" s="20">
        <v>481324.58</v>
      </c>
      <c r="X2397" s="20">
        <v>528527.78</v>
      </c>
      <c r="Y2397" s="20">
        <v>579195.76</v>
      </c>
      <c r="Z2397" s="20">
        <v>630945.63</v>
      </c>
      <c r="AA2397" s="20">
        <v>52262.93</v>
      </c>
      <c r="AB2397" s="20">
        <v>100096.44</v>
      </c>
      <c r="AC2397" s="20">
        <v>153501.74</v>
      </c>
      <c r="AD2397" s="20">
        <v>205881.93</v>
      </c>
      <c r="AE2397" s="20">
        <v>258972.49</v>
      </c>
      <c r="AF2397" s="20">
        <v>313870</v>
      </c>
      <c r="AG2397" s="20">
        <v>370289.3</v>
      </c>
      <c r="AH2397" s="20">
        <v>426659.62</v>
      </c>
      <c r="AI2397" s="20">
        <v>482393.14</v>
      </c>
      <c r="AJ2397" s="20">
        <v>542073.32999999996</v>
      </c>
      <c r="AK2397" s="20">
        <v>596090.99</v>
      </c>
      <c r="AL2397" s="20">
        <v>657769.17000000004</v>
      </c>
      <c r="AM2397" s="20">
        <v>55599.35</v>
      </c>
      <c r="AN2397" s="20">
        <v>114594.01</v>
      </c>
      <c r="AO2397" s="20">
        <v>175912.48</v>
      </c>
    </row>
    <row r="2398" spans="1:41" ht="14.25" x14ac:dyDescent="0.2">
      <c r="A2398" s="2">
        <v>41010202</v>
      </c>
      <c r="B2398" s="3" t="s">
        <v>444</v>
      </c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  <c r="AF2398" s="9"/>
      <c r="AG2398" s="9"/>
      <c r="AH2398" s="9"/>
      <c r="AI2398" s="9"/>
      <c r="AJ2398" s="9"/>
      <c r="AK2398" s="9"/>
      <c r="AL2398" s="9"/>
      <c r="AM2398" s="9"/>
      <c r="AN2398" s="9"/>
      <c r="AO2398" s="9"/>
    </row>
    <row r="2399" spans="1:41" ht="28.5" x14ac:dyDescent="0.2">
      <c r="A2399" s="2">
        <v>410103</v>
      </c>
      <c r="B2399" s="4" t="s">
        <v>642</v>
      </c>
      <c r="C2399" s="11"/>
      <c r="D2399" s="11"/>
      <c r="E2399" s="11"/>
      <c r="F2399" s="11"/>
      <c r="G2399" s="11"/>
      <c r="H2399" s="11"/>
      <c r="I2399" s="11"/>
      <c r="J2399" s="11"/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  <c r="AB2399" s="11"/>
      <c r="AC2399" s="11"/>
      <c r="AD2399" s="11"/>
      <c r="AE2399" s="11"/>
      <c r="AF2399" s="11"/>
      <c r="AG2399" s="11"/>
      <c r="AH2399" s="11"/>
      <c r="AI2399" s="11"/>
      <c r="AJ2399" s="11"/>
      <c r="AK2399" s="11"/>
      <c r="AL2399" s="11"/>
      <c r="AM2399" s="11"/>
      <c r="AN2399" s="11"/>
      <c r="AO2399" s="11"/>
    </row>
    <row r="2400" spans="1:41" ht="14.25" x14ac:dyDescent="0.2">
      <c r="A2400" s="2">
        <v>41010301</v>
      </c>
      <c r="B2400" s="3" t="s">
        <v>643</v>
      </c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  <c r="AF2400" s="9"/>
      <c r="AG2400" s="9"/>
      <c r="AH2400" s="9"/>
      <c r="AI2400" s="9"/>
      <c r="AJ2400" s="9"/>
      <c r="AK2400" s="9"/>
      <c r="AL2400" s="9"/>
      <c r="AM2400" s="9"/>
      <c r="AN2400" s="9"/>
      <c r="AO2400" s="9"/>
    </row>
    <row r="2401" spans="1:41" s="15" customFormat="1" ht="14.25" x14ac:dyDescent="0.2">
      <c r="A2401" s="18" t="s">
        <v>1697</v>
      </c>
      <c r="B2401" s="19" t="s">
        <v>1698</v>
      </c>
      <c r="C2401" s="20">
        <v>271057.09000000003</v>
      </c>
      <c r="D2401" s="20">
        <v>522193.77</v>
      </c>
      <c r="E2401" s="20">
        <v>789951.66</v>
      </c>
      <c r="F2401" s="20">
        <v>1040474.34</v>
      </c>
      <c r="G2401" s="20">
        <v>1299875.82</v>
      </c>
      <c r="H2401" s="20">
        <v>1546357.91</v>
      </c>
      <c r="I2401" s="20">
        <v>1801266.12</v>
      </c>
      <c r="J2401" s="20">
        <v>2060225.72</v>
      </c>
      <c r="K2401" s="20">
        <v>2311018.83</v>
      </c>
      <c r="L2401" s="20">
        <v>2623766.73</v>
      </c>
      <c r="M2401" s="20">
        <v>2880215.13</v>
      </c>
      <c r="N2401" s="20">
        <v>3148772.58</v>
      </c>
      <c r="O2401" s="20">
        <v>265125.21999999997</v>
      </c>
      <c r="P2401" s="20">
        <v>534479.23</v>
      </c>
      <c r="Q2401" s="20">
        <v>825037.18</v>
      </c>
      <c r="R2401" s="20">
        <v>1112091.1100000001</v>
      </c>
      <c r="S2401" s="20">
        <v>1412237.47</v>
      </c>
      <c r="T2401" s="20">
        <v>1711180.68</v>
      </c>
      <c r="U2401" s="20">
        <v>2000351.31</v>
      </c>
      <c r="V2401" s="20">
        <v>2324421.16</v>
      </c>
      <c r="W2401" s="20">
        <v>2639532.96</v>
      </c>
      <c r="X2401" s="20">
        <v>2976457.48</v>
      </c>
      <c r="Y2401" s="20">
        <v>3304099.57</v>
      </c>
      <c r="Z2401" s="20">
        <v>3646417.1</v>
      </c>
      <c r="AA2401" s="20">
        <v>345631.17</v>
      </c>
      <c r="AB2401" s="20">
        <v>669896.59</v>
      </c>
      <c r="AC2401" s="20">
        <v>1035876.98</v>
      </c>
      <c r="AD2401" s="20">
        <v>1400584.77</v>
      </c>
      <c r="AE2401" s="20">
        <v>1769810</v>
      </c>
      <c r="AF2401" s="20">
        <v>2125757.8199999998</v>
      </c>
      <c r="AG2401" s="20">
        <v>2490208.7599999998</v>
      </c>
      <c r="AH2401" s="20">
        <v>2870627.35</v>
      </c>
      <c r="AI2401" s="20">
        <v>3244971.09</v>
      </c>
      <c r="AJ2401" s="20">
        <v>3635053.16</v>
      </c>
      <c r="AK2401" s="20">
        <v>4008702.25</v>
      </c>
      <c r="AL2401" s="20">
        <v>4396022.37</v>
      </c>
      <c r="AM2401" s="20">
        <v>394591.05</v>
      </c>
      <c r="AN2401" s="20">
        <v>760668.86</v>
      </c>
      <c r="AO2401" s="20">
        <v>1174454.78</v>
      </c>
    </row>
    <row r="2402" spans="1:41" s="15" customFormat="1" ht="14.25" x14ac:dyDescent="0.2">
      <c r="A2402" s="18" t="s">
        <v>1699</v>
      </c>
      <c r="B2402" s="19" t="s">
        <v>1698</v>
      </c>
      <c r="C2402" s="20"/>
      <c r="D2402" s="20"/>
      <c r="E2402" s="20"/>
      <c r="F2402" s="20"/>
      <c r="G2402" s="20"/>
      <c r="H2402" s="20"/>
      <c r="I2402" s="20"/>
      <c r="J2402" s="20"/>
      <c r="K2402" s="20"/>
      <c r="L2402" s="20"/>
      <c r="M2402" s="20"/>
      <c r="N2402" s="20"/>
      <c r="O2402" s="20"/>
      <c r="P2402" s="20"/>
      <c r="Q2402" s="20"/>
      <c r="R2402" s="20"/>
      <c r="S2402" s="20"/>
      <c r="T2402" s="20">
        <v>2517.04</v>
      </c>
      <c r="U2402" s="20">
        <v>2517.04</v>
      </c>
      <c r="V2402" s="20">
        <v>2517.04</v>
      </c>
      <c r="W2402" s="20">
        <v>2517.04</v>
      </c>
      <c r="X2402" s="20">
        <v>2517.04</v>
      </c>
      <c r="Y2402" s="20">
        <v>2517.04</v>
      </c>
      <c r="Z2402" s="20">
        <v>2517.04</v>
      </c>
      <c r="AA2402" s="20"/>
      <c r="AB2402" s="20"/>
      <c r="AC2402" s="20"/>
      <c r="AD2402" s="20"/>
      <c r="AE2402" s="20"/>
      <c r="AF2402" s="20"/>
      <c r="AG2402" s="20"/>
      <c r="AH2402" s="20"/>
      <c r="AI2402" s="20"/>
      <c r="AJ2402" s="20"/>
      <c r="AK2402" s="20"/>
      <c r="AL2402" s="20"/>
      <c r="AM2402" s="20"/>
      <c r="AN2402" s="20"/>
      <c r="AO2402" s="20"/>
    </row>
    <row r="2403" spans="1:41" ht="14.25" x14ac:dyDescent="0.2">
      <c r="A2403" s="2">
        <v>41010305</v>
      </c>
      <c r="B2403" s="3" t="s">
        <v>644</v>
      </c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9"/>
      <c r="AD2403" s="9"/>
      <c r="AE2403" s="9"/>
      <c r="AF2403" s="9"/>
      <c r="AG2403" s="9"/>
      <c r="AH2403" s="9"/>
      <c r="AI2403" s="9"/>
      <c r="AJ2403" s="9"/>
      <c r="AK2403" s="9"/>
      <c r="AL2403" s="9"/>
      <c r="AM2403" s="9"/>
      <c r="AN2403" s="9"/>
      <c r="AO2403" s="9"/>
    </row>
    <row r="2404" spans="1:41" s="15" customFormat="1" ht="14.25" x14ac:dyDescent="0.2">
      <c r="A2404" s="18" t="s">
        <v>1700</v>
      </c>
      <c r="B2404" s="19" t="s">
        <v>1701</v>
      </c>
      <c r="C2404" s="20">
        <v>25.76</v>
      </c>
      <c r="D2404" s="20">
        <v>50.29</v>
      </c>
      <c r="E2404" s="20">
        <v>85.79</v>
      </c>
      <c r="F2404" s="20">
        <v>85.79</v>
      </c>
      <c r="G2404" s="20">
        <v>85.79</v>
      </c>
      <c r="H2404" s="20">
        <v>85.79</v>
      </c>
      <c r="I2404" s="20">
        <v>85.79</v>
      </c>
      <c r="J2404" s="20">
        <v>85.79</v>
      </c>
      <c r="K2404" s="20">
        <v>85.79</v>
      </c>
      <c r="L2404" s="20">
        <v>85.79</v>
      </c>
      <c r="M2404" s="20">
        <v>85.79</v>
      </c>
      <c r="N2404" s="20">
        <v>85.79</v>
      </c>
      <c r="O2404" s="20"/>
      <c r="P2404" s="20"/>
      <c r="Q2404" s="20"/>
      <c r="R2404" s="20"/>
      <c r="S2404" s="20"/>
      <c r="T2404" s="20"/>
      <c r="U2404" s="20"/>
      <c r="V2404" s="20"/>
      <c r="W2404" s="20"/>
      <c r="X2404" s="20"/>
      <c r="Y2404" s="20"/>
      <c r="Z2404" s="20"/>
      <c r="AA2404" s="20"/>
      <c r="AB2404" s="20"/>
      <c r="AC2404" s="20"/>
      <c r="AD2404" s="20"/>
      <c r="AE2404" s="20"/>
      <c r="AF2404" s="20"/>
      <c r="AG2404" s="20"/>
      <c r="AH2404" s="20"/>
      <c r="AI2404" s="20"/>
      <c r="AJ2404" s="20"/>
      <c r="AK2404" s="20"/>
      <c r="AL2404" s="20"/>
      <c r="AM2404" s="20"/>
      <c r="AN2404" s="20"/>
      <c r="AO2404" s="20"/>
    </row>
    <row r="2405" spans="1:41" ht="14.25" x14ac:dyDescent="0.2">
      <c r="A2405" s="2">
        <v>410107</v>
      </c>
      <c r="B2405" s="3" t="s">
        <v>645</v>
      </c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  <c r="AF2405" s="9"/>
      <c r="AG2405" s="9"/>
      <c r="AH2405" s="9"/>
      <c r="AI2405" s="9"/>
      <c r="AJ2405" s="9"/>
      <c r="AK2405" s="9"/>
      <c r="AL2405" s="9"/>
      <c r="AM2405" s="9"/>
      <c r="AN2405" s="9"/>
      <c r="AO2405" s="9"/>
    </row>
    <row r="2406" spans="1:41" ht="14.25" x14ac:dyDescent="0.2">
      <c r="A2406" s="2">
        <v>41010701</v>
      </c>
      <c r="B2406" s="3" t="s">
        <v>457</v>
      </c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  <c r="AF2406" s="9"/>
      <c r="AG2406" s="9"/>
      <c r="AH2406" s="9"/>
      <c r="AI2406" s="9"/>
      <c r="AJ2406" s="9"/>
      <c r="AK2406" s="9"/>
      <c r="AL2406" s="9"/>
      <c r="AM2406" s="9"/>
      <c r="AN2406" s="9"/>
      <c r="AO2406" s="9"/>
    </row>
    <row r="2407" spans="1:41" ht="14.25" x14ac:dyDescent="0.2">
      <c r="A2407" s="2">
        <v>41010702</v>
      </c>
      <c r="B2407" s="3" t="s">
        <v>458</v>
      </c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9"/>
      <c r="AD2407" s="9"/>
      <c r="AE2407" s="9"/>
      <c r="AF2407" s="9"/>
      <c r="AG2407" s="9"/>
      <c r="AH2407" s="9"/>
      <c r="AI2407" s="9"/>
      <c r="AJ2407" s="9"/>
      <c r="AK2407" s="9"/>
      <c r="AL2407" s="9"/>
      <c r="AM2407" s="9"/>
      <c r="AN2407" s="9"/>
      <c r="AO2407" s="9"/>
    </row>
    <row r="2408" spans="1:41" ht="14.25" x14ac:dyDescent="0.2">
      <c r="A2408" s="2">
        <v>41010703</v>
      </c>
      <c r="B2408" s="3" t="s">
        <v>459</v>
      </c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9"/>
      <c r="AD2408" s="9"/>
      <c r="AE2408" s="9"/>
      <c r="AF2408" s="9"/>
      <c r="AG2408" s="9"/>
      <c r="AH2408" s="9"/>
      <c r="AI2408" s="9"/>
      <c r="AJ2408" s="9"/>
      <c r="AK2408" s="9"/>
      <c r="AL2408" s="9"/>
      <c r="AM2408" s="9"/>
      <c r="AN2408" s="9"/>
      <c r="AO2408" s="9"/>
    </row>
    <row r="2409" spans="1:41" s="15" customFormat="1" ht="14.25" x14ac:dyDescent="0.2">
      <c r="A2409" s="18" t="s">
        <v>1702</v>
      </c>
      <c r="B2409" s="19" t="s">
        <v>1703</v>
      </c>
      <c r="C2409" s="20"/>
      <c r="D2409" s="20"/>
      <c r="E2409" s="20"/>
      <c r="F2409" s="20"/>
      <c r="G2409" s="20"/>
      <c r="H2409" s="20"/>
      <c r="I2409" s="20">
        <v>50</v>
      </c>
      <c r="J2409" s="20">
        <v>50</v>
      </c>
      <c r="K2409" s="20">
        <v>50</v>
      </c>
      <c r="L2409" s="20">
        <v>50</v>
      </c>
      <c r="M2409" s="20">
        <v>50</v>
      </c>
      <c r="N2409" s="20">
        <v>50</v>
      </c>
      <c r="O2409" s="20"/>
      <c r="P2409" s="20"/>
      <c r="Q2409" s="20"/>
      <c r="R2409" s="20"/>
      <c r="S2409" s="20"/>
      <c r="T2409" s="20"/>
      <c r="U2409" s="20"/>
      <c r="V2409" s="20"/>
      <c r="W2409" s="20"/>
      <c r="X2409" s="20"/>
      <c r="Y2409" s="20"/>
      <c r="Z2409" s="20"/>
      <c r="AA2409" s="20"/>
      <c r="AB2409" s="20"/>
      <c r="AC2409" s="20"/>
      <c r="AD2409" s="20"/>
      <c r="AE2409" s="20"/>
      <c r="AF2409" s="20"/>
      <c r="AG2409" s="20"/>
      <c r="AH2409" s="20"/>
      <c r="AI2409" s="20"/>
      <c r="AJ2409" s="20"/>
      <c r="AK2409" s="20"/>
      <c r="AL2409" s="20"/>
      <c r="AM2409" s="20"/>
      <c r="AN2409" s="20"/>
      <c r="AO2409" s="20"/>
    </row>
    <row r="2410" spans="1:41" ht="14.25" x14ac:dyDescent="0.2">
      <c r="A2410" s="2">
        <v>41010709</v>
      </c>
      <c r="B2410" s="3" t="s">
        <v>646</v>
      </c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  <c r="AF2410" s="9"/>
      <c r="AG2410" s="9"/>
      <c r="AH2410" s="9"/>
      <c r="AI2410" s="9"/>
      <c r="AJ2410" s="9"/>
      <c r="AK2410" s="9"/>
      <c r="AL2410" s="9"/>
      <c r="AM2410" s="9"/>
      <c r="AN2410" s="9"/>
      <c r="AO2410" s="9"/>
    </row>
    <row r="2411" spans="1:41" ht="14.25" x14ac:dyDescent="0.2">
      <c r="A2411" s="2">
        <v>4102</v>
      </c>
      <c r="B2411" s="3" t="s">
        <v>647</v>
      </c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9"/>
      <c r="AG2411" s="9"/>
      <c r="AH2411" s="9"/>
      <c r="AI2411" s="9"/>
      <c r="AJ2411" s="9"/>
      <c r="AK2411" s="9"/>
      <c r="AL2411" s="9"/>
      <c r="AM2411" s="9"/>
      <c r="AN2411" s="9"/>
      <c r="AO2411" s="9"/>
    </row>
    <row r="2412" spans="1:41" ht="14.25" x14ac:dyDescent="0.2">
      <c r="A2412" s="2">
        <v>410207</v>
      </c>
      <c r="B2412" s="3" t="s">
        <v>35</v>
      </c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  <c r="AF2412" s="9"/>
      <c r="AG2412" s="9"/>
      <c r="AH2412" s="9"/>
      <c r="AI2412" s="9"/>
      <c r="AJ2412" s="9"/>
      <c r="AK2412" s="9"/>
      <c r="AL2412" s="9"/>
      <c r="AM2412" s="9"/>
      <c r="AN2412" s="9"/>
      <c r="AO2412" s="9"/>
    </row>
    <row r="2413" spans="1:41" ht="14.25" x14ac:dyDescent="0.2">
      <c r="A2413" s="2">
        <v>4103</v>
      </c>
      <c r="B2413" s="3" t="s">
        <v>648</v>
      </c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9"/>
      <c r="AD2413" s="9"/>
      <c r="AE2413" s="9"/>
      <c r="AF2413" s="9"/>
      <c r="AG2413" s="9"/>
      <c r="AH2413" s="9"/>
      <c r="AI2413" s="9"/>
      <c r="AJ2413" s="9"/>
      <c r="AK2413" s="9"/>
      <c r="AL2413" s="9"/>
      <c r="AM2413" s="9"/>
      <c r="AN2413" s="9"/>
      <c r="AO2413" s="9"/>
    </row>
    <row r="2414" spans="1:41" x14ac:dyDescent="0.2">
      <c r="A2414" s="5">
        <v>410301</v>
      </c>
      <c r="B2414" s="6" t="s">
        <v>649</v>
      </c>
      <c r="C2414" s="12"/>
      <c r="D2414" s="12"/>
      <c r="E2414" s="12"/>
      <c r="F2414" s="12"/>
      <c r="G2414" s="12"/>
      <c r="H2414" s="12"/>
      <c r="I2414" s="12"/>
      <c r="J2414" s="12"/>
      <c r="K2414" s="12"/>
      <c r="L2414" s="12"/>
      <c r="M2414" s="12"/>
      <c r="N2414" s="12"/>
      <c r="O2414" s="12"/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  <c r="AA2414" s="12"/>
      <c r="AB2414" s="12"/>
      <c r="AC2414" s="12"/>
      <c r="AD2414" s="12"/>
      <c r="AE2414" s="12"/>
      <c r="AF2414" s="12"/>
      <c r="AG2414" s="12"/>
      <c r="AH2414" s="12"/>
      <c r="AI2414" s="12"/>
      <c r="AJ2414" s="12"/>
      <c r="AK2414" s="12"/>
      <c r="AL2414" s="12"/>
      <c r="AM2414" s="12"/>
      <c r="AN2414" s="12"/>
      <c r="AO2414" s="12"/>
    </row>
    <row r="2415" spans="1:41" ht="14.25" x14ac:dyDescent="0.2">
      <c r="A2415" s="2">
        <v>410302</v>
      </c>
      <c r="B2415" s="3" t="s">
        <v>650</v>
      </c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9"/>
      <c r="AG2415" s="9"/>
      <c r="AH2415" s="9"/>
      <c r="AI2415" s="9"/>
      <c r="AJ2415" s="9"/>
      <c r="AK2415" s="9"/>
      <c r="AL2415" s="9"/>
      <c r="AM2415" s="9"/>
      <c r="AN2415" s="9"/>
      <c r="AO2415" s="9"/>
    </row>
    <row r="2416" spans="1:41" ht="14.25" x14ac:dyDescent="0.2">
      <c r="A2416" s="2">
        <v>410303</v>
      </c>
      <c r="B2416" s="3" t="s">
        <v>651</v>
      </c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9"/>
      <c r="AG2416" s="9"/>
      <c r="AH2416" s="9"/>
      <c r="AI2416" s="9"/>
      <c r="AJ2416" s="9"/>
      <c r="AK2416" s="9"/>
      <c r="AL2416" s="9"/>
      <c r="AM2416" s="9"/>
      <c r="AN2416" s="9"/>
      <c r="AO2416" s="9"/>
    </row>
    <row r="2417" spans="1:41" ht="14.25" x14ac:dyDescent="0.2">
      <c r="A2417" s="2">
        <v>4104</v>
      </c>
      <c r="B2417" s="3" t="s">
        <v>652</v>
      </c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9"/>
      <c r="AD2417" s="9"/>
      <c r="AE2417" s="9"/>
      <c r="AF2417" s="9"/>
      <c r="AG2417" s="9"/>
      <c r="AH2417" s="9"/>
      <c r="AI2417" s="9"/>
      <c r="AJ2417" s="9"/>
      <c r="AK2417" s="9"/>
      <c r="AL2417" s="9"/>
      <c r="AM2417" s="9"/>
      <c r="AN2417" s="9"/>
      <c r="AO2417" s="9"/>
    </row>
    <row r="2418" spans="1:41" ht="28.5" x14ac:dyDescent="0.2">
      <c r="A2418" s="2">
        <v>410402</v>
      </c>
      <c r="B2418" s="4" t="s">
        <v>653</v>
      </c>
      <c r="C2418" s="11"/>
      <c r="D2418" s="11"/>
      <c r="E2418" s="11"/>
      <c r="F2418" s="11"/>
      <c r="G2418" s="11"/>
      <c r="H2418" s="11"/>
      <c r="I2418" s="11"/>
      <c r="J2418" s="11"/>
      <c r="K2418" s="11"/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11"/>
      <c r="AB2418" s="11"/>
      <c r="AC2418" s="11"/>
      <c r="AD2418" s="11"/>
      <c r="AE2418" s="11"/>
      <c r="AF2418" s="11"/>
      <c r="AG2418" s="11"/>
      <c r="AH2418" s="11"/>
      <c r="AI2418" s="11"/>
      <c r="AJ2418" s="11"/>
      <c r="AK2418" s="11"/>
      <c r="AL2418" s="11"/>
      <c r="AM2418" s="11"/>
      <c r="AN2418" s="11"/>
      <c r="AO2418" s="11"/>
    </row>
    <row r="2419" spans="1:41" ht="14.25" x14ac:dyDescent="0.2">
      <c r="A2419" s="2">
        <v>41040202</v>
      </c>
      <c r="B2419" s="3" t="s">
        <v>654</v>
      </c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  <c r="AF2419" s="9"/>
      <c r="AG2419" s="9"/>
      <c r="AH2419" s="9"/>
      <c r="AI2419" s="9"/>
      <c r="AJ2419" s="9"/>
      <c r="AK2419" s="9"/>
      <c r="AL2419" s="9"/>
      <c r="AM2419" s="9"/>
      <c r="AN2419" s="9"/>
      <c r="AO2419" s="9"/>
    </row>
    <row r="2420" spans="1:41" ht="14.25" x14ac:dyDescent="0.2">
      <c r="A2420" s="2">
        <v>41040209</v>
      </c>
      <c r="B2420" s="3" t="s">
        <v>655</v>
      </c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9"/>
      <c r="AG2420" s="9"/>
      <c r="AH2420" s="9"/>
      <c r="AI2420" s="9"/>
      <c r="AJ2420" s="9"/>
      <c r="AK2420" s="9"/>
      <c r="AL2420" s="9"/>
      <c r="AM2420" s="9"/>
      <c r="AN2420" s="9"/>
      <c r="AO2420" s="9"/>
    </row>
    <row r="2421" spans="1:41" ht="28.5" x14ac:dyDescent="0.2">
      <c r="A2421" s="2">
        <v>410403</v>
      </c>
      <c r="B2421" s="4" t="s">
        <v>656</v>
      </c>
      <c r="C2421" s="11"/>
      <c r="D2421" s="11"/>
      <c r="E2421" s="11"/>
      <c r="F2421" s="11"/>
      <c r="G2421" s="11"/>
      <c r="H2421" s="11"/>
      <c r="I2421" s="11"/>
      <c r="J2421" s="11"/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1"/>
      <c r="AB2421" s="11"/>
      <c r="AC2421" s="11"/>
      <c r="AD2421" s="11"/>
      <c r="AE2421" s="11"/>
      <c r="AF2421" s="11"/>
      <c r="AG2421" s="11"/>
      <c r="AH2421" s="11"/>
      <c r="AI2421" s="11"/>
      <c r="AJ2421" s="11"/>
      <c r="AK2421" s="11"/>
      <c r="AL2421" s="11"/>
      <c r="AM2421" s="11"/>
      <c r="AN2421" s="11"/>
      <c r="AO2421" s="11"/>
    </row>
    <row r="2422" spans="1:41" ht="14.25" x14ac:dyDescent="0.2">
      <c r="A2422" s="2">
        <v>41040302</v>
      </c>
      <c r="B2422" s="3" t="s">
        <v>654</v>
      </c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9"/>
      <c r="AD2422" s="9"/>
      <c r="AE2422" s="9"/>
      <c r="AF2422" s="9"/>
      <c r="AG2422" s="9"/>
      <c r="AH2422" s="9"/>
      <c r="AI2422" s="9"/>
      <c r="AJ2422" s="9"/>
      <c r="AK2422" s="9"/>
      <c r="AL2422" s="9"/>
      <c r="AM2422" s="9"/>
      <c r="AN2422" s="9"/>
      <c r="AO2422" s="9"/>
    </row>
    <row r="2423" spans="1:41" ht="14.25" x14ac:dyDescent="0.2">
      <c r="A2423" s="2">
        <v>41040304</v>
      </c>
      <c r="B2423" s="3" t="s">
        <v>657</v>
      </c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9"/>
      <c r="AD2423" s="9"/>
      <c r="AE2423" s="9"/>
      <c r="AF2423" s="9"/>
      <c r="AG2423" s="9"/>
      <c r="AH2423" s="9"/>
      <c r="AI2423" s="9"/>
      <c r="AJ2423" s="9"/>
      <c r="AK2423" s="9"/>
      <c r="AL2423" s="9"/>
      <c r="AM2423" s="9"/>
      <c r="AN2423" s="9"/>
      <c r="AO2423" s="9"/>
    </row>
    <row r="2424" spans="1:41" ht="14.25" x14ac:dyDescent="0.2">
      <c r="A2424" s="2">
        <v>41040306</v>
      </c>
      <c r="B2424" s="3" t="s">
        <v>658</v>
      </c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9"/>
      <c r="AC2424" s="9"/>
      <c r="AD2424" s="9"/>
      <c r="AE2424" s="9"/>
      <c r="AF2424" s="9"/>
      <c r="AG2424" s="9"/>
      <c r="AH2424" s="9"/>
      <c r="AI2424" s="9"/>
      <c r="AJ2424" s="9"/>
      <c r="AK2424" s="9"/>
      <c r="AL2424" s="9"/>
      <c r="AM2424" s="9"/>
      <c r="AN2424" s="9"/>
      <c r="AO2424" s="9"/>
    </row>
    <row r="2425" spans="1:41" ht="14.25" x14ac:dyDescent="0.2">
      <c r="A2425" s="2">
        <v>41040309</v>
      </c>
      <c r="B2425" s="3" t="s">
        <v>655</v>
      </c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9"/>
      <c r="AD2425" s="9"/>
      <c r="AE2425" s="9"/>
      <c r="AF2425" s="9"/>
      <c r="AG2425" s="9"/>
      <c r="AH2425" s="9"/>
      <c r="AI2425" s="9"/>
      <c r="AJ2425" s="9"/>
      <c r="AK2425" s="9"/>
      <c r="AL2425" s="9"/>
      <c r="AM2425" s="9"/>
      <c r="AN2425" s="9"/>
      <c r="AO2425" s="9"/>
    </row>
    <row r="2426" spans="1:41" ht="28.5" x14ac:dyDescent="0.2">
      <c r="A2426" s="2">
        <v>410404</v>
      </c>
      <c r="B2426" s="4" t="s">
        <v>659</v>
      </c>
      <c r="C2426" s="11"/>
      <c r="D2426" s="11"/>
      <c r="E2426" s="11"/>
      <c r="F2426" s="11"/>
      <c r="G2426" s="11"/>
      <c r="H2426" s="11"/>
      <c r="I2426" s="11"/>
      <c r="J2426" s="11"/>
      <c r="K2426" s="11"/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1"/>
      <c r="AB2426" s="11"/>
      <c r="AC2426" s="11"/>
      <c r="AD2426" s="11"/>
      <c r="AE2426" s="11"/>
      <c r="AF2426" s="11"/>
      <c r="AG2426" s="11"/>
      <c r="AH2426" s="11"/>
      <c r="AI2426" s="11"/>
      <c r="AJ2426" s="11"/>
      <c r="AK2426" s="11"/>
      <c r="AL2426" s="11"/>
      <c r="AM2426" s="11"/>
      <c r="AN2426" s="11"/>
      <c r="AO2426" s="11"/>
    </row>
    <row r="2427" spans="1:41" x14ac:dyDescent="0.2">
      <c r="A2427" s="5">
        <v>41040401</v>
      </c>
      <c r="B2427" s="6" t="s">
        <v>660</v>
      </c>
      <c r="C2427" s="12"/>
      <c r="D2427" s="12"/>
      <c r="E2427" s="12"/>
      <c r="F2427" s="12"/>
      <c r="G2427" s="12"/>
      <c r="H2427" s="12"/>
      <c r="I2427" s="12"/>
      <c r="J2427" s="12"/>
      <c r="K2427" s="12"/>
      <c r="L2427" s="12"/>
      <c r="M2427" s="12"/>
      <c r="N2427" s="12"/>
      <c r="O2427" s="12"/>
      <c r="P2427" s="12"/>
      <c r="Q2427" s="12"/>
      <c r="R2427" s="12"/>
      <c r="S2427" s="12"/>
      <c r="T2427" s="12"/>
      <c r="U2427" s="12"/>
      <c r="V2427" s="12"/>
      <c r="W2427" s="12"/>
      <c r="X2427" s="12"/>
      <c r="Y2427" s="12"/>
      <c r="Z2427" s="12"/>
      <c r="AA2427" s="12"/>
      <c r="AB2427" s="12"/>
      <c r="AC2427" s="12"/>
      <c r="AD2427" s="12"/>
      <c r="AE2427" s="12"/>
      <c r="AF2427" s="12"/>
      <c r="AG2427" s="12"/>
      <c r="AH2427" s="12"/>
      <c r="AI2427" s="12"/>
      <c r="AJ2427" s="12"/>
      <c r="AK2427" s="12"/>
      <c r="AL2427" s="12"/>
      <c r="AM2427" s="12"/>
      <c r="AN2427" s="12"/>
      <c r="AO2427" s="12"/>
    </row>
    <row r="2428" spans="1:41" ht="14.25" x14ac:dyDescent="0.2">
      <c r="A2428" s="2">
        <v>41040402</v>
      </c>
      <c r="B2428" s="3" t="s">
        <v>654</v>
      </c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  <c r="AF2428" s="9"/>
      <c r="AG2428" s="9"/>
      <c r="AH2428" s="9"/>
      <c r="AI2428" s="9"/>
      <c r="AJ2428" s="9"/>
      <c r="AK2428" s="9"/>
      <c r="AL2428" s="9"/>
      <c r="AM2428" s="9"/>
      <c r="AN2428" s="9"/>
      <c r="AO2428" s="9"/>
    </row>
    <row r="2429" spans="1:41" ht="14.25" x14ac:dyDescent="0.2">
      <c r="A2429" s="2">
        <v>41040409</v>
      </c>
      <c r="B2429" s="3" t="s">
        <v>655</v>
      </c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9"/>
      <c r="AE2429" s="9"/>
      <c r="AF2429" s="9"/>
      <c r="AG2429" s="9"/>
      <c r="AH2429" s="9"/>
      <c r="AI2429" s="9"/>
      <c r="AJ2429" s="9"/>
      <c r="AK2429" s="9"/>
      <c r="AL2429" s="9"/>
      <c r="AM2429" s="9"/>
      <c r="AN2429" s="9"/>
      <c r="AO2429" s="9"/>
    </row>
    <row r="2430" spans="1:41" ht="28.5" x14ac:dyDescent="0.2">
      <c r="A2430" s="2">
        <v>410405</v>
      </c>
      <c r="B2430" s="4" t="s">
        <v>661</v>
      </c>
      <c r="C2430" s="11"/>
      <c r="D2430" s="11"/>
      <c r="E2430" s="11"/>
      <c r="F2430" s="11"/>
      <c r="G2430" s="11"/>
      <c r="H2430" s="11"/>
      <c r="I2430" s="11"/>
      <c r="J2430" s="11"/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  <c r="Z2430" s="11"/>
      <c r="AA2430" s="11"/>
      <c r="AB2430" s="11"/>
      <c r="AC2430" s="11"/>
      <c r="AD2430" s="11"/>
      <c r="AE2430" s="11"/>
      <c r="AF2430" s="11"/>
      <c r="AG2430" s="11"/>
      <c r="AH2430" s="11"/>
      <c r="AI2430" s="11"/>
      <c r="AJ2430" s="11"/>
      <c r="AK2430" s="11"/>
      <c r="AL2430" s="11"/>
      <c r="AM2430" s="11"/>
      <c r="AN2430" s="11"/>
      <c r="AO2430" s="11"/>
    </row>
    <row r="2431" spans="1:41" ht="14.25" x14ac:dyDescent="0.2">
      <c r="A2431" s="2">
        <v>41040501</v>
      </c>
      <c r="B2431" s="3" t="s">
        <v>662</v>
      </c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9"/>
      <c r="AD2431" s="9"/>
      <c r="AE2431" s="9"/>
      <c r="AF2431" s="9"/>
      <c r="AG2431" s="9"/>
      <c r="AH2431" s="9"/>
      <c r="AI2431" s="9"/>
      <c r="AJ2431" s="9"/>
      <c r="AK2431" s="9"/>
      <c r="AL2431" s="9"/>
      <c r="AM2431" s="9"/>
      <c r="AN2431" s="9"/>
      <c r="AO2431" s="9"/>
    </row>
    <row r="2432" spans="1:41" ht="14.25" x14ac:dyDescent="0.2">
      <c r="A2432" s="2">
        <v>41040509</v>
      </c>
      <c r="B2432" s="3" t="s">
        <v>655</v>
      </c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  <c r="AF2432" s="9"/>
      <c r="AG2432" s="9"/>
      <c r="AH2432" s="9"/>
      <c r="AI2432" s="9"/>
      <c r="AJ2432" s="9"/>
      <c r="AK2432" s="9"/>
      <c r="AL2432" s="9"/>
      <c r="AM2432" s="9"/>
      <c r="AN2432" s="9"/>
      <c r="AO2432" s="9"/>
    </row>
    <row r="2433" spans="1:41" ht="14.25" x14ac:dyDescent="0.2">
      <c r="A2433" s="2">
        <v>410406</v>
      </c>
      <c r="B2433" s="3" t="s">
        <v>663</v>
      </c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9"/>
      <c r="AF2433" s="9"/>
      <c r="AG2433" s="9"/>
      <c r="AH2433" s="9"/>
      <c r="AI2433" s="9"/>
      <c r="AJ2433" s="9"/>
      <c r="AK2433" s="9"/>
      <c r="AL2433" s="9"/>
      <c r="AM2433" s="9"/>
      <c r="AN2433" s="9"/>
      <c r="AO2433" s="9"/>
    </row>
    <row r="2434" spans="1:41" ht="14.25" x14ac:dyDescent="0.2">
      <c r="A2434" s="2">
        <v>41040601</v>
      </c>
      <c r="B2434" s="3" t="s">
        <v>664</v>
      </c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  <c r="AF2434" s="9"/>
      <c r="AG2434" s="9"/>
      <c r="AH2434" s="9"/>
      <c r="AI2434" s="9"/>
      <c r="AJ2434" s="9"/>
      <c r="AK2434" s="9"/>
      <c r="AL2434" s="9"/>
      <c r="AM2434" s="9"/>
      <c r="AN2434" s="9"/>
      <c r="AO2434" s="9"/>
    </row>
    <row r="2435" spans="1:41" ht="14.25" x14ac:dyDescent="0.2">
      <c r="A2435" s="2">
        <v>41040606</v>
      </c>
      <c r="B2435" s="3" t="s">
        <v>665</v>
      </c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9"/>
      <c r="AE2435" s="9"/>
      <c r="AF2435" s="9"/>
      <c r="AG2435" s="9"/>
      <c r="AH2435" s="9"/>
      <c r="AI2435" s="9"/>
      <c r="AJ2435" s="9"/>
      <c r="AK2435" s="9"/>
      <c r="AL2435" s="9"/>
      <c r="AM2435" s="9"/>
      <c r="AN2435" s="9"/>
      <c r="AO2435" s="9"/>
    </row>
    <row r="2436" spans="1:41" ht="14.25" x14ac:dyDescent="0.2">
      <c r="A2436" s="2">
        <v>41040609</v>
      </c>
      <c r="B2436" s="3" t="s">
        <v>655</v>
      </c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9"/>
      <c r="AF2436" s="9"/>
      <c r="AG2436" s="9"/>
      <c r="AH2436" s="9"/>
      <c r="AI2436" s="9"/>
      <c r="AJ2436" s="9"/>
      <c r="AK2436" s="9"/>
      <c r="AL2436" s="9"/>
      <c r="AM2436" s="9"/>
      <c r="AN2436" s="9"/>
      <c r="AO2436" s="9"/>
    </row>
    <row r="2437" spans="1:41" ht="14.25" x14ac:dyDescent="0.2">
      <c r="A2437" s="2">
        <v>410407</v>
      </c>
      <c r="B2437" s="3" t="s">
        <v>666</v>
      </c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9"/>
      <c r="AF2437" s="9"/>
      <c r="AG2437" s="9"/>
      <c r="AH2437" s="9"/>
      <c r="AI2437" s="9"/>
      <c r="AJ2437" s="9"/>
      <c r="AK2437" s="9"/>
      <c r="AL2437" s="9"/>
      <c r="AM2437" s="9"/>
      <c r="AN2437" s="9"/>
      <c r="AO2437" s="9"/>
    </row>
    <row r="2438" spans="1:41" ht="14.25" x14ac:dyDescent="0.2">
      <c r="A2438" s="2">
        <v>41040701</v>
      </c>
      <c r="B2438" s="3" t="s">
        <v>664</v>
      </c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9"/>
      <c r="AF2438" s="9"/>
      <c r="AG2438" s="9"/>
      <c r="AH2438" s="9"/>
      <c r="AI2438" s="9"/>
      <c r="AJ2438" s="9"/>
      <c r="AK2438" s="9"/>
      <c r="AL2438" s="9"/>
      <c r="AM2438" s="9"/>
      <c r="AN2438" s="9"/>
      <c r="AO2438" s="9"/>
    </row>
    <row r="2439" spans="1:41" ht="14.25" x14ac:dyDescent="0.2">
      <c r="A2439" s="2">
        <v>41040709</v>
      </c>
      <c r="B2439" s="3" t="s">
        <v>655</v>
      </c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  <c r="AE2439" s="9"/>
      <c r="AF2439" s="9"/>
      <c r="AG2439" s="9"/>
      <c r="AH2439" s="9"/>
      <c r="AI2439" s="9"/>
      <c r="AJ2439" s="9"/>
      <c r="AK2439" s="9"/>
      <c r="AL2439" s="9"/>
      <c r="AM2439" s="9"/>
      <c r="AN2439" s="9"/>
      <c r="AO2439" s="9"/>
    </row>
    <row r="2440" spans="1:41" ht="14.25" x14ac:dyDescent="0.2">
      <c r="A2440" s="2">
        <v>4105</v>
      </c>
      <c r="B2440" s="3" t="s">
        <v>667</v>
      </c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9"/>
      <c r="AE2440" s="9"/>
      <c r="AF2440" s="9"/>
      <c r="AG2440" s="9"/>
      <c r="AH2440" s="9"/>
      <c r="AI2440" s="9"/>
      <c r="AJ2440" s="9"/>
      <c r="AK2440" s="9"/>
      <c r="AL2440" s="9"/>
      <c r="AM2440" s="9"/>
      <c r="AN2440" s="9"/>
      <c r="AO2440" s="9"/>
    </row>
    <row r="2441" spans="1:41" ht="14.25" x14ac:dyDescent="0.2">
      <c r="A2441" s="2">
        <v>410501</v>
      </c>
      <c r="B2441" s="3" t="s">
        <v>668</v>
      </c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9"/>
      <c r="AE2441" s="9"/>
      <c r="AF2441" s="9"/>
      <c r="AG2441" s="9"/>
      <c r="AH2441" s="9"/>
      <c r="AI2441" s="9"/>
      <c r="AJ2441" s="9"/>
      <c r="AK2441" s="9"/>
      <c r="AL2441" s="9"/>
      <c r="AM2441" s="9"/>
      <c r="AN2441" s="9"/>
      <c r="AO2441" s="9"/>
    </row>
    <row r="2442" spans="1:41" ht="25.5" x14ac:dyDescent="0.2">
      <c r="A2442" s="5">
        <v>41050101</v>
      </c>
      <c r="B2442" s="4" t="s">
        <v>669</v>
      </c>
      <c r="C2442" s="11"/>
      <c r="D2442" s="11"/>
      <c r="E2442" s="11"/>
      <c r="F2442" s="11"/>
      <c r="G2442" s="11"/>
      <c r="H2442" s="11"/>
      <c r="I2442" s="11"/>
      <c r="J2442" s="11"/>
      <c r="K2442" s="11"/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  <c r="Z2442" s="11"/>
      <c r="AA2442" s="11"/>
      <c r="AB2442" s="11"/>
      <c r="AC2442" s="11"/>
      <c r="AD2442" s="11"/>
      <c r="AE2442" s="11"/>
      <c r="AF2442" s="11"/>
      <c r="AG2442" s="11"/>
      <c r="AH2442" s="11"/>
      <c r="AI2442" s="11"/>
      <c r="AJ2442" s="11"/>
      <c r="AK2442" s="11"/>
      <c r="AL2442" s="11"/>
      <c r="AM2442" s="11"/>
      <c r="AN2442" s="11"/>
      <c r="AO2442" s="11"/>
    </row>
    <row r="2443" spans="1:41" ht="25.5" x14ac:dyDescent="0.2">
      <c r="A2443" s="5">
        <v>41050102</v>
      </c>
      <c r="B2443" s="4" t="s">
        <v>670</v>
      </c>
      <c r="C2443" s="11"/>
      <c r="D2443" s="11"/>
      <c r="E2443" s="11"/>
      <c r="F2443" s="11"/>
      <c r="G2443" s="11"/>
      <c r="H2443" s="11"/>
      <c r="I2443" s="11"/>
      <c r="J2443" s="11"/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  <c r="AA2443" s="11"/>
      <c r="AB2443" s="11"/>
      <c r="AC2443" s="11"/>
      <c r="AD2443" s="11"/>
      <c r="AE2443" s="11"/>
      <c r="AF2443" s="11"/>
      <c r="AG2443" s="11"/>
      <c r="AH2443" s="11"/>
      <c r="AI2443" s="11"/>
      <c r="AJ2443" s="11"/>
      <c r="AK2443" s="11"/>
      <c r="AL2443" s="11"/>
      <c r="AM2443" s="11"/>
      <c r="AN2443" s="11"/>
      <c r="AO2443" s="11"/>
    </row>
    <row r="2444" spans="1:41" ht="25.5" x14ac:dyDescent="0.2">
      <c r="A2444" s="5">
        <v>41050103</v>
      </c>
      <c r="B2444" s="4" t="s">
        <v>671</v>
      </c>
      <c r="C2444" s="11"/>
      <c r="D2444" s="11"/>
      <c r="E2444" s="11"/>
      <c r="F2444" s="11"/>
      <c r="G2444" s="11"/>
      <c r="H2444" s="11"/>
      <c r="I2444" s="11"/>
      <c r="J2444" s="11"/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  <c r="AA2444" s="11"/>
      <c r="AB2444" s="11"/>
      <c r="AC2444" s="11"/>
      <c r="AD2444" s="11"/>
      <c r="AE2444" s="11"/>
      <c r="AF2444" s="11"/>
      <c r="AG2444" s="11"/>
      <c r="AH2444" s="11"/>
      <c r="AI2444" s="11"/>
      <c r="AJ2444" s="11"/>
      <c r="AK2444" s="11"/>
      <c r="AL2444" s="11"/>
      <c r="AM2444" s="11"/>
      <c r="AN2444" s="11"/>
      <c r="AO2444" s="11"/>
    </row>
    <row r="2445" spans="1:41" ht="14.25" x14ac:dyDescent="0.2">
      <c r="A2445" s="2">
        <v>41050109</v>
      </c>
      <c r="B2445" s="3" t="s">
        <v>672</v>
      </c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  <c r="AF2445" s="9"/>
      <c r="AG2445" s="9"/>
      <c r="AH2445" s="9"/>
      <c r="AI2445" s="9"/>
      <c r="AJ2445" s="9"/>
      <c r="AK2445" s="9"/>
      <c r="AL2445" s="9"/>
      <c r="AM2445" s="9"/>
      <c r="AN2445" s="9"/>
      <c r="AO2445" s="9"/>
    </row>
    <row r="2446" spans="1:41" ht="28.5" x14ac:dyDescent="0.2">
      <c r="A2446" s="2">
        <v>4106</v>
      </c>
      <c r="B2446" s="4" t="s">
        <v>673</v>
      </c>
      <c r="C2446" s="11"/>
      <c r="D2446" s="11"/>
      <c r="E2446" s="11"/>
      <c r="F2446" s="11"/>
      <c r="G2446" s="11"/>
      <c r="H2446" s="11"/>
      <c r="I2446" s="11"/>
      <c r="J2446" s="11"/>
      <c r="K2446" s="11"/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  <c r="Z2446" s="11"/>
      <c r="AA2446" s="11"/>
      <c r="AB2446" s="11"/>
      <c r="AC2446" s="11"/>
      <c r="AD2446" s="11"/>
      <c r="AE2446" s="11"/>
      <c r="AF2446" s="11"/>
      <c r="AG2446" s="11"/>
      <c r="AH2446" s="11"/>
      <c r="AI2446" s="11"/>
      <c r="AJ2446" s="11"/>
      <c r="AK2446" s="11"/>
      <c r="AL2446" s="11"/>
      <c r="AM2446" s="11"/>
      <c r="AN2446" s="11"/>
      <c r="AO2446" s="11"/>
    </row>
    <row r="2447" spans="1:41" ht="14.25" x14ac:dyDescent="0.2">
      <c r="A2447" s="2">
        <v>410601</v>
      </c>
      <c r="B2447" s="3" t="s">
        <v>674</v>
      </c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9"/>
      <c r="AG2447" s="9"/>
      <c r="AH2447" s="9"/>
      <c r="AI2447" s="9"/>
      <c r="AJ2447" s="9"/>
      <c r="AK2447" s="9"/>
      <c r="AL2447" s="9"/>
      <c r="AM2447" s="9"/>
      <c r="AN2447" s="9"/>
      <c r="AO2447" s="9"/>
    </row>
    <row r="2448" spans="1:41" ht="14.25" x14ac:dyDescent="0.2">
      <c r="A2448" s="2">
        <v>410602</v>
      </c>
      <c r="B2448" s="3" t="s">
        <v>675</v>
      </c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9"/>
      <c r="AG2448" s="9"/>
      <c r="AH2448" s="9"/>
      <c r="AI2448" s="9"/>
      <c r="AJ2448" s="9"/>
      <c r="AK2448" s="9"/>
      <c r="AL2448" s="9"/>
      <c r="AM2448" s="9"/>
      <c r="AN2448" s="9"/>
      <c r="AO2448" s="9"/>
    </row>
    <row r="2449" spans="1:41" ht="14.25" x14ac:dyDescent="0.2">
      <c r="A2449" s="2">
        <v>410606</v>
      </c>
      <c r="B2449" s="3" t="s">
        <v>676</v>
      </c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9"/>
      <c r="AG2449" s="9"/>
      <c r="AH2449" s="9"/>
      <c r="AI2449" s="9"/>
      <c r="AJ2449" s="9"/>
      <c r="AK2449" s="9"/>
      <c r="AL2449" s="9"/>
      <c r="AM2449" s="9"/>
      <c r="AN2449" s="9"/>
      <c r="AO2449" s="9"/>
    </row>
    <row r="2450" spans="1:41" ht="14.25" x14ac:dyDescent="0.2">
      <c r="A2450" s="2">
        <v>410607</v>
      </c>
      <c r="B2450" s="3" t="s">
        <v>677</v>
      </c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9"/>
      <c r="AG2450" s="9"/>
      <c r="AH2450" s="9"/>
      <c r="AI2450" s="9"/>
      <c r="AJ2450" s="9"/>
      <c r="AK2450" s="9"/>
      <c r="AL2450" s="9"/>
      <c r="AM2450" s="9"/>
      <c r="AN2450" s="9"/>
      <c r="AO2450" s="9"/>
    </row>
    <row r="2451" spans="1:41" ht="14.25" x14ac:dyDescent="0.2">
      <c r="A2451" s="2">
        <v>41060701</v>
      </c>
      <c r="B2451" s="3" t="s">
        <v>678</v>
      </c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9"/>
      <c r="AG2451" s="9"/>
      <c r="AH2451" s="9"/>
      <c r="AI2451" s="9"/>
      <c r="AJ2451" s="9"/>
      <c r="AK2451" s="9"/>
      <c r="AL2451" s="9"/>
      <c r="AM2451" s="9"/>
      <c r="AN2451" s="9"/>
      <c r="AO2451" s="9"/>
    </row>
    <row r="2452" spans="1:41" ht="14.25" x14ac:dyDescent="0.2">
      <c r="A2452" s="2">
        <v>41060702</v>
      </c>
      <c r="B2452" s="3" t="s">
        <v>679</v>
      </c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9"/>
      <c r="AG2452" s="9"/>
      <c r="AH2452" s="9"/>
      <c r="AI2452" s="9"/>
      <c r="AJ2452" s="9"/>
      <c r="AK2452" s="9"/>
      <c r="AL2452" s="9"/>
      <c r="AM2452" s="9"/>
      <c r="AN2452" s="9"/>
      <c r="AO2452" s="9"/>
    </row>
    <row r="2453" spans="1:41" ht="14.25" x14ac:dyDescent="0.2">
      <c r="A2453" s="2">
        <v>41060703</v>
      </c>
      <c r="B2453" s="3" t="s">
        <v>81</v>
      </c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9"/>
      <c r="AH2453" s="9"/>
      <c r="AI2453" s="9"/>
      <c r="AJ2453" s="9"/>
      <c r="AK2453" s="9"/>
      <c r="AL2453" s="9"/>
      <c r="AM2453" s="9"/>
      <c r="AN2453" s="9"/>
      <c r="AO2453" s="9"/>
    </row>
    <row r="2454" spans="1:41" ht="14.25" x14ac:dyDescent="0.2">
      <c r="A2454" s="2">
        <v>41060709</v>
      </c>
      <c r="B2454" s="3" t="s">
        <v>677</v>
      </c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9"/>
      <c r="AG2454" s="9"/>
      <c r="AH2454" s="9"/>
      <c r="AI2454" s="9"/>
      <c r="AJ2454" s="9"/>
      <c r="AK2454" s="9"/>
      <c r="AL2454" s="9"/>
      <c r="AM2454" s="9"/>
      <c r="AN2454" s="9"/>
      <c r="AO2454" s="9"/>
    </row>
    <row r="2455" spans="1:41" ht="14.25" x14ac:dyDescent="0.2">
      <c r="A2455" s="2">
        <v>4107</v>
      </c>
      <c r="B2455" s="3" t="s">
        <v>680</v>
      </c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  <c r="AO2455" s="9"/>
    </row>
    <row r="2456" spans="1:41" ht="14.25" x14ac:dyDescent="0.2">
      <c r="A2456" s="2">
        <v>410703</v>
      </c>
      <c r="B2456" s="3" t="s">
        <v>681</v>
      </c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  <c r="AO2456" s="9"/>
    </row>
    <row r="2457" spans="1:41" ht="14.25" x14ac:dyDescent="0.2">
      <c r="A2457" s="2">
        <v>410709</v>
      </c>
      <c r="B2457" s="3" t="s">
        <v>59</v>
      </c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  <c r="AO2457" s="9"/>
    </row>
    <row r="2458" spans="1:41" ht="14.25" x14ac:dyDescent="0.2">
      <c r="A2458" s="2">
        <v>4108</v>
      </c>
      <c r="B2458" s="3" t="s">
        <v>682</v>
      </c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  <c r="AF2458" s="9"/>
      <c r="AG2458" s="9"/>
      <c r="AH2458" s="9"/>
      <c r="AI2458" s="9"/>
      <c r="AJ2458" s="9"/>
      <c r="AK2458" s="9"/>
      <c r="AL2458" s="9"/>
      <c r="AM2458" s="9"/>
      <c r="AN2458" s="9"/>
      <c r="AO2458" s="9"/>
    </row>
    <row r="2459" spans="1:41" ht="14.25" x14ac:dyDescent="0.2">
      <c r="A2459" s="2">
        <v>410801</v>
      </c>
      <c r="B2459" s="3" t="s">
        <v>683</v>
      </c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  <c r="AO2459" s="9"/>
    </row>
    <row r="2460" spans="1:41" s="15" customFormat="1" ht="14.25" x14ac:dyDescent="0.2">
      <c r="A2460" s="18" t="s">
        <v>1704</v>
      </c>
      <c r="B2460" s="19" t="s">
        <v>1705</v>
      </c>
      <c r="C2460" s="20">
        <v>16800</v>
      </c>
      <c r="D2460" s="20">
        <v>16856.86</v>
      </c>
      <c r="E2460" s="20">
        <v>16870.54</v>
      </c>
      <c r="F2460" s="20">
        <v>16870.84</v>
      </c>
      <c r="G2460" s="20">
        <v>16872.88</v>
      </c>
      <c r="H2460" s="20">
        <v>16873.43</v>
      </c>
      <c r="I2460" s="20">
        <v>17081.36</v>
      </c>
      <c r="J2460" s="20">
        <v>20889.86</v>
      </c>
      <c r="K2460" s="20">
        <v>73811.399999999994</v>
      </c>
      <c r="L2460" s="20">
        <v>74670.2</v>
      </c>
      <c r="M2460" s="20">
        <v>76917.509999999995</v>
      </c>
      <c r="N2460" s="20">
        <v>79766.05</v>
      </c>
      <c r="O2460" s="20">
        <v>729.47</v>
      </c>
      <c r="P2460" s="20">
        <v>729.07</v>
      </c>
      <c r="Q2460" s="20">
        <v>2881.4</v>
      </c>
      <c r="R2460" s="20">
        <v>3096.86</v>
      </c>
      <c r="S2460" s="20">
        <v>3122.25</v>
      </c>
      <c r="T2460" s="20">
        <v>7121.44</v>
      </c>
      <c r="U2460" s="20">
        <v>7156.18</v>
      </c>
      <c r="V2460" s="20">
        <v>7173.25</v>
      </c>
      <c r="W2460" s="20">
        <v>7173.25</v>
      </c>
      <c r="X2460" s="20">
        <v>7207.5</v>
      </c>
      <c r="Y2460" s="20">
        <v>7211.19</v>
      </c>
      <c r="Z2460" s="20">
        <v>7212.13</v>
      </c>
      <c r="AA2460" s="20"/>
      <c r="AB2460" s="20"/>
      <c r="AC2460" s="20"/>
      <c r="AD2460" s="20">
        <v>0.2</v>
      </c>
      <c r="AE2460" s="20">
        <v>119.49</v>
      </c>
      <c r="AF2460" s="20">
        <v>299.04000000000002</v>
      </c>
      <c r="AG2460" s="20">
        <v>1027.7</v>
      </c>
      <c r="AH2460" s="20">
        <v>1034.26</v>
      </c>
      <c r="AI2460" s="20">
        <v>1034.98</v>
      </c>
      <c r="AJ2460" s="20">
        <v>1218.6600000000001</v>
      </c>
      <c r="AK2460" s="20">
        <v>1224.01</v>
      </c>
      <c r="AL2460" s="20">
        <v>1224.01</v>
      </c>
      <c r="AM2460" s="20">
        <v>391.75</v>
      </c>
      <c r="AN2460" s="20">
        <v>393.87</v>
      </c>
      <c r="AO2460" s="20">
        <v>393.87</v>
      </c>
    </row>
    <row r="2461" spans="1:41" s="15" customFormat="1" ht="14.25" x14ac:dyDescent="0.2">
      <c r="A2461" s="18">
        <v>410804</v>
      </c>
      <c r="B2461" s="19" t="s">
        <v>684</v>
      </c>
      <c r="C2461" s="20"/>
      <c r="D2461" s="20"/>
      <c r="E2461" s="20"/>
      <c r="F2461" s="20"/>
      <c r="G2461" s="20"/>
      <c r="H2461" s="20"/>
      <c r="I2461" s="20"/>
      <c r="J2461" s="20"/>
      <c r="K2461" s="20"/>
      <c r="L2461" s="20"/>
      <c r="M2461" s="20"/>
      <c r="N2461" s="20"/>
      <c r="O2461" s="20"/>
      <c r="P2461" s="20"/>
      <c r="Q2461" s="20"/>
      <c r="R2461" s="20"/>
      <c r="S2461" s="20"/>
      <c r="T2461" s="20"/>
      <c r="U2461" s="20"/>
      <c r="V2461" s="20"/>
      <c r="W2461" s="20"/>
      <c r="X2461" s="20"/>
      <c r="Y2461" s="20"/>
      <c r="Z2461" s="20"/>
      <c r="AA2461" s="20"/>
      <c r="AB2461" s="20"/>
      <c r="AC2461" s="20"/>
      <c r="AD2461" s="20"/>
      <c r="AE2461" s="20"/>
      <c r="AF2461" s="20"/>
      <c r="AG2461" s="20"/>
      <c r="AH2461" s="20"/>
      <c r="AI2461" s="20"/>
      <c r="AJ2461" s="20"/>
      <c r="AK2461" s="20"/>
      <c r="AL2461" s="20"/>
      <c r="AM2461" s="20"/>
      <c r="AN2461" s="20"/>
      <c r="AO2461" s="20"/>
    </row>
    <row r="2462" spans="1:41" s="15" customFormat="1" ht="14.25" x14ac:dyDescent="0.2">
      <c r="A2462" s="18">
        <v>41080403</v>
      </c>
      <c r="B2462" s="19" t="s">
        <v>685</v>
      </c>
      <c r="C2462" s="20"/>
      <c r="D2462" s="20"/>
      <c r="E2462" s="20"/>
      <c r="F2462" s="20"/>
      <c r="G2462" s="20"/>
      <c r="H2462" s="20"/>
      <c r="I2462" s="20"/>
      <c r="J2462" s="20"/>
      <c r="K2462" s="20"/>
      <c r="L2462" s="20"/>
      <c r="M2462" s="20"/>
      <c r="N2462" s="20"/>
      <c r="O2462" s="20"/>
      <c r="P2462" s="20"/>
      <c r="Q2462" s="20"/>
      <c r="R2462" s="20"/>
      <c r="S2462" s="20"/>
      <c r="T2462" s="20"/>
      <c r="U2462" s="20"/>
      <c r="V2462" s="20"/>
      <c r="W2462" s="20"/>
      <c r="X2462" s="20"/>
      <c r="Y2462" s="20"/>
      <c r="Z2462" s="20"/>
      <c r="AA2462" s="20"/>
      <c r="AB2462" s="20"/>
      <c r="AC2462" s="20"/>
      <c r="AD2462" s="20"/>
      <c r="AE2462" s="20"/>
      <c r="AF2462" s="20"/>
      <c r="AG2462" s="20"/>
      <c r="AH2462" s="20"/>
      <c r="AI2462" s="20"/>
      <c r="AJ2462" s="20"/>
      <c r="AK2462" s="20"/>
      <c r="AL2462" s="20"/>
      <c r="AM2462" s="20"/>
      <c r="AN2462" s="20"/>
      <c r="AO2462" s="20"/>
    </row>
    <row r="2463" spans="1:41" s="15" customFormat="1" ht="14.25" x14ac:dyDescent="0.2">
      <c r="A2463" s="18" t="s">
        <v>1706</v>
      </c>
      <c r="B2463" s="19" t="s">
        <v>1707</v>
      </c>
      <c r="C2463" s="20">
        <v>505959.94</v>
      </c>
      <c r="D2463" s="20">
        <v>714685.72</v>
      </c>
      <c r="E2463" s="20">
        <v>835502.76</v>
      </c>
      <c r="F2463" s="20">
        <v>945621.04</v>
      </c>
      <c r="G2463" s="20">
        <v>1260811.6000000001</v>
      </c>
      <c r="H2463" s="20">
        <v>1416141.08</v>
      </c>
      <c r="I2463" s="20">
        <v>1682871.46</v>
      </c>
      <c r="J2463" s="20">
        <v>2286750.5499999998</v>
      </c>
      <c r="K2463" s="20">
        <v>2855836.48</v>
      </c>
      <c r="L2463" s="20">
        <v>3198272.04</v>
      </c>
      <c r="M2463" s="20">
        <v>3509427.42</v>
      </c>
      <c r="N2463" s="20">
        <v>3778523.19</v>
      </c>
      <c r="O2463" s="20">
        <v>648567.61</v>
      </c>
      <c r="P2463" s="20">
        <v>1329872.44</v>
      </c>
      <c r="Q2463" s="20">
        <v>1785598.96</v>
      </c>
      <c r="R2463" s="20">
        <v>2555519.12</v>
      </c>
      <c r="S2463" s="20">
        <v>2849505.61</v>
      </c>
      <c r="T2463" s="20">
        <v>3464799.62</v>
      </c>
      <c r="U2463" s="20">
        <v>3514397.85</v>
      </c>
      <c r="V2463" s="20">
        <v>3674626.86</v>
      </c>
      <c r="W2463" s="20">
        <v>4813389.46</v>
      </c>
      <c r="X2463" s="20">
        <v>7014750.2800000003</v>
      </c>
      <c r="Y2463" s="20">
        <v>7014750.2800000003</v>
      </c>
      <c r="Z2463" s="20">
        <v>7107887.7000000002</v>
      </c>
      <c r="AA2463" s="20"/>
      <c r="AB2463" s="20"/>
      <c r="AC2463" s="20"/>
      <c r="AD2463" s="20">
        <v>29737.54</v>
      </c>
      <c r="AE2463" s="20">
        <v>29737.54</v>
      </c>
      <c r="AF2463" s="20">
        <v>29737.54</v>
      </c>
      <c r="AG2463" s="20">
        <v>6359.7</v>
      </c>
      <c r="AH2463" s="20">
        <v>200253.43</v>
      </c>
      <c r="AI2463" s="20">
        <v>200253.43</v>
      </c>
      <c r="AJ2463" s="20">
        <v>200253.43</v>
      </c>
      <c r="AK2463" s="20">
        <v>200253.43</v>
      </c>
      <c r="AL2463" s="20">
        <v>204669.8</v>
      </c>
      <c r="AM2463" s="20"/>
      <c r="AN2463" s="20">
        <v>13651.16</v>
      </c>
      <c r="AO2463" s="20">
        <v>641700.51</v>
      </c>
    </row>
    <row r="2464" spans="1:41" s="15" customFormat="1" ht="14.25" x14ac:dyDescent="0.2">
      <c r="A2464" s="18">
        <v>410809</v>
      </c>
      <c r="B2464" s="19" t="s">
        <v>59</v>
      </c>
      <c r="C2464" s="20"/>
      <c r="D2464" s="20"/>
      <c r="E2464" s="20"/>
      <c r="F2464" s="20"/>
      <c r="G2464" s="20"/>
      <c r="H2464" s="20"/>
      <c r="I2464" s="20"/>
      <c r="J2464" s="20"/>
      <c r="K2464" s="20"/>
      <c r="L2464" s="20"/>
      <c r="M2464" s="20"/>
      <c r="N2464" s="20"/>
      <c r="O2464" s="20"/>
      <c r="P2464" s="20"/>
      <c r="Q2464" s="20"/>
      <c r="R2464" s="20"/>
      <c r="S2464" s="20"/>
      <c r="T2464" s="20"/>
      <c r="U2464" s="20"/>
      <c r="V2464" s="20"/>
      <c r="W2464" s="20"/>
      <c r="X2464" s="20"/>
      <c r="Y2464" s="20"/>
      <c r="Z2464" s="20"/>
      <c r="AA2464" s="20"/>
      <c r="AB2464" s="20"/>
      <c r="AC2464" s="20"/>
      <c r="AD2464" s="20"/>
      <c r="AE2464" s="20"/>
      <c r="AF2464" s="20"/>
      <c r="AG2464" s="20"/>
      <c r="AH2464" s="20"/>
      <c r="AI2464" s="20"/>
      <c r="AJ2464" s="20"/>
      <c r="AK2464" s="20"/>
      <c r="AL2464" s="20"/>
      <c r="AM2464" s="20"/>
      <c r="AN2464" s="20"/>
      <c r="AO2464" s="20"/>
    </row>
    <row r="2465" spans="1:41" ht="14.25" x14ac:dyDescent="0.2">
      <c r="A2465" s="2">
        <v>4109</v>
      </c>
      <c r="B2465" s="3" t="s">
        <v>686</v>
      </c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9"/>
      <c r="AH2465" s="9"/>
      <c r="AI2465" s="9"/>
      <c r="AJ2465" s="9"/>
      <c r="AK2465" s="9"/>
      <c r="AL2465" s="9"/>
      <c r="AM2465" s="9"/>
      <c r="AN2465" s="9"/>
      <c r="AO2465" s="9"/>
    </row>
    <row r="2466" spans="1:41" ht="14.25" x14ac:dyDescent="0.2">
      <c r="A2466" s="2">
        <v>410901</v>
      </c>
      <c r="B2466" s="3" t="s">
        <v>687</v>
      </c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9"/>
      <c r="AH2466" s="9"/>
      <c r="AI2466" s="9"/>
      <c r="AJ2466" s="9"/>
      <c r="AK2466" s="9"/>
      <c r="AL2466" s="9"/>
      <c r="AM2466" s="9"/>
      <c r="AN2466" s="9"/>
      <c r="AO2466" s="9"/>
    </row>
    <row r="2467" spans="1:41" ht="14.25" x14ac:dyDescent="0.2">
      <c r="A2467" s="2">
        <v>410903</v>
      </c>
      <c r="B2467" s="3" t="s">
        <v>688</v>
      </c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9"/>
      <c r="AH2467" s="9"/>
      <c r="AI2467" s="9"/>
      <c r="AJ2467" s="9"/>
      <c r="AK2467" s="9"/>
      <c r="AL2467" s="9"/>
      <c r="AM2467" s="9"/>
      <c r="AN2467" s="9"/>
      <c r="AO2467" s="9"/>
    </row>
    <row r="2468" spans="1:41" ht="14.25" x14ac:dyDescent="0.2">
      <c r="A2468" s="2">
        <v>410904</v>
      </c>
      <c r="B2468" s="3" t="s">
        <v>689</v>
      </c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9"/>
      <c r="AE2468" s="9"/>
      <c r="AF2468" s="9"/>
      <c r="AG2468" s="9"/>
      <c r="AH2468" s="9"/>
      <c r="AI2468" s="9"/>
      <c r="AJ2468" s="9"/>
      <c r="AK2468" s="9"/>
      <c r="AL2468" s="9"/>
      <c r="AM2468" s="9"/>
      <c r="AN2468" s="9"/>
      <c r="AO2468" s="9"/>
    </row>
    <row r="2469" spans="1:41" ht="14.25" x14ac:dyDescent="0.2">
      <c r="A2469" s="2">
        <v>410905</v>
      </c>
      <c r="B2469" s="3" t="s">
        <v>690</v>
      </c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9"/>
      <c r="AE2469" s="9"/>
      <c r="AF2469" s="9"/>
      <c r="AG2469" s="9"/>
      <c r="AH2469" s="9"/>
      <c r="AI2469" s="9"/>
      <c r="AJ2469" s="9"/>
      <c r="AK2469" s="9"/>
      <c r="AL2469" s="9"/>
      <c r="AM2469" s="9"/>
      <c r="AN2469" s="9"/>
      <c r="AO2469" s="9"/>
    </row>
    <row r="2470" spans="1:41" s="15" customFormat="1" ht="14.25" x14ac:dyDescent="0.2">
      <c r="A2470" s="18" t="s">
        <v>1708</v>
      </c>
      <c r="B2470" s="19" t="s">
        <v>1709</v>
      </c>
      <c r="C2470" s="20"/>
      <c r="D2470" s="20">
        <v>35104.86</v>
      </c>
      <c r="E2470" s="20">
        <v>35104.86</v>
      </c>
      <c r="F2470" s="20">
        <v>35104.86</v>
      </c>
      <c r="G2470" s="20">
        <v>35104.86</v>
      </c>
      <c r="H2470" s="20">
        <v>35104.86</v>
      </c>
      <c r="I2470" s="20">
        <v>35104.86</v>
      </c>
      <c r="J2470" s="20">
        <v>35104.86</v>
      </c>
      <c r="K2470" s="20">
        <v>35104.86</v>
      </c>
      <c r="L2470" s="20">
        <v>35104.86</v>
      </c>
      <c r="M2470" s="20">
        <v>70149.960000000006</v>
      </c>
      <c r="N2470" s="20">
        <v>70149.960000000006</v>
      </c>
      <c r="O2470" s="20">
        <v>34374.74</v>
      </c>
      <c r="P2470" s="20">
        <v>34374.74</v>
      </c>
      <c r="Q2470" s="20">
        <v>34374.74</v>
      </c>
      <c r="R2470" s="20">
        <v>68530.97</v>
      </c>
      <c r="S2470" s="20">
        <v>68530.97</v>
      </c>
      <c r="T2470" s="20">
        <v>68530.97</v>
      </c>
      <c r="U2470" s="20">
        <v>68530.97</v>
      </c>
      <c r="V2470" s="20">
        <v>103750.68</v>
      </c>
      <c r="W2470" s="20">
        <v>103750.68</v>
      </c>
      <c r="X2470" s="20">
        <v>140965.93</v>
      </c>
      <c r="Y2470" s="20">
        <v>140965.93</v>
      </c>
      <c r="Z2470" s="20">
        <v>140965.93</v>
      </c>
      <c r="AA2470" s="20">
        <v>35.19</v>
      </c>
      <c r="AB2470" s="20">
        <v>38276.65</v>
      </c>
      <c r="AC2470" s="20">
        <v>38276.65</v>
      </c>
      <c r="AD2470" s="20">
        <v>78981.55</v>
      </c>
      <c r="AE2470" s="20">
        <v>78981.55</v>
      </c>
      <c r="AF2470" s="20">
        <v>78981.55</v>
      </c>
      <c r="AG2470" s="20">
        <v>120928.96000000001</v>
      </c>
      <c r="AH2470" s="20">
        <v>120928.96000000001</v>
      </c>
      <c r="AI2470" s="20">
        <v>120928.96000000001</v>
      </c>
      <c r="AJ2470" s="20">
        <v>120928.96000000001</v>
      </c>
      <c r="AK2470" s="20">
        <v>164205.01</v>
      </c>
      <c r="AL2470" s="20">
        <v>164205.01</v>
      </c>
      <c r="AM2470" s="20"/>
      <c r="AN2470" s="20">
        <v>44651.16</v>
      </c>
      <c r="AO2470" s="20">
        <v>44651.16</v>
      </c>
    </row>
    <row r="2471" spans="1:41" ht="14.25" x14ac:dyDescent="0.2">
      <c r="A2471" s="2">
        <v>410907</v>
      </c>
      <c r="B2471" s="3" t="s">
        <v>691</v>
      </c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  <c r="AE2471" s="9"/>
      <c r="AF2471" s="9"/>
      <c r="AG2471" s="9"/>
      <c r="AH2471" s="9"/>
      <c r="AI2471" s="9"/>
      <c r="AJ2471" s="9"/>
      <c r="AK2471" s="9"/>
      <c r="AL2471" s="9"/>
      <c r="AM2471" s="9"/>
      <c r="AN2471" s="9"/>
      <c r="AO2471" s="9"/>
    </row>
    <row r="2472" spans="1:41" ht="14.25" x14ac:dyDescent="0.2">
      <c r="A2472" s="2">
        <v>410908</v>
      </c>
      <c r="B2472" s="3" t="s">
        <v>692</v>
      </c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  <c r="AF2472" s="9"/>
      <c r="AG2472" s="9"/>
      <c r="AH2472" s="9"/>
      <c r="AI2472" s="9"/>
      <c r="AJ2472" s="9"/>
      <c r="AK2472" s="9"/>
      <c r="AL2472" s="9"/>
      <c r="AM2472" s="9"/>
      <c r="AN2472" s="9"/>
      <c r="AO2472" s="9"/>
    </row>
    <row r="2473" spans="1:41" ht="14.25" x14ac:dyDescent="0.2">
      <c r="A2473" s="2">
        <v>410909</v>
      </c>
      <c r="B2473" s="3" t="s">
        <v>693</v>
      </c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  <c r="AO2473" s="9"/>
    </row>
    <row r="2474" spans="1:41" ht="14.25" x14ac:dyDescent="0.2">
      <c r="A2474" s="2">
        <v>410910</v>
      </c>
      <c r="B2474" s="3" t="s">
        <v>694</v>
      </c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9"/>
      <c r="AF2474" s="9"/>
      <c r="AG2474" s="9"/>
      <c r="AH2474" s="9"/>
      <c r="AI2474" s="9"/>
      <c r="AJ2474" s="9"/>
      <c r="AK2474" s="9"/>
      <c r="AL2474" s="9"/>
      <c r="AM2474" s="9"/>
      <c r="AN2474" s="9"/>
      <c r="AO2474" s="9"/>
    </row>
    <row r="2475" spans="1:41" ht="28.5" x14ac:dyDescent="0.2">
      <c r="A2475" s="2">
        <v>410911</v>
      </c>
      <c r="B2475" s="4" t="s">
        <v>695</v>
      </c>
      <c r="C2475" s="11"/>
      <c r="D2475" s="11"/>
      <c r="E2475" s="11"/>
      <c r="F2475" s="11"/>
      <c r="G2475" s="11"/>
      <c r="H2475" s="11"/>
      <c r="I2475" s="11"/>
      <c r="J2475" s="11"/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1"/>
      <c r="AF2475" s="11"/>
      <c r="AG2475" s="11"/>
      <c r="AH2475" s="11"/>
      <c r="AI2475" s="11"/>
      <c r="AJ2475" s="11"/>
      <c r="AK2475" s="11"/>
      <c r="AL2475" s="11"/>
      <c r="AM2475" s="11"/>
      <c r="AN2475" s="11"/>
      <c r="AO2475" s="11"/>
    </row>
    <row r="2476" spans="1:41" ht="14.25" x14ac:dyDescent="0.2">
      <c r="A2476" s="2">
        <v>41091105</v>
      </c>
      <c r="B2476" s="3" t="s">
        <v>39</v>
      </c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9"/>
      <c r="AE2476" s="9"/>
      <c r="AF2476" s="9"/>
      <c r="AG2476" s="9"/>
      <c r="AH2476" s="9"/>
      <c r="AI2476" s="9"/>
      <c r="AJ2476" s="9"/>
      <c r="AK2476" s="9"/>
      <c r="AL2476" s="9"/>
      <c r="AM2476" s="9"/>
      <c r="AN2476" s="9"/>
      <c r="AO2476" s="9"/>
    </row>
    <row r="2477" spans="1:41" ht="14.25" x14ac:dyDescent="0.2">
      <c r="A2477" s="2">
        <v>4109110501</v>
      </c>
      <c r="B2477" s="3" t="s">
        <v>40</v>
      </c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  <c r="AO2477" s="9"/>
    </row>
    <row r="2478" spans="1:41" ht="14.25" x14ac:dyDescent="0.2">
      <c r="A2478" s="2">
        <v>4109110519</v>
      </c>
      <c r="B2478" s="3" t="s">
        <v>41</v>
      </c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  <c r="AO2478" s="9"/>
    </row>
    <row r="2479" spans="1:41" ht="14.25" x14ac:dyDescent="0.2">
      <c r="A2479" s="2">
        <v>41091106</v>
      </c>
      <c r="B2479" s="3" t="s">
        <v>42</v>
      </c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  <c r="AF2479" s="9"/>
      <c r="AG2479" s="9"/>
      <c r="AH2479" s="9"/>
      <c r="AI2479" s="9"/>
      <c r="AJ2479" s="9"/>
      <c r="AK2479" s="9"/>
      <c r="AL2479" s="9"/>
      <c r="AM2479" s="9"/>
      <c r="AN2479" s="9"/>
      <c r="AO2479" s="9"/>
    </row>
    <row r="2480" spans="1:41" ht="14.25" x14ac:dyDescent="0.2">
      <c r="A2480" s="2">
        <v>4109110601</v>
      </c>
      <c r="B2480" s="3" t="s">
        <v>40</v>
      </c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  <c r="AO2480" s="9"/>
    </row>
    <row r="2481" spans="1:41" ht="14.25" x14ac:dyDescent="0.2">
      <c r="A2481" s="2">
        <v>4109110619</v>
      </c>
      <c r="B2481" s="3" t="s">
        <v>41</v>
      </c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9"/>
      <c r="AE2481" s="9"/>
      <c r="AF2481" s="9"/>
      <c r="AG2481" s="9"/>
      <c r="AH2481" s="9"/>
      <c r="AI2481" s="9"/>
      <c r="AJ2481" s="9"/>
      <c r="AK2481" s="9"/>
      <c r="AL2481" s="9"/>
      <c r="AM2481" s="9"/>
      <c r="AN2481" s="9"/>
      <c r="AO2481" s="9"/>
    </row>
    <row r="2482" spans="1:41" ht="14.25" x14ac:dyDescent="0.2">
      <c r="A2482" s="2">
        <v>41091107</v>
      </c>
      <c r="B2482" s="3" t="s">
        <v>43</v>
      </c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  <c r="AF2482" s="9"/>
      <c r="AG2482" s="9"/>
      <c r="AH2482" s="9"/>
      <c r="AI2482" s="9"/>
      <c r="AJ2482" s="9"/>
      <c r="AK2482" s="9"/>
      <c r="AL2482" s="9"/>
      <c r="AM2482" s="9"/>
      <c r="AN2482" s="9"/>
      <c r="AO2482" s="9"/>
    </row>
    <row r="2483" spans="1:41" ht="14.25" x14ac:dyDescent="0.2">
      <c r="A2483" s="2">
        <v>4109110701</v>
      </c>
      <c r="B2483" s="3" t="s">
        <v>40</v>
      </c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  <c r="AH2483" s="9"/>
      <c r="AI2483" s="9"/>
      <c r="AJ2483" s="9"/>
      <c r="AK2483" s="9"/>
      <c r="AL2483" s="9"/>
      <c r="AM2483" s="9"/>
      <c r="AN2483" s="9"/>
      <c r="AO2483" s="9"/>
    </row>
    <row r="2484" spans="1:41" ht="14.25" x14ac:dyDescent="0.2">
      <c r="A2484" s="2">
        <v>4109110702</v>
      </c>
      <c r="B2484" s="3" t="s">
        <v>44</v>
      </c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  <c r="AO2484" s="9"/>
    </row>
    <row r="2485" spans="1:41" ht="14.25" x14ac:dyDescent="0.2">
      <c r="A2485" s="2">
        <v>4109110705</v>
      </c>
      <c r="B2485" s="3" t="s">
        <v>46</v>
      </c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  <c r="AH2485" s="9"/>
      <c r="AI2485" s="9"/>
      <c r="AJ2485" s="9"/>
      <c r="AK2485" s="9"/>
      <c r="AL2485" s="9"/>
      <c r="AM2485" s="9"/>
      <c r="AN2485" s="9"/>
      <c r="AO2485" s="9"/>
    </row>
    <row r="2486" spans="1:41" ht="14.25" x14ac:dyDescent="0.2">
      <c r="A2486" s="2">
        <v>4109110706</v>
      </c>
      <c r="B2486" s="3" t="s">
        <v>45</v>
      </c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  <c r="AB2486" s="9"/>
      <c r="AC2486" s="9"/>
      <c r="AD2486" s="9"/>
      <c r="AE2486" s="9"/>
      <c r="AF2486" s="9"/>
      <c r="AG2486" s="9"/>
      <c r="AH2486" s="9"/>
      <c r="AI2486" s="9"/>
      <c r="AJ2486" s="9"/>
      <c r="AK2486" s="9"/>
      <c r="AL2486" s="9"/>
      <c r="AM2486" s="9"/>
      <c r="AN2486" s="9"/>
      <c r="AO2486" s="9"/>
    </row>
    <row r="2487" spans="1:41" ht="14.25" x14ac:dyDescent="0.2">
      <c r="A2487" s="2">
        <v>4109110712</v>
      </c>
      <c r="B2487" s="3" t="s">
        <v>47</v>
      </c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  <c r="AO2487" s="9"/>
    </row>
    <row r="2488" spans="1:41" ht="14.25" x14ac:dyDescent="0.2">
      <c r="A2488" s="2">
        <v>4109110719</v>
      </c>
      <c r="B2488" s="3" t="s">
        <v>41</v>
      </c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9"/>
      <c r="AF2488" s="9"/>
      <c r="AG2488" s="9"/>
      <c r="AH2488" s="9"/>
      <c r="AI2488" s="9"/>
      <c r="AJ2488" s="9"/>
      <c r="AK2488" s="9"/>
      <c r="AL2488" s="9"/>
      <c r="AM2488" s="9"/>
      <c r="AN2488" s="9"/>
      <c r="AO2488" s="9"/>
    </row>
    <row r="2489" spans="1:41" ht="28.5" x14ac:dyDescent="0.2">
      <c r="A2489" s="2">
        <v>41091110</v>
      </c>
      <c r="B2489" s="4" t="s">
        <v>48</v>
      </c>
      <c r="C2489" s="11"/>
      <c r="D2489" s="11"/>
      <c r="E2489" s="11"/>
      <c r="F2489" s="11"/>
      <c r="G2489" s="11"/>
      <c r="H2489" s="11"/>
      <c r="I2489" s="11"/>
      <c r="J2489" s="11"/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11"/>
      <c r="AG2489" s="11"/>
      <c r="AH2489" s="11"/>
      <c r="AI2489" s="11"/>
      <c r="AJ2489" s="11"/>
      <c r="AK2489" s="11"/>
      <c r="AL2489" s="11"/>
      <c r="AM2489" s="11"/>
      <c r="AN2489" s="11"/>
      <c r="AO2489" s="11"/>
    </row>
    <row r="2490" spans="1:41" ht="14.25" x14ac:dyDescent="0.2">
      <c r="A2490" s="2">
        <v>4109111005</v>
      </c>
      <c r="B2490" s="3" t="s">
        <v>39</v>
      </c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  <c r="AH2490" s="9"/>
      <c r="AI2490" s="9"/>
      <c r="AJ2490" s="9"/>
      <c r="AK2490" s="9"/>
      <c r="AL2490" s="9"/>
      <c r="AM2490" s="9"/>
      <c r="AN2490" s="9"/>
      <c r="AO2490" s="9"/>
    </row>
    <row r="2491" spans="1:41" ht="14.25" x14ac:dyDescent="0.2">
      <c r="A2491" s="2">
        <v>4109111006</v>
      </c>
      <c r="B2491" s="3" t="s">
        <v>42</v>
      </c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9"/>
      <c r="AG2491" s="9"/>
      <c r="AH2491" s="9"/>
      <c r="AI2491" s="9"/>
      <c r="AJ2491" s="9"/>
      <c r="AK2491" s="9"/>
      <c r="AL2491" s="9"/>
      <c r="AM2491" s="9"/>
      <c r="AN2491" s="9"/>
      <c r="AO2491" s="9"/>
    </row>
    <row r="2492" spans="1:41" ht="14.25" x14ac:dyDescent="0.2">
      <c r="A2492" s="2">
        <v>4109111007</v>
      </c>
      <c r="B2492" s="3" t="s">
        <v>43</v>
      </c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9"/>
      <c r="AG2492" s="9"/>
      <c r="AH2492" s="9"/>
      <c r="AI2492" s="9"/>
      <c r="AJ2492" s="9"/>
      <c r="AK2492" s="9"/>
      <c r="AL2492" s="9"/>
      <c r="AM2492" s="9"/>
      <c r="AN2492" s="9"/>
      <c r="AO2492" s="9"/>
    </row>
    <row r="2493" spans="1:41" ht="28.5" x14ac:dyDescent="0.2">
      <c r="A2493" s="2">
        <v>41091111</v>
      </c>
      <c r="B2493" s="4" t="s">
        <v>50</v>
      </c>
      <c r="C2493" s="11"/>
      <c r="D2493" s="11"/>
      <c r="E2493" s="11"/>
      <c r="F2493" s="11"/>
      <c r="G2493" s="11"/>
      <c r="H2493" s="11"/>
      <c r="I2493" s="11"/>
      <c r="J2493" s="11"/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1"/>
      <c r="AB2493" s="11"/>
      <c r="AC2493" s="11"/>
      <c r="AD2493" s="11"/>
      <c r="AE2493" s="11"/>
      <c r="AF2493" s="11"/>
      <c r="AG2493" s="11"/>
      <c r="AH2493" s="11"/>
      <c r="AI2493" s="11"/>
      <c r="AJ2493" s="11"/>
      <c r="AK2493" s="11"/>
      <c r="AL2493" s="11"/>
      <c r="AM2493" s="11"/>
      <c r="AN2493" s="11"/>
      <c r="AO2493" s="11"/>
    </row>
    <row r="2494" spans="1:41" ht="14.25" x14ac:dyDescent="0.2">
      <c r="A2494" s="2">
        <v>4109111105</v>
      </c>
      <c r="B2494" s="3" t="s">
        <v>39</v>
      </c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9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  <c r="AO2494" s="9"/>
    </row>
    <row r="2495" spans="1:41" ht="14.25" x14ac:dyDescent="0.2">
      <c r="A2495" s="2">
        <v>4109111106</v>
      </c>
      <c r="B2495" s="3" t="s">
        <v>42</v>
      </c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  <c r="AH2495" s="9"/>
      <c r="AI2495" s="9"/>
      <c r="AJ2495" s="9"/>
      <c r="AK2495" s="9"/>
      <c r="AL2495" s="9"/>
      <c r="AM2495" s="9"/>
      <c r="AN2495" s="9"/>
      <c r="AO2495" s="9"/>
    </row>
    <row r="2496" spans="1:41" ht="14.25" x14ac:dyDescent="0.2">
      <c r="A2496" s="2">
        <v>4109111107</v>
      </c>
      <c r="B2496" s="3" t="s">
        <v>43</v>
      </c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9"/>
      <c r="AG2496" s="9"/>
      <c r="AH2496" s="9"/>
      <c r="AI2496" s="9"/>
      <c r="AJ2496" s="9"/>
      <c r="AK2496" s="9"/>
      <c r="AL2496" s="9"/>
      <c r="AM2496" s="9"/>
      <c r="AN2496" s="9"/>
      <c r="AO2496" s="9"/>
    </row>
    <row r="2497" spans="1:41" ht="28.5" x14ac:dyDescent="0.2">
      <c r="A2497" s="2">
        <v>41091112</v>
      </c>
      <c r="B2497" s="4" t="s">
        <v>51</v>
      </c>
      <c r="C2497" s="11"/>
      <c r="D2497" s="11"/>
      <c r="E2497" s="11"/>
      <c r="F2497" s="11"/>
      <c r="G2497" s="11"/>
      <c r="H2497" s="11"/>
      <c r="I2497" s="11"/>
      <c r="J2497" s="11"/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  <c r="AB2497" s="11"/>
      <c r="AC2497" s="11"/>
      <c r="AD2497" s="11"/>
      <c r="AE2497" s="11"/>
      <c r="AF2497" s="11"/>
      <c r="AG2497" s="11"/>
      <c r="AH2497" s="11"/>
      <c r="AI2497" s="11"/>
      <c r="AJ2497" s="11"/>
      <c r="AK2497" s="11"/>
      <c r="AL2497" s="11"/>
      <c r="AM2497" s="11"/>
      <c r="AN2497" s="11"/>
      <c r="AO2497" s="11"/>
    </row>
    <row r="2498" spans="1:41" ht="14.25" x14ac:dyDescent="0.2">
      <c r="A2498" s="2">
        <v>4109111205</v>
      </c>
      <c r="B2498" s="3" t="s">
        <v>39</v>
      </c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  <c r="AF2498" s="9"/>
      <c r="AG2498" s="9"/>
      <c r="AH2498" s="9"/>
      <c r="AI2498" s="9"/>
      <c r="AJ2498" s="9"/>
      <c r="AK2498" s="9"/>
      <c r="AL2498" s="9"/>
      <c r="AM2498" s="9"/>
      <c r="AN2498" s="9"/>
      <c r="AO2498" s="9"/>
    </row>
    <row r="2499" spans="1:41" ht="14.25" x14ac:dyDescent="0.2">
      <c r="A2499" s="2">
        <v>4109111206</v>
      </c>
      <c r="B2499" s="3" t="s">
        <v>42</v>
      </c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  <c r="AO2499" s="9"/>
    </row>
    <row r="2500" spans="1:41" ht="14.25" x14ac:dyDescent="0.2">
      <c r="A2500" s="2">
        <v>4109111207</v>
      </c>
      <c r="B2500" s="3" t="s">
        <v>43</v>
      </c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9"/>
      <c r="AG2500" s="9"/>
      <c r="AH2500" s="9"/>
      <c r="AI2500" s="9"/>
      <c r="AJ2500" s="9"/>
      <c r="AK2500" s="9"/>
      <c r="AL2500" s="9"/>
      <c r="AM2500" s="9"/>
      <c r="AN2500" s="9"/>
      <c r="AO2500" s="9"/>
    </row>
    <row r="2501" spans="1:41" ht="14.25" x14ac:dyDescent="0.2">
      <c r="A2501" s="2">
        <v>41091113</v>
      </c>
      <c r="B2501" s="3" t="s">
        <v>49</v>
      </c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9"/>
      <c r="AG2501" s="9"/>
      <c r="AH2501" s="9"/>
      <c r="AI2501" s="9"/>
      <c r="AJ2501" s="9"/>
      <c r="AK2501" s="9"/>
      <c r="AL2501" s="9"/>
      <c r="AM2501" s="9"/>
      <c r="AN2501" s="9"/>
      <c r="AO2501" s="9"/>
    </row>
    <row r="2502" spans="1:41" ht="14.25" x14ac:dyDescent="0.2">
      <c r="A2502" s="2">
        <v>41091119</v>
      </c>
      <c r="B2502" s="3" t="s">
        <v>53</v>
      </c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9"/>
      <c r="AD2502" s="9"/>
      <c r="AE2502" s="9"/>
      <c r="AF2502" s="9"/>
      <c r="AG2502" s="9"/>
      <c r="AH2502" s="9"/>
      <c r="AI2502" s="9"/>
      <c r="AJ2502" s="9"/>
      <c r="AK2502" s="9"/>
      <c r="AL2502" s="9"/>
      <c r="AM2502" s="9"/>
      <c r="AN2502" s="9"/>
      <c r="AO2502" s="9"/>
    </row>
    <row r="2503" spans="1:41" ht="28.5" x14ac:dyDescent="0.2">
      <c r="A2503" s="2">
        <v>410912</v>
      </c>
      <c r="B2503" s="4" t="s">
        <v>696</v>
      </c>
      <c r="C2503" s="11"/>
      <c r="D2503" s="11"/>
      <c r="E2503" s="11"/>
      <c r="F2503" s="11"/>
      <c r="G2503" s="11"/>
      <c r="H2503" s="11"/>
      <c r="I2503" s="11"/>
      <c r="J2503" s="11"/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1"/>
      <c r="AF2503" s="11"/>
      <c r="AG2503" s="11"/>
      <c r="AH2503" s="11"/>
      <c r="AI2503" s="11"/>
      <c r="AJ2503" s="11"/>
      <c r="AK2503" s="11"/>
      <c r="AL2503" s="11"/>
      <c r="AM2503" s="11"/>
      <c r="AN2503" s="11"/>
      <c r="AO2503" s="11"/>
    </row>
    <row r="2504" spans="1:41" ht="14.25" x14ac:dyDescent="0.2">
      <c r="A2504" s="2">
        <v>41091201</v>
      </c>
      <c r="B2504" s="3" t="s">
        <v>55</v>
      </c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  <c r="AE2504" s="9"/>
      <c r="AF2504" s="9"/>
      <c r="AG2504" s="9"/>
      <c r="AH2504" s="9"/>
      <c r="AI2504" s="9"/>
      <c r="AJ2504" s="9"/>
      <c r="AK2504" s="9"/>
      <c r="AL2504" s="9"/>
      <c r="AM2504" s="9"/>
      <c r="AN2504" s="9"/>
      <c r="AO2504" s="9"/>
    </row>
    <row r="2505" spans="1:41" ht="14.25" x14ac:dyDescent="0.2">
      <c r="A2505" s="2">
        <v>4109120101</v>
      </c>
      <c r="B2505" s="3" t="s">
        <v>56</v>
      </c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  <c r="AF2505" s="9"/>
      <c r="AG2505" s="9"/>
      <c r="AH2505" s="9"/>
      <c r="AI2505" s="9"/>
      <c r="AJ2505" s="9"/>
      <c r="AK2505" s="9"/>
      <c r="AL2505" s="9"/>
      <c r="AM2505" s="9"/>
      <c r="AN2505" s="9"/>
      <c r="AO2505" s="9"/>
    </row>
    <row r="2506" spans="1:41" ht="14.25" x14ac:dyDescent="0.2">
      <c r="A2506" s="2">
        <v>4109120109</v>
      </c>
      <c r="B2506" s="3" t="s">
        <v>60</v>
      </c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9"/>
      <c r="AD2506" s="9"/>
      <c r="AE2506" s="9"/>
      <c r="AF2506" s="9"/>
      <c r="AG2506" s="9"/>
      <c r="AH2506" s="9"/>
      <c r="AI2506" s="9"/>
      <c r="AJ2506" s="9"/>
      <c r="AK2506" s="9"/>
      <c r="AL2506" s="9"/>
      <c r="AM2506" s="9"/>
      <c r="AN2506" s="9"/>
      <c r="AO2506" s="9"/>
    </row>
    <row r="2507" spans="1:41" ht="14.25" x14ac:dyDescent="0.2">
      <c r="A2507" s="2">
        <v>41091202</v>
      </c>
      <c r="B2507" s="3" t="s">
        <v>61</v>
      </c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9"/>
      <c r="AH2507" s="9"/>
      <c r="AI2507" s="9"/>
      <c r="AJ2507" s="9"/>
      <c r="AK2507" s="9"/>
      <c r="AL2507" s="9"/>
      <c r="AM2507" s="9"/>
      <c r="AN2507" s="9"/>
      <c r="AO2507" s="9"/>
    </row>
    <row r="2508" spans="1:41" ht="14.25" x14ac:dyDescent="0.2">
      <c r="A2508" s="2">
        <v>41091203</v>
      </c>
      <c r="B2508" s="3" t="s">
        <v>62</v>
      </c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  <c r="AO2508" s="9"/>
    </row>
    <row r="2509" spans="1:41" ht="14.25" x14ac:dyDescent="0.2">
      <c r="A2509" s="2">
        <v>41091205</v>
      </c>
      <c r="B2509" s="3" t="s">
        <v>39</v>
      </c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9"/>
      <c r="AE2509" s="9"/>
      <c r="AF2509" s="9"/>
      <c r="AG2509" s="9"/>
      <c r="AH2509" s="9"/>
      <c r="AI2509" s="9"/>
      <c r="AJ2509" s="9"/>
      <c r="AK2509" s="9"/>
      <c r="AL2509" s="9"/>
      <c r="AM2509" s="9"/>
      <c r="AN2509" s="9"/>
      <c r="AO2509" s="9"/>
    </row>
    <row r="2510" spans="1:41" ht="14.25" x14ac:dyDescent="0.2">
      <c r="A2510" s="2">
        <v>4109120503</v>
      </c>
      <c r="B2510" s="3" t="s">
        <v>65</v>
      </c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9"/>
      <c r="AD2510" s="9"/>
      <c r="AE2510" s="9"/>
      <c r="AF2510" s="9"/>
      <c r="AG2510" s="9"/>
      <c r="AH2510" s="9"/>
      <c r="AI2510" s="9"/>
      <c r="AJ2510" s="9"/>
      <c r="AK2510" s="9"/>
      <c r="AL2510" s="9"/>
      <c r="AM2510" s="9"/>
      <c r="AN2510" s="9"/>
      <c r="AO2510" s="9"/>
    </row>
    <row r="2511" spans="1:41" ht="14.25" x14ac:dyDescent="0.2">
      <c r="A2511" s="2">
        <v>4109120505</v>
      </c>
      <c r="B2511" s="3" t="s">
        <v>66</v>
      </c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9"/>
      <c r="AD2511" s="9"/>
      <c r="AE2511" s="9"/>
      <c r="AF2511" s="9"/>
      <c r="AG2511" s="9"/>
      <c r="AH2511" s="9"/>
      <c r="AI2511" s="9"/>
      <c r="AJ2511" s="9"/>
      <c r="AK2511" s="9"/>
      <c r="AL2511" s="9"/>
      <c r="AM2511" s="9"/>
      <c r="AN2511" s="9"/>
      <c r="AO2511" s="9"/>
    </row>
    <row r="2512" spans="1:41" ht="14.25" x14ac:dyDescent="0.2">
      <c r="A2512" s="2">
        <v>4109120506</v>
      </c>
      <c r="B2512" s="3" t="s">
        <v>67</v>
      </c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9"/>
      <c r="AE2512" s="9"/>
      <c r="AF2512" s="9"/>
      <c r="AG2512" s="9"/>
      <c r="AH2512" s="9"/>
      <c r="AI2512" s="9"/>
      <c r="AJ2512" s="9"/>
      <c r="AK2512" s="9"/>
      <c r="AL2512" s="9"/>
      <c r="AM2512" s="9"/>
      <c r="AN2512" s="9"/>
      <c r="AO2512" s="9"/>
    </row>
    <row r="2513" spans="1:41" ht="14.25" x14ac:dyDescent="0.2">
      <c r="A2513" s="2">
        <v>4109120508</v>
      </c>
      <c r="B2513" s="3" t="s">
        <v>69</v>
      </c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  <c r="AF2513" s="9"/>
      <c r="AG2513" s="9"/>
      <c r="AH2513" s="9"/>
      <c r="AI2513" s="9"/>
      <c r="AJ2513" s="9"/>
      <c r="AK2513" s="9"/>
      <c r="AL2513" s="9"/>
      <c r="AM2513" s="9"/>
      <c r="AN2513" s="9"/>
      <c r="AO2513" s="9"/>
    </row>
    <row r="2514" spans="1:41" ht="14.25" x14ac:dyDescent="0.2">
      <c r="A2514" s="2">
        <v>4109120509</v>
      </c>
      <c r="B2514" s="3" t="s">
        <v>70</v>
      </c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  <c r="AF2514" s="9"/>
      <c r="AG2514" s="9"/>
      <c r="AH2514" s="9"/>
      <c r="AI2514" s="9"/>
      <c r="AJ2514" s="9"/>
      <c r="AK2514" s="9"/>
      <c r="AL2514" s="9"/>
      <c r="AM2514" s="9"/>
      <c r="AN2514" s="9"/>
      <c r="AO2514" s="9"/>
    </row>
    <row r="2515" spans="1:41" ht="28.5" x14ac:dyDescent="0.2">
      <c r="A2515" s="2">
        <v>4109120510</v>
      </c>
      <c r="B2515" s="4" t="s">
        <v>697</v>
      </c>
      <c r="C2515" s="11"/>
      <c r="D2515" s="11"/>
      <c r="E2515" s="11"/>
      <c r="F2515" s="11"/>
      <c r="G2515" s="11"/>
      <c r="H2515" s="11"/>
      <c r="I2515" s="11"/>
      <c r="J2515" s="11"/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  <c r="AB2515" s="11"/>
      <c r="AC2515" s="11"/>
      <c r="AD2515" s="11"/>
      <c r="AE2515" s="11"/>
      <c r="AF2515" s="11"/>
      <c r="AG2515" s="11"/>
      <c r="AH2515" s="11"/>
      <c r="AI2515" s="11"/>
      <c r="AJ2515" s="11"/>
      <c r="AK2515" s="11"/>
      <c r="AL2515" s="11"/>
      <c r="AM2515" s="11"/>
      <c r="AN2515" s="11"/>
      <c r="AO2515" s="11"/>
    </row>
    <row r="2516" spans="1:41" ht="14.25" x14ac:dyDescent="0.2">
      <c r="A2516" s="2">
        <v>4109120511</v>
      </c>
      <c r="B2516" s="3" t="s">
        <v>72</v>
      </c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9"/>
      <c r="AD2516" s="9"/>
      <c r="AE2516" s="9"/>
      <c r="AF2516" s="9"/>
      <c r="AG2516" s="9"/>
      <c r="AH2516" s="9"/>
      <c r="AI2516" s="9"/>
      <c r="AJ2516" s="9"/>
      <c r="AK2516" s="9"/>
      <c r="AL2516" s="9"/>
      <c r="AM2516" s="9"/>
      <c r="AN2516" s="9"/>
      <c r="AO2516" s="9"/>
    </row>
    <row r="2517" spans="1:41" ht="14.25" x14ac:dyDescent="0.2">
      <c r="A2517" s="2">
        <v>4109120519</v>
      </c>
      <c r="B2517" s="3" t="s">
        <v>41</v>
      </c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9"/>
      <c r="AG2517" s="9"/>
      <c r="AH2517" s="9"/>
      <c r="AI2517" s="9"/>
      <c r="AJ2517" s="9"/>
      <c r="AK2517" s="9"/>
      <c r="AL2517" s="9"/>
      <c r="AM2517" s="9"/>
      <c r="AN2517" s="9"/>
      <c r="AO2517" s="9"/>
    </row>
    <row r="2518" spans="1:41" ht="14.25" x14ac:dyDescent="0.2">
      <c r="A2518" s="2">
        <v>41091206</v>
      </c>
      <c r="B2518" s="3" t="s">
        <v>42</v>
      </c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  <c r="AO2518" s="9"/>
    </row>
    <row r="2519" spans="1:41" ht="14.25" x14ac:dyDescent="0.2">
      <c r="A2519" s="2">
        <v>4109120608</v>
      </c>
      <c r="B2519" s="3" t="s">
        <v>69</v>
      </c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  <c r="AH2519" s="9"/>
      <c r="AI2519" s="9"/>
      <c r="AJ2519" s="9"/>
      <c r="AK2519" s="9"/>
      <c r="AL2519" s="9"/>
      <c r="AM2519" s="9"/>
      <c r="AN2519" s="9"/>
      <c r="AO2519" s="9"/>
    </row>
    <row r="2520" spans="1:41" ht="14.25" x14ac:dyDescent="0.2">
      <c r="A2520" s="2">
        <v>4109120609</v>
      </c>
      <c r="B2520" s="3" t="s">
        <v>70</v>
      </c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  <c r="AE2520" s="9"/>
      <c r="AF2520" s="9"/>
      <c r="AG2520" s="9"/>
      <c r="AH2520" s="9"/>
      <c r="AI2520" s="9"/>
      <c r="AJ2520" s="9"/>
      <c r="AK2520" s="9"/>
      <c r="AL2520" s="9"/>
      <c r="AM2520" s="9"/>
      <c r="AN2520" s="9"/>
      <c r="AO2520" s="9"/>
    </row>
    <row r="2521" spans="1:41" ht="28.5" x14ac:dyDescent="0.2">
      <c r="A2521" s="2">
        <v>4109120610</v>
      </c>
      <c r="B2521" s="4" t="s">
        <v>697</v>
      </c>
      <c r="C2521" s="11"/>
      <c r="D2521" s="11"/>
      <c r="E2521" s="11"/>
      <c r="F2521" s="11"/>
      <c r="G2521" s="11"/>
      <c r="H2521" s="11"/>
      <c r="I2521" s="11"/>
      <c r="J2521" s="11"/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1"/>
      <c r="AF2521" s="11"/>
      <c r="AG2521" s="11"/>
      <c r="AH2521" s="11"/>
      <c r="AI2521" s="11"/>
      <c r="AJ2521" s="11"/>
      <c r="AK2521" s="11"/>
      <c r="AL2521" s="11"/>
      <c r="AM2521" s="11"/>
      <c r="AN2521" s="11"/>
      <c r="AO2521" s="11"/>
    </row>
    <row r="2522" spans="1:41" ht="14.25" x14ac:dyDescent="0.2">
      <c r="A2522" s="2">
        <v>4109120611</v>
      </c>
      <c r="B2522" s="3" t="s">
        <v>72</v>
      </c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/>
      <c r="AO2522" s="9"/>
    </row>
    <row r="2523" spans="1:41" ht="14.25" x14ac:dyDescent="0.2">
      <c r="A2523" s="2">
        <v>4109120619</v>
      </c>
      <c r="B2523" s="3" t="s">
        <v>41</v>
      </c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  <c r="AH2523" s="9"/>
      <c r="AI2523" s="9"/>
      <c r="AJ2523" s="9"/>
      <c r="AK2523" s="9"/>
      <c r="AL2523" s="9"/>
      <c r="AM2523" s="9"/>
      <c r="AN2523" s="9"/>
      <c r="AO2523" s="9"/>
    </row>
    <row r="2524" spans="1:41" ht="14.25" x14ac:dyDescent="0.2">
      <c r="A2524" s="2">
        <v>41091207</v>
      </c>
      <c r="B2524" s="3" t="s">
        <v>43</v>
      </c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9"/>
      <c r="AG2524" s="9"/>
      <c r="AH2524" s="9"/>
      <c r="AI2524" s="9"/>
      <c r="AJ2524" s="9"/>
      <c r="AK2524" s="9"/>
      <c r="AL2524" s="9"/>
      <c r="AM2524" s="9"/>
      <c r="AN2524" s="9"/>
      <c r="AO2524" s="9"/>
    </row>
    <row r="2525" spans="1:41" ht="14.25" x14ac:dyDescent="0.2">
      <c r="A2525" s="2">
        <v>4109120708</v>
      </c>
      <c r="B2525" s="3" t="s">
        <v>69</v>
      </c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9"/>
      <c r="AD2525" s="9"/>
      <c r="AE2525" s="9"/>
      <c r="AF2525" s="9"/>
      <c r="AG2525" s="9"/>
      <c r="AH2525" s="9"/>
      <c r="AI2525" s="9"/>
      <c r="AJ2525" s="9"/>
      <c r="AK2525" s="9"/>
      <c r="AL2525" s="9"/>
      <c r="AM2525" s="9"/>
      <c r="AN2525" s="9"/>
      <c r="AO2525" s="9"/>
    </row>
    <row r="2526" spans="1:41" ht="14.25" x14ac:dyDescent="0.2">
      <c r="A2526" s="2">
        <v>4109120709</v>
      </c>
      <c r="B2526" s="3" t="s">
        <v>70</v>
      </c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9"/>
      <c r="AG2526" s="9"/>
      <c r="AH2526" s="9"/>
      <c r="AI2526" s="9"/>
      <c r="AJ2526" s="9"/>
      <c r="AK2526" s="9"/>
      <c r="AL2526" s="9"/>
      <c r="AM2526" s="9"/>
      <c r="AN2526" s="9"/>
      <c r="AO2526" s="9"/>
    </row>
    <row r="2527" spans="1:41" ht="28.5" x14ac:dyDescent="0.2">
      <c r="A2527" s="2">
        <v>4109120710</v>
      </c>
      <c r="B2527" s="4" t="s">
        <v>697</v>
      </c>
      <c r="C2527" s="11"/>
      <c r="D2527" s="11"/>
      <c r="E2527" s="11"/>
      <c r="F2527" s="11"/>
      <c r="G2527" s="11"/>
      <c r="H2527" s="11"/>
      <c r="I2527" s="11"/>
      <c r="J2527" s="11"/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  <c r="AB2527" s="11"/>
      <c r="AC2527" s="11"/>
      <c r="AD2527" s="11"/>
      <c r="AE2527" s="11"/>
      <c r="AF2527" s="11"/>
      <c r="AG2527" s="11"/>
      <c r="AH2527" s="11"/>
      <c r="AI2527" s="11"/>
      <c r="AJ2527" s="11"/>
      <c r="AK2527" s="11"/>
      <c r="AL2527" s="11"/>
      <c r="AM2527" s="11"/>
      <c r="AN2527" s="11"/>
      <c r="AO2527" s="11"/>
    </row>
    <row r="2528" spans="1:41" ht="14.25" x14ac:dyDescent="0.2">
      <c r="A2528" s="2">
        <v>4109120711</v>
      </c>
      <c r="B2528" s="3" t="s">
        <v>72</v>
      </c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9"/>
      <c r="AI2528" s="9"/>
      <c r="AJ2528" s="9"/>
      <c r="AK2528" s="9"/>
      <c r="AL2528" s="9"/>
      <c r="AM2528" s="9"/>
      <c r="AN2528" s="9"/>
      <c r="AO2528" s="9"/>
    </row>
    <row r="2529" spans="1:41" ht="14.25" x14ac:dyDescent="0.2">
      <c r="A2529" s="2">
        <v>4109120712</v>
      </c>
      <c r="B2529" s="3" t="s">
        <v>47</v>
      </c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  <c r="AO2529" s="9"/>
    </row>
    <row r="2530" spans="1:41" ht="14.25" x14ac:dyDescent="0.2">
      <c r="A2530" s="2">
        <v>4109120714</v>
      </c>
      <c r="B2530" s="3" t="s">
        <v>73</v>
      </c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  <c r="AF2530" s="9"/>
      <c r="AG2530" s="9"/>
      <c r="AH2530" s="9"/>
      <c r="AI2530" s="9"/>
      <c r="AJ2530" s="9"/>
      <c r="AK2530" s="9"/>
      <c r="AL2530" s="9"/>
      <c r="AM2530" s="9"/>
      <c r="AN2530" s="9"/>
      <c r="AO2530" s="9"/>
    </row>
    <row r="2531" spans="1:41" ht="14.25" x14ac:dyDescent="0.2">
      <c r="A2531" s="2">
        <v>4109120715</v>
      </c>
      <c r="B2531" s="3" t="s">
        <v>74</v>
      </c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  <c r="AO2531" s="9"/>
    </row>
    <row r="2532" spans="1:41" ht="14.25" x14ac:dyDescent="0.2">
      <c r="A2532" s="2">
        <v>4109120719</v>
      </c>
      <c r="B2532" s="3" t="s">
        <v>41</v>
      </c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  <c r="AO2532" s="9"/>
    </row>
    <row r="2533" spans="1:41" ht="28.5" x14ac:dyDescent="0.2">
      <c r="A2533" s="2">
        <v>41091210</v>
      </c>
      <c r="B2533" s="4" t="s">
        <v>48</v>
      </c>
      <c r="C2533" s="11"/>
      <c r="D2533" s="11"/>
      <c r="E2533" s="11"/>
      <c r="F2533" s="11"/>
      <c r="G2533" s="11"/>
      <c r="H2533" s="11"/>
      <c r="I2533" s="11"/>
      <c r="J2533" s="11"/>
      <c r="K2533" s="11"/>
      <c r="L2533" s="11"/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  <c r="AC2533" s="11"/>
      <c r="AD2533" s="11"/>
      <c r="AE2533" s="11"/>
      <c r="AF2533" s="11"/>
      <c r="AG2533" s="11"/>
      <c r="AH2533" s="11"/>
      <c r="AI2533" s="11"/>
      <c r="AJ2533" s="11"/>
      <c r="AK2533" s="11"/>
      <c r="AL2533" s="11"/>
      <c r="AM2533" s="11"/>
      <c r="AN2533" s="11"/>
      <c r="AO2533" s="11"/>
    </row>
    <row r="2534" spans="1:41" ht="14.25" x14ac:dyDescent="0.2">
      <c r="A2534" s="2">
        <v>4109121001</v>
      </c>
      <c r="B2534" s="3" t="s">
        <v>55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9"/>
      <c r="AG2534" s="9"/>
      <c r="AH2534" s="9"/>
      <c r="AI2534" s="9"/>
      <c r="AJ2534" s="9"/>
      <c r="AK2534" s="9"/>
      <c r="AL2534" s="9"/>
      <c r="AM2534" s="9"/>
      <c r="AN2534" s="9"/>
      <c r="AO2534" s="9"/>
    </row>
    <row r="2535" spans="1:41" ht="14.25" x14ac:dyDescent="0.2">
      <c r="A2535" s="2">
        <v>4109121002</v>
      </c>
      <c r="B2535" s="3" t="s">
        <v>61</v>
      </c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  <c r="AO2535" s="9"/>
    </row>
    <row r="2536" spans="1:41" ht="14.25" x14ac:dyDescent="0.2">
      <c r="A2536" s="2">
        <v>4109121003</v>
      </c>
      <c r="B2536" s="3" t="s">
        <v>62</v>
      </c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  <c r="AO2536" s="9"/>
    </row>
    <row r="2537" spans="1:41" ht="14.25" x14ac:dyDescent="0.2">
      <c r="A2537" s="2">
        <v>4109121005</v>
      </c>
      <c r="B2537" s="3" t="s">
        <v>39</v>
      </c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  <c r="AO2537" s="9"/>
    </row>
    <row r="2538" spans="1:41" ht="14.25" x14ac:dyDescent="0.2">
      <c r="A2538" s="2">
        <v>4109121006</v>
      </c>
      <c r="B2538" s="3" t="s">
        <v>42</v>
      </c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9"/>
      <c r="AD2538" s="9"/>
      <c r="AE2538" s="9"/>
      <c r="AF2538" s="9"/>
      <c r="AG2538" s="9"/>
      <c r="AH2538" s="9"/>
      <c r="AI2538" s="9"/>
      <c r="AJ2538" s="9"/>
      <c r="AK2538" s="9"/>
      <c r="AL2538" s="9"/>
      <c r="AM2538" s="9"/>
      <c r="AN2538" s="9"/>
      <c r="AO2538" s="9"/>
    </row>
    <row r="2539" spans="1:41" ht="14.25" x14ac:dyDescent="0.2">
      <c r="A2539" s="2">
        <v>4109121007</v>
      </c>
      <c r="B2539" s="3" t="s">
        <v>43</v>
      </c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  <c r="AF2539" s="9"/>
      <c r="AG2539" s="9"/>
      <c r="AH2539" s="9"/>
      <c r="AI2539" s="9"/>
      <c r="AJ2539" s="9"/>
      <c r="AK2539" s="9"/>
      <c r="AL2539" s="9"/>
      <c r="AM2539" s="9"/>
      <c r="AN2539" s="9"/>
      <c r="AO2539" s="9"/>
    </row>
    <row r="2540" spans="1:41" ht="28.5" x14ac:dyDescent="0.2">
      <c r="A2540" s="2">
        <v>41091211</v>
      </c>
      <c r="B2540" s="4" t="s">
        <v>50</v>
      </c>
      <c r="C2540" s="11"/>
      <c r="D2540" s="11"/>
      <c r="E2540" s="11"/>
      <c r="F2540" s="11"/>
      <c r="G2540" s="11"/>
      <c r="H2540" s="11"/>
      <c r="I2540" s="11"/>
      <c r="J2540" s="11"/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1"/>
      <c r="AF2540" s="11"/>
      <c r="AG2540" s="11"/>
      <c r="AH2540" s="11"/>
      <c r="AI2540" s="11"/>
      <c r="AJ2540" s="11"/>
      <c r="AK2540" s="11"/>
      <c r="AL2540" s="11"/>
      <c r="AM2540" s="11"/>
      <c r="AN2540" s="11"/>
      <c r="AO2540" s="11"/>
    </row>
    <row r="2541" spans="1:41" ht="14.25" x14ac:dyDescent="0.2">
      <c r="A2541" s="2">
        <v>4109121101</v>
      </c>
      <c r="B2541" s="3" t="s">
        <v>55</v>
      </c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  <c r="AE2541" s="9"/>
      <c r="AF2541" s="9"/>
      <c r="AG2541" s="9"/>
      <c r="AH2541" s="9"/>
      <c r="AI2541" s="9"/>
      <c r="AJ2541" s="9"/>
      <c r="AK2541" s="9"/>
      <c r="AL2541" s="9"/>
      <c r="AM2541" s="9"/>
      <c r="AN2541" s="9"/>
      <c r="AO2541" s="9"/>
    </row>
    <row r="2542" spans="1:41" ht="14.25" x14ac:dyDescent="0.2">
      <c r="A2542" s="2">
        <v>4109121102</v>
      </c>
      <c r="B2542" s="3" t="s">
        <v>61</v>
      </c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9"/>
      <c r="AE2542" s="9"/>
      <c r="AF2542" s="9"/>
      <c r="AG2542" s="9"/>
      <c r="AH2542" s="9"/>
      <c r="AI2542" s="9"/>
      <c r="AJ2542" s="9"/>
      <c r="AK2542" s="9"/>
      <c r="AL2542" s="9"/>
      <c r="AM2542" s="9"/>
      <c r="AN2542" s="9"/>
      <c r="AO2542" s="9"/>
    </row>
    <row r="2543" spans="1:41" ht="14.25" x14ac:dyDescent="0.2">
      <c r="A2543" s="2">
        <v>4109121103</v>
      </c>
      <c r="B2543" s="3" t="s">
        <v>62</v>
      </c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9"/>
      <c r="AG2543" s="9"/>
      <c r="AH2543" s="9"/>
      <c r="AI2543" s="9"/>
      <c r="AJ2543" s="9"/>
      <c r="AK2543" s="9"/>
      <c r="AL2543" s="9"/>
      <c r="AM2543" s="9"/>
      <c r="AN2543" s="9"/>
      <c r="AO2543" s="9"/>
    </row>
    <row r="2544" spans="1:41" ht="14.25" x14ac:dyDescent="0.2">
      <c r="A2544" s="2">
        <v>4109121105</v>
      </c>
      <c r="B2544" s="3" t="s">
        <v>39</v>
      </c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  <c r="AF2544" s="9"/>
      <c r="AG2544" s="9"/>
      <c r="AH2544" s="9"/>
      <c r="AI2544" s="9"/>
      <c r="AJ2544" s="9"/>
      <c r="AK2544" s="9"/>
      <c r="AL2544" s="9"/>
      <c r="AM2544" s="9"/>
      <c r="AN2544" s="9"/>
      <c r="AO2544" s="9"/>
    </row>
    <row r="2545" spans="1:41" ht="14.25" x14ac:dyDescent="0.2">
      <c r="A2545" s="2">
        <v>4109121106</v>
      </c>
      <c r="B2545" s="3" t="s">
        <v>42</v>
      </c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9"/>
      <c r="AE2545" s="9"/>
      <c r="AF2545" s="9"/>
      <c r="AG2545" s="9"/>
      <c r="AH2545" s="9"/>
      <c r="AI2545" s="9"/>
      <c r="AJ2545" s="9"/>
      <c r="AK2545" s="9"/>
      <c r="AL2545" s="9"/>
      <c r="AM2545" s="9"/>
      <c r="AN2545" s="9"/>
      <c r="AO2545" s="9"/>
    </row>
    <row r="2546" spans="1:41" ht="14.25" x14ac:dyDescent="0.2">
      <c r="A2546" s="2">
        <v>4109121107</v>
      </c>
      <c r="B2546" s="3" t="s">
        <v>43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9"/>
      <c r="AE2546" s="9"/>
      <c r="AF2546" s="9"/>
      <c r="AG2546" s="9"/>
      <c r="AH2546" s="9"/>
      <c r="AI2546" s="9"/>
      <c r="AJ2546" s="9"/>
      <c r="AK2546" s="9"/>
      <c r="AL2546" s="9"/>
      <c r="AM2546" s="9"/>
      <c r="AN2546" s="9"/>
      <c r="AO2546" s="9"/>
    </row>
    <row r="2547" spans="1:41" ht="28.5" x14ac:dyDescent="0.2">
      <c r="A2547" s="2">
        <v>41091212</v>
      </c>
      <c r="B2547" s="4" t="s">
        <v>51</v>
      </c>
      <c r="C2547" s="11"/>
      <c r="D2547" s="11"/>
      <c r="E2547" s="11"/>
      <c r="F2547" s="11"/>
      <c r="G2547" s="11"/>
      <c r="H2547" s="11"/>
      <c r="I2547" s="11"/>
      <c r="J2547" s="11"/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1"/>
      <c r="AF2547" s="11"/>
      <c r="AG2547" s="11"/>
      <c r="AH2547" s="11"/>
      <c r="AI2547" s="11"/>
      <c r="AJ2547" s="11"/>
      <c r="AK2547" s="11"/>
      <c r="AL2547" s="11"/>
      <c r="AM2547" s="11"/>
      <c r="AN2547" s="11"/>
      <c r="AO2547" s="11"/>
    </row>
    <row r="2548" spans="1:41" ht="14.25" x14ac:dyDescent="0.2">
      <c r="A2548" s="2">
        <v>4109121201</v>
      </c>
      <c r="B2548" s="3" t="s">
        <v>55</v>
      </c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9"/>
      <c r="AD2548" s="9"/>
      <c r="AE2548" s="9"/>
      <c r="AF2548" s="9"/>
      <c r="AG2548" s="9"/>
      <c r="AH2548" s="9"/>
      <c r="AI2548" s="9"/>
      <c r="AJ2548" s="9"/>
      <c r="AK2548" s="9"/>
      <c r="AL2548" s="9"/>
      <c r="AM2548" s="9"/>
      <c r="AN2548" s="9"/>
      <c r="AO2548" s="9"/>
    </row>
    <row r="2549" spans="1:41" ht="14.25" x14ac:dyDescent="0.2">
      <c r="A2549" s="2">
        <v>4109121202</v>
      </c>
      <c r="B2549" s="3" t="s">
        <v>61</v>
      </c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9"/>
      <c r="AD2549" s="9"/>
      <c r="AE2549" s="9"/>
      <c r="AF2549" s="9"/>
      <c r="AG2549" s="9"/>
      <c r="AH2549" s="9"/>
      <c r="AI2549" s="9"/>
      <c r="AJ2549" s="9"/>
      <c r="AK2549" s="9"/>
      <c r="AL2549" s="9"/>
      <c r="AM2549" s="9"/>
      <c r="AN2549" s="9"/>
      <c r="AO2549" s="9"/>
    </row>
    <row r="2550" spans="1:41" ht="14.25" x14ac:dyDescent="0.2">
      <c r="A2550" s="2">
        <v>4109121203</v>
      </c>
      <c r="B2550" s="3" t="s">
        <v>62</v>
      </c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9"/>
      <c r="AD2550" s="9"/>
      <c r="AE2550" s="9"/>
      <c r="AF2550" s="9"/>
      <c r="AG2550" s="9"/>
      <c r="AH2550" s="9"/>
      <c r="AI2550" s="9"/>
      <c r="AJ2550" s="9"/>
      <c r="AK2550" s="9"/>
      <c r="AL2550" s="9"/>
      <c r="AM2550" s="9"/>
      <c r="AN2550" s="9"/>
      <c r="AO2550" s="9"/>
    </row>
    <row r="2551" spans="1:41" ht="14.25" x14ac:dyDescent="0.2">
      <c r="A2551" s="2">
        <v>4109121205</v>
      </c>
      <c r="B2551" s="3" t="s">
        <v>39</v>
      </c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9"/>
      <c r="AE2551" s="9"/>
      <c r="AF2551" s="9"/>
      <c r="AG2551" s="9"/>
      <c r="AH2551" s="9"/>
      <c r="AI2551" s="9"/>
      <c r="AJ2551" s="9"/>
      <c r="AK2551" s="9"/>
      <c r="AL2551" s="9"/>
      <c r="AM2551" s="9"/>
      <c r="AN2551" s="9"/>
      <c r="AO2551" s="9"/>
    </row>
    <row r="2552" spans="1:41" ht="14.25" x14ac:dyDescent="0.2">
      <c r="A2552" s="2">
        <v>4109121206</v>
      </c>
      <c r="B2552" s="3" t="s">
        <v>42</v>
      </c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9"/>
      <c r="AD2552" s="9"/>
      <c r="AE2552" s="9"/>
      <c r="AF2552" s="9"/>
      <c r="AG2552" s="9"/>
      <c r="AH2552" s="9"/>
      <c r="AI2552" s="9"/>
      <c r="AJ2552" s="9"/>
      <c r="AK2552" s="9"/>
      <c r="AL2552" s="9"/>
      <c r="AM2552" s="9"/>
      <c r="AN2552" s="9"/>
      <c r="AO2552" s="9"/>
    </row>
    <row r="2553" spans="1:41" ht="14.25" x14ac:dyDescent="0.2">
      <c r="A2553" s="2">
        <v>4109121207</v>
      </c>
      <c r="B2553" s="3" t="s">
        <v>43</v>
      </c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9"/>
      <c r="AH2553" s="9"/>
      <c r="AI2553" s="9"/>
      <c r="AJ2553" s="9"/>
      <c r="AK2553" s="9"/>
      <c r="AL2553" s="9"/>
      <c r="AM2553" s="9"/>
      <c r="AN2553" s="9"/>
      <c r="AO2553" s="9"/>
    </row>
    <row r="2554" spans="1:41" ht="14.25" x14ac:dyDescent="0.2">
      <c r="A2554" s="2">
        <v>41091219</v>
      </c>
      <c r="B2554" s="3" t="s">
        <v>59</v>
      </c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9"/>
      <c r="AG2554" s="9"/>
      <c r="AH2554" s="9"/>
      <c r="AI2554" s="9"/>
      <c r="AJ2554" s="9"/>
      <c r="AK2554" s="9"/>
      <c r="AL2554" s="9"/>
      <c r="AM2554" s="9"/>
      <c r="AN2554" s="9"/>
      <c r="AO2554" s="9"/>
    </row>
    <row r="2555" spans="1:41" ht="28.5" x14ac:dyDescent="0.2">
      <c r="A2555" s="2">
        <v>410913</v>
      </c>
      <c r="B2555" s="4" t="s">
        <v>698</v>
      </c>
      <c r="C2555" s="11"/>
      <c r="D2555" s="11"/>
      <c r="E2555" s="11"/>
      <c r="F2555" s="11"/>
      <c r="G2555" s="11"/>
      <c r="H2555" s="11"/>
      <c r="I2555" s="11"/>
      <c r="J2555" s="11"/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11"/>
      <c r="AG2555" s="11"/>
      <c r="AH2555" s="11"/>
      <c r="AI2555" s="11"/>
      <c r="AJ2555" s="11"/>
      <c r="AK2555" s="11"/>
      <c r="AL2555" s="11"/>
      <c r="AM2555" s="11"/>
      <c r="AN2555" s="11"/>
      <c r="AO2555" s="11"/>
    </row>
    <row r="2556" spans="1:41" ht="14.25" x14ac:dyDescent="0.2">
      <c r="A2556" s="2">
        <v>41091305</v>
      </c>
      <c r="B2556" s="3" t="s">
        <v>39</v>
      </c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9"/>
      <c r="AD2556" s="9"/>
      <c r="AE2556" s="9"/>
      <c r="AF2556" s="9"/>
      <c r="AG2556" s="9"/>
      <c r="AH2556" s="9"/>
      <c r="AI2556" s="9"/>
      <c r="AJ2556" s="9"/>
      <c r="AK2556" s="9"/>
      <c r="AL2556" s="9"/>
      <c r="AM2556" s="9"/>
      <c r="AN2556" s="9"/>
      <c r="AO2556" s="9"/>
    </row>
    <row r="2557" spans="1:41" ht="14.25" x14ac:dyDescent="0.2">
      <c r="A2557" s="2">
        <v>4109130501</v>
      </c>
      <c r="B2557" s="3" t="s">
        <v>40</v>
      </c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9"/>
      <c r="AG2557" s="9"/>
      <c r="AH2557" s="9"/>
      <c r="AI2557" s="9"/>
      <c r="AJ2557" s="9"/>
      <c r="AK2557" s="9"/>
      <c r="AL2557" s="9"/>
      <c r="AM2557" s="9"/>
      <c r="AN2557" s="9"/>
      <c r="AO2557" s="9"/>
    </row>
    <row r="2558" spans="1:41" ht="14.25" x14ac:dyDescent="0.2">
      <c r="A2558" s="2">
        <v>4109130519</v>
      </c>
      <c r="B2558" s="3" t="s">
        <v>41</v>
      </c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  <c r="AH2558" s="9"/>
      <c r="AI2558" s="9"/>
      <c r="AJ2558" s="9"/>
      <c r="AK2558" s="9"/>
      <c r="AL2558" s="9"/>
      <c r="AM2558" s="9"/>
      <c r="AN2558" s="9"/>
      <c r="AO2558" s="9"/>
    </row>
    <row r="2559" spans="1:41" ht="14.25" x14ac:dyDescent="0.2">
      <c r="A2559" s="2">
        <v>41091306</v>
      </c>
      <c r="B2559" s="3" t="s">
        <v>42</v>
      </c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  <c r="AO2559" s="9"/>
    </row>
    <row r="2560" spans="1:41" ht="14.25" x14ac:dyDescent="0.2">
      <c r="A2560" s="2">
        <v>4109130601</v>
      </c>
      <c r="B2560" s="3" t="s">
        <v>40</v>
      </c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9"/>
      <c r="AH2560" s="9"/>
      <c r="AI2560" s="9"/>
      <c r="AJ2560" s="9"/>
      <c r="AK2560" s="9"/>
      <c r="AL2560" s="9"/>
      <c r="AM2560" s="9"/>
      <c r="AN2560" s="9"/>
      <c r="AO2560" s="9"/>
    </row>
    <row r="2561" spans="1:41" ht="14.25" x14ac:dyDescent="0.2">
      <c r="A2561" s="2">
        <v>4109130619</v>
      </c>
      <c r="B2561" s="3" t="s">
        <v>41</v>
      </c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  <c r="AF2561" s="9"/>
      <c r="AG2561" s="9"/>
      <c r="AH2561" s="9"/>
      <c r="AI2561" s="9"/>
      <c r="AJ2561" s="9"/>
      <c r="AK2561" s="9"/>
      <c r="AL2561" s="9"/>
      <c r="AM2561" s="9"/>
      <c r="AN2561" s="9"/>
      <c r="AO2561" s="9"/>
    </row>
    <row r="2562" spans="1:41" ht="14.25" x14ac:dyDescent="0.2">
      <c r="A2562" s="2">
        <v>41091307</v>
      </c>
      <c r="B2562" s="3" t="s">
        <v>43</v>
      </c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9"/>
      <c r="AG2562" s="9"/>
      <c r="AH2562" s="9"/>
      <c r="AI2562" s="9"/>
      <c r="AJ2562" s="9"/>
      <c r="AK2562" s="9"/>
      <c r="AL2562" s="9"/>
      <c r="AM2562" s="9"/>
      <c r="AN2562" s="9"/>
      <c r="AO2562" s="9"/>
    </row>
    <row r="2563" spans="1:41" ht="14.25" x14ac:dyDescent="0.2">
      <c r="A2563" s="2">
        <v>4109130701</v>
      </c>
      <c r="B2563" s="3" t="s">
        <v>40</v>
      </c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9"/>
      <c r="AG2563" s="9"/>
      <c r="AH2563" s="9"/>
      <c r="AI2563" s="9"/>
      <c r="AJ2563" s="9"/>
      <c r="AK2563" s="9"/>
      <c r="AL2563" s="9"/>
      <c r="AM2563" s="9"/>
      <c r="AN2563" s="9"/>
      <c r="AO2563" s="9"/>
    </row>
    <row r="2564" spans="1:41" ht="14.25" x14ac:dyDescent="0.2">
      <c r="A2564" s="2">
        <v>4109130702</v>
      </c>
      <c r="B2564" s="3" t="s">
        <v>44</v>
      </c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9"/>
      <c r="AD2564" s="9"/>
      <c r="AE2564" s="9"/>
      <c r="AF2564" s="9"/>
      <c r="AG2564" s="9"/>
      <c r="AH2564" s="9"/>
      <c r="AI2564" s="9"/>
      <c r="AJ2564" s="9"/>
      <c r="AK2564" s="9"/>
      <c r="AL2564" s="9"/>
      <c r="AM2564" s="9"/>
      <c r="AN2564" s="9"/>
      <c r="AO2564" s="9"/>
    </row>
    <row r="2565" spans="1:41" ht="14.25" x14ac:dyDescent="0.2">
      <c r="A2565" s="2">
        <v>4109130705</v>
      </c>
      <c r="B2565" s="3" t="s">
        <v>699</v>
      </c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  <c r="AF2565" s="9"/>
      <c r="AG2565" s="9"/>
      <c r="AH2565" s="9"/>
      <c r="AI2565" s="9"/>
      <c r="AJ2565" s="9"/>
      <c r="AK2565" s="9"/>
      <c r="AL2565" s="9"/>
      <c r="AM2565" s="9"/>
      <c r="AN2565" s="9"/>
      <c r="AO2565" s="9"/>
    </row>
    <row r="2566" spans="1:41" ht="14.25" x14ac:dyDescent="0.2">
      <c r="A2566" s="2">
        <v>4109130706</v>
      </c>
      <c r="B2566" s="3" t="s">
        <v>700</v>
      </c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9"/>
    </row>
    <row r="2567" spans="1:41" ht="14.25" x14ac:dyDescent="0.2">
      <c r="A2567" s="2">
        <v>4109130712</v>
      </c>
      <c r="B2567" s="3" t="s">
        <v>47</v>
      </c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  <c r="AO2567" s="9"/>
    </row>
    <row r="2568" spans="1:41" ht="14.25" x14ac:dyDescent="0.2">
      <c r="A2568" s="2">
        <v>4109130719</v>
      </c>
      <c r="B2568" s="3" t="s">
        <v>41</v>
      </c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9"/>
      <c r="AG2568" s="9"/>
      <c r="AH2568" s="9"/>
      <c r="AI2568" s="9"/>
      <c r="AJ2568" s="9"/>
      <c r="AK2568" s="9"/>
      <c r="AL2568" s="9"/>
      <c r="AM2568" s="9"/>
      <c r="AN2568" s="9"/>
      <c r="AO2568" s="9"/>
    </row>
    <row r="2569" spans="1:41" ht="28.5" x14ac:dyDescent="0.2">
      <c r="A2569" s="2">
        <v>41091310</v>
      </c>
      <c r="B2569" s="4" t="s">
        <v>48</v>
      </c>
      <c r="C2569" s="11"/>
      <c r="D2569" s="11"/>
      <c r="E2569" s="11"/>
      <c r="F2569" s="11"/>
      <c r="G2569" s="11"/>
      <c r="H2569" s="11"/>
      <c r="I2569" s="11"/>
      <c r="J2569" s="11"/>
      <c r="K2569" s="11"/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  <c r="AA2569" s="11"/>
      <c r="AB2569" s="11"/>
      <c r="AC2569" s="11"/>
      <c r="AD2569" s="11"/>
      <c r="AE2569" s="11"/>
      <c r="AF2569" s="11"/>
      <c r="AG2569" s="11"/>
      <c r="AH2569" s="11"/>
      <c r="AI2569" s="11"/>
      <c r="AJ2569" s="11"/>
      <c r="AK2569" s="11"/>
      <c r="AL2569" s="11"/>
      <c r="AM2569" s="11"/>
      <c r="AN2569" s="11"/>
      <c r="AO2569" s="11"/>
    </row>
    <row r="2570" spans="1:41" ht="14.25" x14ac:dyDescent="0.2">
      <c r="A2570" s="2">
        <v>4109131005</v>
      </c>
      <c r="B2570" s="3" t="s">
        <v>39</v>
      </c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9"/>
      <c r="AG2570" s="9"/>
      <c r="AH2570" s="9"/>
      <c r="AI2570" s="9"/>
      <c r="AJ2570" s="9"/>
      <c r="AK2570" s="9"/>
      <c r="AL2570" s="9"/>
      <c r="AM2570" s="9"/>
      <c r="AN2570" s="9"/>
      <c r="AO2570" s="9"/>
    </row>
    <row r="2571" spans="1:41" ht="14.25" x14ac:dyDescent="0.2">
      <c r="A2571" s="2">
        <v>4109131006</v>
      </c>
      <c r="B2571" s="3" t="s">
        <v>42</v>
      </c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9"/>
      <c r="AH2571" s="9"/>
      <c r="AI2571" s="9"/>
      <c r="AJ2571" s="9"/>
      <c r="AK2571" s="9"/>
      <c r="AL2571" s="9"/>
      <c r="AM2571" s="9"/>
      <c r="AN2571" s="9"/>
      <c r="AO2571" s="9"/>
    </row>
    <row r="2572" spans="1:41" ht="14.25" x14ac:dyDescent="0.2">
      <c r="A2572" s="2">
        <v>4109131007</v>
      </c>
      <c r="B2572" s="3" t="s">
        <v>43</v>
      </c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  <c r="AO2572" s="9"/>
    </row>
    <row r="2573" spans="1:41" ht="28.5" x14ac:dyDescent="0.2">
      <c r="A2573" s="2">
        <v>41091311</v>
      </c>
      <c r="B2573" s="4" t="s">
        <v>50</v>
      </c>
      <c r="C2573" s="11"/>
      <c r="D2573" s="11"/>
      <c r="E2573" s="11"/>
      <c r="F2573" s="11"/>
      <c r="G2573" s="11"/>
      <c r="H2573" s="11"/>
      <c r="I2573" s="11"/>
      <c r="J2573" s="11"/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1"/>
      <c r="AB2573" s="11"/>
      <c r="AC2573" s="11"/>
      <c r="AD2573" s="11"/>
      <c r="AE2573" s="11"/>
      <c r="AF2573" s="11"/>
      <c r="AG2573" s="11"/>
      <c r="AH2573" s="11"/>
      <c r="AI2573" s="11"/>
      <c r="AJ2573" s="11"/>
      <c r="AK2573" s="11"/>
      <c r="AL2573" s="11"/>
      <c r="AM2573" s="11"/>
      <c r="AN2573" s="11"/>
      <c r="AO2573" s="11"/>
    </row>
    <row r="2574" spans="1:41" ht="14.25" x14ac:dyDescent="0.2">
      <c r="A2574" s="2">
        <v>4109131105</v>
      </c>
      <c r="B2574" s="3" t="s">
        <v>39</v>
      </c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9"/>
      <c r="AD2574" s="9"/>
      <c r="AE2574" s="9"/>
      <c r="AF2574" s="9"/>
      <c r="AG2574" s="9"/>
      <c r="AH2574" s="9"/>
      <c r="AI2574" s="9"/>
      <c r="AJ2574" s="9"/>
      <c r="AK2574" s="9"/>
      <c r="AL2574" s="9"/>
      <c r="AM2574" s="9"/>
      <c r="AN2574" s="9"/>
      <c r="AO2574" s="9"/>
    </row>
    <row r="2575" spans="1:41" ht="14.25" x14ac:dyDescent="0.2">
      <c r="A2575" s="2">
        <v>4109131106</v>
      </c>
      <c r="B2575" s="3" t="s">
        <v>42</v>
      </c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  <c r="AE2575" s="9"/>
      <c r="AF2575" s="9"/>
      <c r="AG2575" s="9"/>
      <c r="AH2575" s="9"/>
      <c r="AI2575" s="9"/>
      <c r="AJ2575" s="9"/>
      <c r="AK2575" s="9"/>
      <c r="AL2575" s="9"/>
      <c r="AM2575" s="9"/>
      <c r="AN2575" s="9"/>
      <c r="AO2575" s="9"/>
    </row>
    <row r="2576" spans="1:41" ht="14.25" x14ac:dyDescent="0.2">
      <c r="A2576" s="2">
        <v>4109131107</v>
      </c>
      <c r="B2576" s="3" t="s">
        <v>43</v>
      </c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  <c r="AE2576" s="9"/>
      <c r="AF2576" s="9"/>
      <c r="AG2576" s="9"/>
      <c r="AH2576" s="9"/>
      <c r="AI2576" s="9"/>
      <c r="AJ2576" s="9"/>
      <c r="AK2576" s="9"/>
      <c r="AL2576" s="9"/>
      <c r="AM2576" s="9"/>
      <c r="AN2576" s="9"/>
      <c r="AO2576" s="9"/>
    </row>
    <row r="2577" spans="1:41" ht="28.5" x14ac:dyDescent="0.2">
      <c r="A2577" s="2">
        <v>41091312</v>
      </c>
      <c r="B2577" s="4" t="s">
        <v>51</v>
      </c>
      <c r="C2577" s="11"/>
      <c r="D2577" s="11"/>
      <c r="E2577" s="11"/>
      <c r="F2577" s="11"/>
      <c r="G2577" s="11"/>
      <c r="H2577" s="11"/>
      <c r="I2577" s="11"/>
      <c r="J2577" s="11"/>
      <c r="K2577" s="11"/>
      <c r="L2577" s="11"/>
      <c r="M2577" s="11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  <c r="AA2577" s="11"/>
      <c r="AB2577" s="11"/>
      <c r="AC2577" s="11"/>
      <c r="AD2577" s="11"/>
      <c r="AE2577" s="11"/>
      <c r="AF2577" s="11"/>
      <c r="AG2577" s="11"/>
      <c r="AH2577" s="11"/>
      <c r="AI2577" s="11"/>
      <c r="AJ2577" s="11"/>
      <c r="AK2577" s="11"/>
      <c r="AL2577" s="11"/>
      <c r="AM2577" s="11"/>
      <c r="AN2577" s="11"/>
      <c r="AO2577" s="11"/>
    </row>
    <row r="2578" spans="1:41" ht="14.25" x14ac:dyDescent="0.2">
      <c r="A2578" s="2">
        <v>4109131205</v>
      </c>
      <c r="B2578" s="3" t="s">
        <v>39</v>
      </c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  <c r="AF2578" s="9"/>
      <c r="AG2578" s="9"/>
      <c r="AH2578" s="9"/>
      <c r="AI2578" s="9"/>
      <c r="AJ2578" s="9"/>
      <c r="AK2578" s="9"/>
      <c r="AL2578" s="9"/>
      <c r="AM2578" s="9"/>
      <c r="AN2578" s="9"/>
      <c r="AO2578" s="9"/>
    </row>
    <row r="2579" spans="1:41" ht="14.25" x14ac:dyDescent="0.2">
      <c r="A2579" s="2">
        <v>4109131206</v>
      </c>
      <c r="B2579" s="3" t="s">
        <v>42</v>
      </c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9"/>
      <c r="AH2579" s="9"/>
      <c r="AI2579" s="9"/>
      <c r="AJ2579" s="9"/>
      <c r="AK2579" s="9"/>
      <c r="AL2579" s="9"/>
      <c r="AM2579" s="9"/>
      <c r="AN2579" s="9"/>
      <c r="AO2579" s="9"/>
    </row>
    <row r="2580" spans="1:41" ht="14.25" x14ac:dyDescent="0.2">
      <c r="A2580" s="2">
        <v>4109131207</v>
      </c>
      <c r="B2580" s="3" t="s">
        <v>43</v>
      </c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  <c r="AE2580" s="9"/>
      <c r="AF2580" s="9"/>
      <c r="AG2580" s="9"/>
      <c r="AH2580" s="9"/>
      <c r="AI2580" s="9"/>
      <c r="AJ2580" s="9"/>
      <c r="AK2580" s="9"/>
      <c r="AL2580" s="9"/>
      <c r="AM2580" s="9"/>
      <c r="AN2580" s="9"/>
      <c r="AO2580" s="9"/>
    </row>
    <row r="2581" spans="1:41" ht="14.25" x14ac:dyDescent="0.2">
      <c r="A2581" s="2">
        <v>41091313</v>
      </c>
      <c r="B2581" s="3" t="s">
        <v>49</v>
      </c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9"/>
      <c r="AD2581" s="9"/>
      <c r="AE2581" s="9"/>
      <c r="AF2581" s="9"/>
      <c r="AG2581" s="9"/>
      <c r="AH2581" s="9"/>
      <c r="AI2581" s="9"/>
      <c r="AJ2581" s="9"/>
      <c r="AK2581" s="9"/>
      <c r="AL2581" s="9"/>
      <c r="AM2581" s="9"/>
      <c r="AN2581" s="9"/>
      <c r="AO2581" s="9"/>
    </row>
    <row r="2582" spans="1:41" ht="14.25" x14ac:dyDescent="0.2">
      <c r="A2582" s="2">
        <v>4109131301</v>
      </c>
      <c r="B2582" s="3" t="s">
        <v>52</v>
      </c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9"/>
      <c r="AE2582" s="9"/>
      <c r="AF2582" s="9"/>
      <c r="AG2582" s="9"/>
      <c r="AH2582" s="9"/>
      <c r="AI2582" s="9"/>
      <c r="AJ2582" s="9"/>
      <c r="AK2582" s="9"/>
      <c r="AL2582" s="9"/>
      <c r="AM2582" s="9"/>
      <c r="AN2582" s="9"/>
      <c r="AO2582" s="9"/>
    </row>
    <row r="2583" spans="1:41" ht="14.25" x14ac:dyDescent="0.2">
      <c r="A2583" s="2">
        <v>41091318</v>
      </c>
      <c r="B2583" s="3" t="s">
        <v>78</v>
      </c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9"/>
      <c r="AD2583" s="9"/>
      <c r="AE2583" s="9"/>
      <c r="AF2583" s="9"/>
      <c r="AG2583" s="9"/>
      <c r="AH2583" s="9"/>
      <c r="AI2583" s="9"/>
      <c r="AJ2583" s="9"/>
      <c r="AK2583" s="9"/>
      <c r="AL2583" s="9"/>
      <c r="AM2583" s="9"/>
      <c r="AN2583" s="9"/>
      <c r="AO2583" s="9"/>
    </row>
    <row r="2584" spans="1:41" ht="14.25" x14ac:dyDescent="0.2">
      <c r="A2584" s="2">
        <v>4109131805</v>
      </c>
      <c r="B2584" s="3" t="s">
        <v>39</v>
      </c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9"/>
      <c r="AH2584" s="9"/>
      <c r="AI2584" s="9"/>
      <c r="AJ2584" s="9"/>
      <c r="AK2584" s="9"/>
      <c r="AL2584" s="9"/>
      <c r="AM2584" s="9"/>
      <c r="AN2584" s="9"/>
      <c r="AO2584" s="9"/>
    </row>
    <row r="2585" spans="1:41" ht="14.25" x14ac:dyDescent="0.2">
      <c r="A2585" s="2">
        <v>4109131806</v>
      </c>
      <c r="B2585" s="3" t="s">
        <v>42</v>
      </c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9"/>
      <c r="AH2585" s="9"/>
      <c r="AI2585" s="9"/>
      <c r="AJ2585" s="9"/>
      <c r="AK2585" s="9"/>
      <c r="AL2585" s="9"/>
      <c r="AM2585" s="9"/>
      <c r="AN2585" s="9"/>
      <c r="AO2585" s="9"/>
    </row>
    <row r="2586" spans="1:41" ht="14.25" x14ac:dyDescent="0.2">
      <c r="A2586" s="2">
        <v>4109131807</v>
      </c>
      <c r="B2586" s="3" t="s">
        <v>43</v>
      </c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9"/>
      <c r="AD2586" s="9"/>
      <c r="AE2586" s="9"/>
      <c r="AF2586" s="9"/>
      <c r="AG2586" s="9"/>
      <c r="AH2586" s="9"/>
      <c r="AI2586" s="9"/>
      <c r="AJ2586" s="9"/>
      <c r="AK2586" s="9"/>
      <c r="AL2586" s="9"/>
      <c r="AM2586" s="9"/>
      <c r="AN2586" s="9"/>
      <c r="AO2586" s="9"/>
    </row>
    <row r="2587" spans="1:41" ht="14.25" x14ac:dyDescent="0.2">
      <c r="A2587" s="2">
        <v>41091319</v>
      </c>
      <c r="B2587" s="3" t="s">
        <v>53</v>
      </c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9"/>
      <c r="AD2587" s="9"/>
      <c r="AE2587" s="9"/>
      <c r="AF2587" s="9"/>
      <c r="AG2587" s="9"/>
      <c r="AH2587" s="9"/>
      <c r="AI2587" s="9"/>
      <c r="AJ2587" s="9"/>
      <c r="AK2587" s="9"/>
      <c r="AL2587" s="9"/>
      <c r="AM2587" s="9"/>
      <c r="AN2587" s="9"/>
      <c r="AO2587" s="9"/>
    </row>
    <row r="2588" spans="1:41" ht="28.5" x14ac:dyDescent="0.2">
      <c r="A2588" s="2">
        <v>410914</v>
      </c>
      <c r="B2588" s="4" t="s">
        <v>701</v>
      </c>
      <c r="C2588" s="11"/>
      <c r="D2588" s="11"/>
      <c r="E2588" s="11"/>
      <c r="F2588" s="11"/>
      <c r="G2588" s="11"/>
      <c r="H2588" s="11"/>
      <c r="I2588" s="11"/>
      <c r="J2588" s="11"/>
      <c r="K2588" s="11"/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1"/>
      <c r="AF2588" s="11"/>
      <c r="AG2588" s="11"/>
      <c r="AH2588" s="11"/>
      <c r="AI2588" s="11"/>
      <c r="AJ2588" s="11"/>
      <c r="AK2588" s="11"/>
      <c r="AL2588" s="11"/>
      <c r="AM2588" s="11"/>
      <c r="AN2588" s="11"/>
      <c r="AO2588" s="11"/>
    </row>
    <row r="2589" spans="1:41" ht="14.25" x14ac:dyDescent="0.2">
      <c r="A2589" s="2">
        <v>41091401</v>
      </c>
      <c r="B2589" s="3" t="s">
        <v>55</v>
      </c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  <c r="AO2589" s="9"/>
    </row>
    <row r="2590" spans="1:41" ht="14.25" x14ac:dyDescent="0.2">
      <c r="A2590" s="2">
        <v>4109140101</v>
      </c>
      <c r="B2590" s="3" t="s">
        <v>56</v>
      </c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  <c r="AO2590" s="9"/>
    </row>
    <row r="2591" spans="1:41" ht="14.25" x14ac:dyDescent="0.2">
      <c r="A2591" s="2">
        <v>4109140109</v>
      </c>
      <c r="B2591" s="3" t="s">
        <v>60</v>
      </c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9"/>
      <c r="AH2591" s="9"/>
      <c r="AI2591" s="9"/>
      <c r="AJ2591" s="9"/>
      <c r="AK2591" s="9"/>
      <c r="AL2591" s="9"/>
      <c r="AM2591" s="9"/>
      <c r="AN2591" s="9"/>
      <c r="AO2591" s="9"/>
    </row>
    <row r="2592" spans="1:41" ht="14.25" x14ac:dyDescent="0.2">
      <c r="A2592" s="2">
        <v>41091402</v>
      </c>
      <c r="B2592" s="3" t="s">
        <v>61</v>
      </c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9"/>
      <c r="AD2592" s="9"/>
      <c r="AE2592" s="9"/>
      <c r="AF2592" s="9"/>
      <c r="AG2592" s="9"/>
      <c r="AH2592" s="9"/>
      <c r="AI2592" s="9"/>
      <c r="AJ2592" s="9"/>
      <c r="AK2592" s="9"/>
      <c r="AL2592" s="9"/>
      <c r="AM2592" s="9"/>
      <c r="AN2592" s="9"/>
      <c r="AO2592" s="9"/>
    </row>
    <row r="2593" spans="1:41" ht="14.25" x14ac:dyDescent="0.2">
      <c r="A2593" s="2">
        <v>41091403</v>
      </c>
      <c r="B2593" s="3" t="s">
        <v>62</v>
      </c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9"/>
      <c r="AD2593" s="9"/>
      <c r="AE2593" s="9"/>
      <c r="AF2593" s="9"/>
      <c r="AG2593" s="9"/>
      <c r="AH2593" s="9"/>
      <c r="AI2593" s="9"/>
      <c r="AJ2593" s="9"/>
      <c r="AK2593" s="9"/>
      <c r="AL2593" s="9"/>
      <c r="AM2593" s="9"/>
      <c r="AN2593" s="9"/>
      <c r="AO2593" s="9"/>
    </row>
    <row r="2594" spans="1:41" ht="14.25" x14ac:dyDescent="0.2">
      <c r="A2594" s="2">
        <v>41091405</v>
      </c>
      <c r="B2594" s="3" t="s">
        <v>39</v>
      </c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9"/>
      <c r="AD2594" s="9"/>
      <c r="AE2594" s="9"/>
      <c r="AF2594" s="9"/>
      <c r="AG2594" s="9"/>
      <c r="AH2594" s="9"/>
      <c r="AI2594" s="9"/>
      <c r="AJ2594" s="9"/>
      <c r="AK2594" s="9"/>
      <c r="AL2594" s="9"/>
      <c r="AM2594" s="9"/>
      <c r="AN2594" s="9"/>
      <c r="AO2594" s="9"/>
    </row>
    <row r="2595" spans="1:41" ht="14.25" x14ac:dyDescent="0.2">
      <c r="A2595" s="2">
        <v>4109140503</v>
      </c>
      <c r="B2595" s="3" t="s">
        <v>81</v>
      </c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  <c r="AF2595" s="9"/>
      <c r="AG2595" s="9"/>
      <c r="AH2595" s="9"/>
      <c r="AI2595" s="9"/>
      <c r="AJ2595" s="9"/>
      <c r="AK2595" s="9"/>
      <c r="AL2595" s="9"/>
      <c r="AM2595" s="9"/>
      <c r="AN2595" s="9"/>
      <c r="AO2595" s="9"/>
    </row>
    <row r="2596" spans="1:41" ht="14.25" x14ac:dyDescent="0.2">
      <c r="A2596" s="2">
        <v>4109140505</v>
      </c>
      <c r="B2596" s="3" t="s">
        <v>66</v>
      </c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  <c r="AF2596" s="9"/>
      <c r="AG2596" s="9"/>
      <c r="AH2596" s="9"/>
      <c r="AI2596" s="9"/>
      <c r="AJ2596" s="9"/>
      <c r="AK2596" s="9"/>
      <c r="AL2596" s="9"/>
      <c r="AM2596" s="9"/>
      <c r="AN2596" s="9"/>
      <c r="AO2596" s="9"/>
    </row>
    <row r="2597" spans="1:41" ht="14.25" x14ac:dyDescent="0.2">
      <c r="A2597" s="2">
        <v>4109140506</v>
      </c>
      <c r="B2597" s="3" t="s">
        <v>67</v>
      </c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  <c r="AF2597" s="9"/>
      <c r="AG2597" s="9"/>
      <c r="AH2597" s="9"/>
      <c r="AI2597" s="9"/>
      <c r="AJ2597" s="9"/>
      <c r="AK2597" s="9"/>
      <c r="AL2597" s="9"/>
      <c r="AM2597" s="9"/>
      <c r="AN2597" s="9"/>
      <c r="AO2597" s="9"/>
    </row>
    <row r="2598" spans="1:41" ht="14.25" x14ac:dyDescent="0.2">
      <c r="A2598" s="2">
        <v>4109140508</v>
      </c>
      <c r="B2598" s="3" t="s">
        <v>69</v>
      </c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  <c r="AF2598" s="9"/>
      <c r="AG2598" s="9"/>
      <c r="AH2598" s="9"/>
      <c r="AI2598" s="9"/>
      <c r="AJ2598" s="9"/>
      <c r="AK2598" s="9"/>
      <c r="AL2598" s="9"/>
      <c r="AM2598" s="9"/>
      <c r="AN2598" s="9"/>
      <c r="AO2598" s="9"/>
    </row>
    <row r="2599" spans="1:41" ht="14.25" x14ac:dyDescent="0.2">
      <c r="A2599" s="2">
        <v>4109140509</v>
      </c>
      <c r="B2599" s="3" t="s">
        <v>70</v>
      </c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  <c r="AO2599" s="9"/>
    </row>
    <row r="2600" spans="1:41" ht="28.5" x14ac:dyDescent="0.2">
      <c r="A2600" s="2">
        <v>4109140510</v>
      </c>
      <c r="B2600" s="4" t="s">
        <v>697</v>
      </c>
      <c r="C2600" s="11"/>
      <c r="D2600" s="11"/>
      <c r="E2600" s="11"/>
      <c r="F2600" s="11"/>
      <c r="G2600" s="11"/>
      <c r="H2600" s="11"/>
      <c r="I2600" s="11"/>
      <c r="J2600" s="11"/>
      <c r="K2600" s="11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1"/>
      <c r="AB2600" s="11"/>
      <c r="AC2600" s="11"/>
      <c r="AD2600" s="11"/>
      <c r="AE2600" s="11"/>
      <c r="AF2600" s="11"/>
      <c r="AG2600" s="11"/>
      <c r="AH2600" s="11"/>
      <c r="AI2600" s="11"/>
      <c r="AJ2600" s="11"/>
      <c r="AK2600" s="11"/>
      <c r="AL2600" s="11"/>
      <c r="AM2600" s="11"/>
      <c r="AN2600" s="11"/>
      <c r="AO2600" s="11"/>
    </row>
    <row r="2601" spans="1:41" ht="14.25" x14ac:dyDescent="0.2">
      <c r="A2601" s="2">
        <v>4109140511</v>
      </c>
      <c r="B2601" s="3" t="s">
        <v>72</v>
      </c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9"/>
      <c r="AH2601" s="9"/>
      <c r="AI2601" s="9"/>
      <c r="AJ2601" s="9"/>
      <c r="AK2601" s="9"/>
      <c r="AL2601" s="9"/>
      <c r="AM2601" s="9"/>
      <c r="AN2601" s="9"/>
      <c r="AO2601" s="9"/>
    </row>
    <row r="2602" spans="1:41" ht="14.25" x14ac:dyDescent="0.2">
      <c r="A2602" s="2">
        <v>4109140519</v>
      </c>
      <c r="B2602" s="3" t="s">
        <v>41</v>
      </c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9"/>
      <c r="AH2602" s="9"/>
      <c r="AI2602" s="9"/>
      <c r="AJ2602" s="9"/>
      <c r="AK2602" s="9"/>
      <c r="AL2602" s="9"/>
      <c r="AM2602" s="9"/>
      <c r="AN2602" s="9"/>
      <c r="AO2602" s="9"/>
    </row>
    <row r="2603" spans="1:41" ht="14.25" x14ac:dyDescent="0.2">
      <c r="A2603" s="2">
        <v>41091406</v>
      </c>
      <c r="B2603" s="3" t="s">
        <v>42</v>
      </c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  <c r="AO2603" s="9"/>
    </row>
    <row r="2604" spans="1:41" ht="14.25" x14ac:dyDescent="0.2">
      <c r="A2604" s="2">
        <v>4109140608</v>
      </c>
      <c r="B2604" s="3" t="s">
        <v>69</v>
      </c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9"/>
      <c r="AH2604" s="9"/>
      <c r="AI2604" s="9"/>
      <c r="AJ2604" s="9"/>
      <c r="AK2604" s="9"/>
      <c r="AL2604" s="9"/>
      <c r="AM2604" s="9"/>
      <c r="AN2604" s="9"/>
      <c r="AO2604" s="9"/>
    </row>
    <row r="2605" spans="1:41" ht="14.25" x14ac:dyDescent="0.2">
      <c r="A2605" s="2">
        <v>4109140609</v>
      </c>
      <c r="B2605" s="3" t="s">
        <v>70</v>
      </c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9"/>
      <c r="AH2605" s="9"/>
      <c r="AI2605" s="9"/>
      <c r="AJ2605" s="9"/>
      <c r="AK2605" s="9"/>
      <c r="AL2605" s="9"/>
      <c r="AM2605" s="9"/>
      <c r="AN2605" s="9"/>
      <c r="AO2605" s="9"/>
    </row>
    <row r="2606" spans="1:41" ht="28.5" x14ac:dyDescent="0.2">
      <c r="A2606" s="2">
        <v>4109140610</v>
      </c>
      <c r="B2606" s="4" t="s">
        <v>697</v>
      </c>
      <c r="C2606" s="11"/>
      <c r="D2606" s="11"/>
      <c r="E2606" s="11"/>
      <c r="F2606" s="11"/>
      <c r="G2606" s="11"/>
      <c r="H2606" s="11"/>
      <c r="I2606" s="11"/>
      <c r="J2606" s="11"/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11"/>
      <c r="AG2606" s="11"/>
      <c r="AH2606" s="11"/>
      <c r="AI2606" s="11"/>
      <c r="AJ2606" s="11"/>
      <c r="AK2606" s="11"/>
      <c r="AL2606" s="11"/>
      <c r="AM2606" s="11"/>
      <c r="AN2606" s="11"/>
      <c r="AO2606" s="11"/>
    </row>
    <row r="2607" spans="1:41" ht="14.25" x14ac:dyDescent="0.2">
      <c r="A2607" s="2">
        <v>4109140611</v>
      </c>
      <c r="B2607" s="3" t="s">
        <v>72</v>
      </c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9"/>
      <c r="AH2607" s="9"/>
      <c r="AI2607" s="9"/>
      <c r="AJ2607" s="9"/>
      <c r="AK2607" s="9"/>
      <c r="AL2607" s="9"/>
      <c r="AM2607" s="9"/>
      <c r="AN2607" s="9"/>
      <c r="AO2607" s="9"/>
    </row>
    <row r="2608" spans="1:41" ht="14.25" x14ac:dyDescent="0.2">
      <c r="A2608" s="2">
        <v>4109140619</v>
      </c>
      <c r="B2608" s="3" t="s">
        <v>41</v>
      </c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  <c r="AO2608" s="9"/>
    </row>
    <row r="2609" spans="1:41" ht="14.25" x14ac:dyDescent="0.2">
      <c r="A2609" s="2">
        <v>41091407</v>
      </c>
      <c r="B2609" s="3" t="s">
        <v>43</v>
      </c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  <c r="AH2609" s="9"/>
      <c r="AI2609" s="9"/>
      <c r="AJ2609" s="9"/>
      <c r="AK2609" s="9"/>
      <c r="AL2609" s="9"/>
      <c r="AM2609" s="9"/>
      <c r="AN2609" s="9"/>
      <c r="AO2609" s="9"/>
    </row>
    <row r="2610" spans="1:41" ht="14.25" x14ac:dyDescent="0.2">
      <c r="A2610" s="2">
        <v>4109140708</v>
      </c>
      <c r="B2610" s="3" t="s">
        <v>69</v>
      </c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9"/>
      <c r="AH2610" s="9"/>
      <c r="AI2610" s="9"/>
      <c r="AJ2610" s="9"/>
      <c r="AK2610" s="9"/>
      <c r="AL2610" s="9"/>
      <c r="AM2610" s="9"/>
      <c r="AN2610" s="9"/>
      <c r="AO2610" s="9"/>
    </row>
    <row r="2611" spans="1:41" ht="14.25" x14ac:dyDescent="0.2">
      <c r="A2611" s="2">
        <v>4109140709</v>
      </c>
      <c r="B2611" s="3" t="s">
        <v>70</v>
      </c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  <c r="AF2611" s="9"/>
      <c r="AG2611" s="9"/>
      <c r="AH2611" s="9"/>
      <c r="AI2611" s="9"/>
      <c r="AJ2611" s="9"/>
      <c r="AK2611" s="9"/>
      <c r="AL2611" s="9"/>
      <c r="AM2611" s="9"/>
      <c r="AN2611" s="9"/>
      <c r="AO2611" s="9"/>
    </row>
    <row r="2612" spans="1:41" ht="28.5" x14ac:dyDescent="0.2">
      <c r="A2612" s="2">
        <v>4109140710</v>
      </c>
      <c r="B2612" s="4" t="s">
        <v>697</v>
      </c>
      <c r="C2612" s="11"/>
      <c r="D2612" s="11"/>
      <c r="E2612" s="11"/>
      <c r="F2612" s="11"/>
      <c r="G2612" s="11"/>
      <c r="H2612" s="11"/>
      <c r="I2612" s="11"/>
      <c r="J2612" s="11"/>
      <c r="K2612" s="11"/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  <c r="AB2612" s="11"/>
      <c r="AC2612" s="11"/>
      <c r="AD2612" s="11"/>
      <c r="AE2612" s="11"/>
      <c r="AF2612" s="11"/>
      <c r="AG2612" s="11"/>
      <c r="AH2612" s="11"/>
      <c r="AI2612" s="11"/>
      <c r="AJ2612" s="11"/>
      <c r="AK2612" s="11"/>
      <c r="AL2612" s="11"/>
      <c r="AM2612" s="11"/>
      <c r="AN2612" s="11"/>
      <c r="AO2612" s="11"/>
    </row>
    <row r="2613" spans="1:41" ht="14.25" x14ac:dyDescent="0.2">
      <c r="A2613" s="2">
        <v>4109140711</v>
      </c>
      <c r="B2613" s="3" t="s">
        <v>72</v>
      </c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9"/>
      <c r="AH2613" s="9"/>
      <c r="AI2613" s="9"/>
      <c r="AJ2613" s="9"/>
      <c r="AK2613" s="9"/>
      <c r="AL2613" s="9"/>
      <c r="AM2613" s="9"/>
      <c r="AN2613" s="9"/>
      <c r="AO2613" s="9"/>
    </row>
    <row r="2614" spans="1:41" ht="14.25" x14ac:dyDescent="0.2">
      <c r="A2614" s="2">
        <v>4109140712</v>
      </c>
      <c r="B2614" s="3" t="s">
        <v>47</v>
      </c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9"/>
      <c r="AH2614" s="9"/>
      <c r="AI2614" s="9"/>
      <c r="AJ2614" s="9"/>
      <c r="AK2614" s="9"/>
      <c r="AL2614" s="9"/>
      <c r="AM2614" s="9"/>
      <c r="AN2614" s="9"/>
      <c r="AO2614" s="9"/>
    </row>
    <row r="2615" spans="1:41" ht="14.25" x14ac:dyDescent="0.2">
      <c r="A2615" s="2">
        <v>4109140714</v>
      </c>
      <c r="B2615" s="3" t="s">
        <v>702</v>
      </c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9"/>
      <c r="AH2615" s="9"/>
      <c r="AI2615" s="9"/>
      <c r="AJ2615" s="9"/>
      <c r="AK2615" s="9"/>
      <c r="AL2615" s="9"/>
      <c r="AM2615" s="9"/>
      <c r="AN2615" s="9"/>
      <c r="AO2615" s="9"/>
    </row>
    <row r="2616" spans="1:41" ht="14.25" x14ac:dyDescent="0.2">
      <c r="A2616" s="2">
        <v>4109140715</v>
      </c>
      <c r="B2616" s="3" t="s">
        <v>74</v>
      </c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  <c r="AH2616" s="9"/>
      <c r="AI2616" s="9"/>
      <c r="AJ2616" s="9"/>
      <c r="AK2616" s="9"/>
      <c r="AL2616" s="9"/>
      <c r="AM2616" s="9"/>
      <c r="AN2616" s="9"/>
      <c r="AO2616" s="9"/>
    </row>
    <row r="2617" spans="1:41" ht="14.25" x14ac:dyDescent="0.2">
      <c r="A2617" s="2">
        <v>4109140719</v>
      </c>
      <c r="B2617" s="3" t="s">
        <v>41</v>
      </c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  <c r="AH2617" s="9"/>
      <c r="AI2617" s="9"/>
      <c r="AJ2617" s="9"/>
      <c r="AK2617" s="9"/>
      <c r="AL2617" s="9"/>
      <c r="AM2617" s="9"/>
      <c r="AN2617" s="9"/>
      <c r="AO2617" s="9"/>
    </row>
    <row r="2618" spans="1:41" ht="28.5" x14ac:dyDescent="0.2">
      <c r="A2618" s="2">
        <v>41091410</v>
      </c>
      <c r="B2618" s="4" t="s">
        <v>48</v>
      </c>
      <c r="C2618" s="11"/>
      <c r="D2618" s="11"/>
      <c r="E2618" s="11"/>
      <c r="F2618" s="11"/>
      <c r="G2618" s="11"/>
      <c r="H2618" s="11"/>
      <c r="I2618" s="11"/>
      <c r="J2618" s="11"/>
      <c r="K2618" s="11"/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  <c r="AB2618" s="11"/>
      <c r="AC2618" s="11"/>
      <c r="AD2618" s="11"/>
      <c r="AE2618" s="11"/>
      <c r="AF2618" s="11"/>
      <c r="AG2618" s="11"/>
      <c r="AH2618" s="11"/>
      <c r="AI2618" s="11"/>
      <c r="AJ2618" s="11"/>
      <c r="AK2618" s="11"/>
      <c r="AL2618" s="11"/>
      <c r="AM2618" s="11"/>
      <c r="AN2618" s="11"/>
      <c r="AO2618" s="11"/>
    </row>
    <row r="2619" spans="1:41" ht="14.25" x14ac:dyDescent="0.2">
      <c r="A2619" s="2">
        <v>4109141001</v>
      </c>
      <c r="B2619" s="3" t="s">
        <v>55</v>
      </c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9"/>
      <c r="AH2619" s="9"/>
      <c r="AI2619" s="9"/>
      <c r="AJ2619" s="9"/>
      <c r="AK2619" s="9"/>
      <c r="AL2619" s="9"/>
      <c r="AM2619" s="9"/>
      <c r="AN2619" s="9"/>
      <c r="AO2619" s="9"/>
    </row>
    <row r="2620" spans="1:41" ht="14.25" x14ac:dyDescent="0.2">
      <c r="A2620" s="2">
        <v>4109141002</v>
      </c>
      <c r="B2620" s="3" t="s">
        <v>61</v>
      </c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  <c r="AF2620" s="9"/>
      <c r="AG2620" s="9"/>
      <c r="AH2620" s="9"/>
      <c r="AI2620" s="9"/>
      <c r="AJ2620" s="9"/>
      <c r="AK2620" s="9"/>
      <c r="AL2620" s="9"/>
      <c r="AM2620" s="9"/>
      <c r="AN2620" s="9"/>
      <c r="AO2620" s="9"/>
    </row>
    <row r="2621" spans="1:41" ht="14.25" x14ac:dyDescent="0.2">
      <c r="A2621" s="2">
        <v>4109141003</v>
      </c>
      <c r="B2621" s="3" t="s">
        <v>62</v>
      </c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  <c r="AH2621" s="9"/>
      <c r="AI2621" s="9"/>
      <c r="AJ2621" s="9"/>
      <c r="AK2621" s="9"/>
      <c r="AL2621" s="9"/>
      <c r="AM2621" s="9"/>
      <c r="AN2621" s="9"/>
      <c r="AO2621" s="9"/>
    </row>
    <row r="2622" spans="1:41" ht="14.25" x14ac:dyDescent="0.2">
      <c r="A2622" s="2">
        <v>4109141005</v>
      </c>
      <c r="B2622" s="3" t="s">
        <v>39</v>
      </c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9"/>
      <c r="AH2622" s="9"/>
      <c r="AI2622" s="9"/>
      <c r="AJ2622" s="9"/>
      <c r="AK2622" s="9"/>
      <c r="AL2622" s="9"/>
      <c r="AM2622" s="9"/>
      <c r="AN2622" s="9"/>
      <c r="AO2622" s="9"/>
    </row>
    <row r="2623" spans="1:41" ht="14.25" x14ac:dyDescent="0.2">
      <c r="A2623" s="2">
        <v>4109141006</v>
      </c>
      <c r="B2623" s="3" t="s">
        <v>42</v>
      </c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9"/>
      <c r="AH2623" s="9"/>
      <c r="AI2623" s="9"/>
      <c r="AJ2623" s="9"/>
      <c r="AK2623" s="9"/>
      <c r="AL2623" s="9"/>
      <c r="AM2623" s="9"/>
      <c r="AN2623" s="9"/>
      <c r="AO2623" s="9"/>
    </row>
    <row r="2624" spans="1:41" ht="14.25" x14ac:dyDescent="0.2">
      <c r="A2624" s="2">
        <v>4109141007</v>
      </c>
      <c r="B2624" s="3" t="s">
        <v>43</v>
      </c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9"/>
      <c r="AH2624" s="9"/>
      <c r="AI2624" s="9"/>
      <c r="AJ2624" s="9"/>
      <c r="AK2624" s="9"/>
      <c r="AL2624" s="9"/>
      <c r="AM2624" s="9"/>
      <c r="AN2624" s="9"/>
      <c r="AO2624" s="9"/>
    </row>
    <row r="2625" spans="1:41" ht="28.5" x14ac:dyDescent="0.2">
      <c r="A2625" s="2">
        <v>41091411</v>
      </c>
      <c r="B2625" s="4" t="s">
        <v>50</v>
      </c>
      <c r="C2625" s="11"/>
      <c r="D2625" s="11"/>
      <c r="E2625" s="11"/>
      <c r="F2625" s="11"/>
      <c r="G2625" s="11"/>
      <c r="H2625" s="11"/>
      <c r="I2625" s="11"/>
      <c r="J2625" s="11"/>
      <c r="K2625" s="11"/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  <c r="AA2625" s="11"/>
      <c r="AB2625" s="11"/>
      <c r="AC2625" s="11"/>
      <c r="AD2625" s="11"/>
      <c r="AE2625" s="11"/>
      <c r="AF2625" s="11"/>
      <c r="AG2625" s="11"/>
      <c r="AH2625" s="11"/>
      <c r="AI2625" s="11"/>
      <c r="AJ2625" s="11"/>
      <c r="AK2625" s="11"/>
      <c r="AL2625" s="11"/>
      <c r="AM2625" s="11"/>
      <c r="AN2625" s="11"/>
      <c r="AO2625" s="11"/>
    </row>
    <row r="2626" spans="1:41" ht="14.25" x14ac:dyDescent="0.2">
      <c r="A2626" s="2">
        <v>4109141101</v>
      </c>
      <c r="B2626" s="3" t="s">
        <v>55</v>
      </c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9"/>
      <c r="AH2626" s="9"/>
      <c r="AI2626" s="9"/>
      <c r="AJ2626" s="9"/>
      <c r="AK2626" s="9"/>
      <c r="AL2626" s="9"/>
      <c r="AM2626" s="9"/>
      <c r="AN2626" s="9"/>
      <c r="AO2626" s="9"/>
    </row>
    <row r="2627" spans="1:41" ht="14.25" x14ac:dyDescent="0.2">
      <c r="A2627" s="2">
        <v>4109141102</v>
      </c>
      <c r="B2627" s="3" t="s">
        <v>61</v>
      </c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9"/>
      <c r="AH2627" s="9"/>
      <c r="AI2627" s="9"/>
      <c r="AJ2627" s="9"/>
      <c r="AK2627" s="9"/>
      <c r="AL2627" s="9"/>
      <c r="AM2627" s="9"/>
      <c r="AN2627" s="9"/>
      <c r="AO2627" s="9"/>
    </row>
    <row r="2628" spans="1:41" ht="14.25" x14ac:dyDescent="0.2">
      <c r="A2628" s="2">
        <v>4109141103</v>
      </c>
      <c r="B2628" s="3" t="s">
        <v>62</v>
      </c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  <c r="AE2628" s="9"/>
      <c r="AF2628" s="9"/>
      <c r="AG2628" s="9"/>
      <c r="AH2628" s="9"/>
      <c r="AI2628" s="9"/>
      <c r="AJ2628" s="9"/>
      <c r="AK2628" s="9"/>
      <c r="AL2628" s="9"/>
      <c r="AM2628" s="9"/>
      <c r="AN2628" s="9"/>
      <c r="AO2628" s="9"/>
    </row>
    <row r="2629" spans="1:41" ht="14.25" x14ac:dyDescent="0.2">
      <c r="A2629" s="2">
        <v>4109141105</v>
      </c>
      <c r="B2629" s="3" t="s">
        <v>39</v>
      </c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  <c r="AF2629" s="9"/>
      <c r="AG2629" s="9"/>
      <c r="AH2629" s="9"/>
      <c r="AI2629" s="9"/>
      <c r="AJ2629" s="9"/>
      <c r="AK2629" s="9"/>
      <c r="AL2629" s="9"/>
      <c r="AM2629" s="9"/>
      <c r="AN2629" s="9"/>
      <c r="AO2629" s="9"/>
    </row>
    <row r="2630" spans="1:41" ht="14.25" x14ac:dyDescent="0.2">
      <c r="A2630" s="2">
        <v>4109141106</v>
      </c>
      <c r="B2630" s="3" t="s">
        <v>42</v>
      </c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9"/>
      <c r="AH2630" s="9"/>
      <c r="AI2630" s="9"/>
      <c r="AJ2630" s="9"/>
      <c r="AK2630" s="9"/>
      <c r="AL2630" s="9"/>
      <c r="AM2630" s="9"/>
      <c r="AN2630" s="9"/>
      <c r="AO2630" s="9"/>
    </row>
    <row r="2631" spans="1:41" ht="14.25" x14ac:dyDescent="0.2">
      <c r="A2631" s="2">
        <v>4109141107</v>
      </c>
      <c r="B2631" s="3" t="s">
        <v>43</v>
      </c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9"/>
      <c r="AH2631" s="9"/>
      <c r="AI2631" s="9"/>
      <c r="AJ2631" s="9"/>
      <c r="AK2631" s="9"/>
      <c r="AL2631" s="9"/>
      <c r="AM2631" s="9"/>
      <c r="AN2631" s="9"/>
      <c r="AO2631" s="9"/>
    </row>
    <row r="2632" spans="1:41" ht="14.25" x14ac:dyDescent="0.2">
      <c r="A2632" s="2">
        <v>41091412</v>
      </c>
      <c r="B2632" s="3" t="s">
        <v>703</v>
      </c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9"/>
      <c r="AL2632" s="9"/>
      <c r="AM2632" s="9"/>
      <c r="AN2632" s="9"/>
      <c r="AO2632" s="9"/>
    </row>
    <row r="2633" spans="1:41" ht="14.25" x14ac:dyDescent="0.2">
      <c r="A2633" s="2">
        <v>4109141201</v>
      </c>
      <c r="B2633" s="3" t="s">
        <v>55</v>
      </c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9"/>
      <c r="AH2633" s="9"/>
      <c r="AI2633" s="9"/>
      <c r="AJ2633" s="9"/>
      <c r="AK2633" s="9"/>
      <c r="AL2633" s="9"/>
      <c r="AM2633" s="9"/>
      <c r="AN2633" s="9"/>
      <c r="AO2633" s="9"/>
    </row>
    <row r="2634" spans="1:41" ht="14.25" x14ac:dyDescent="0.2">
      <c r="A2634" s="2">
        <v>4109141202</v>
      </c>
      <c r="B2634" s="3" t="s">
        <v>61</v>
      </c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9"/>
      <c r="AH2634" s="9"/>
      <c r="AI2634" s="9"/>
      <c r="AJ2634" s="9"/>
      <c r="AK2634" s="9"/>
      <c r="AL2634" s="9"/>
      <c r="AM2634" s="9"/>
      <c r="AN2634" s="9"/>
      <c r="AO2634" s="9"/>
    </row>
    <row r="2635" spans="1:41" ht="14.25" x14ac:dyDescent="0.2">
      <c r="A2635" s="2">
        <v>4109141203</v>
      </c>
      <c r="B2635" s="3" t="s">
        <v>62</v>
      </c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9"/>
      <c r="AH2635" s="9"/>
      <c r="AI2635" s="9"/>
      <c r="AJ2635" s="9"/>
      <c r="AK2635" s="9"/>
      <c r="AL2635" s="9"/>
      <c r="AM2635" s="9"/>
      <c r="AN2635" s="9"/>
      <c r="AO2635" s="9"/>
    </row>
    <row r="2636" spans="1:41" ht="14.25" x14ac:dyDescent="0.2">
      <c r="A2636" s="2">
        <v>4109141205</v>
      </c>
      <c r="B2636" s="3" t="s">
        <v>39</v>
      </c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9"/>
      <c r="AH2636" s="9"/>
      <c r="AI2636" s="9"/>
      <c r="AJ2636" s="9"/>
      <c r="AK2636" s="9"/>
      <c r="AL2636" s="9"/>
      <c r="AM2636" s="9"/>
      <c r="AN2636" s="9"/>
      <c r="AO2636" s="9"/>
    </row>
    <row r="2637" spans="1:41" ht="14.25" x14ac:dyDescent="0.2">
      <c r="A2637" s="2">
        <v>4109141206</v>
      </c>
      <c r="B2637" s="3" t="s">
        <v>42</v>
      </c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9"/>
      <c r="AB2637" s="9"/>
      <c r="AC2637" s="9"/>
      <c r="AD2637" s="9"/>
      <c r="AE2637" s="9"/>
      <c r="AF2637" s="9"/>
      <c r="AG2637" s="9"/>
      <c r="AH2637" s="9"/>
      <c r="AI2637" s="9"/>
      <c r="AJ2637" s="9"/>
      <c r="AK2637" s="9"/>
      <c r="AL2637" s="9"/>
      <c r="AM2637" s="9"/>
      <c r="AN2637" s="9"/>
      <c r="AO2637" s="9"/>
    </row>
    <row r="2638" spans="1:41" ht="14.25" x14ac:dyDescent="0.2">
      <c r="A2638" s="2">
        <v>4109141207</v>
      </c>
      <c r="B2638" s="3" t="s">
        <v>43</v>
      </c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9"/>
      <c r="AC2638" s="9"/>
      <c r="AD2638" s="9"/>
      <c r="AE2638" s="9"/>
      <c r="AF2638" s="9"/>
      <c r="AG2638" s="9"/>
      <c r="AH2638" s="9"/>
      <c r="AI2638" s="9"/>
      <c r="AJ2638" s="9"/>
      <c r="AK2638" s="9"/>
      <c r="AL2638" s="9"/>
      <c r="AM2638" s="9"/>
      <c r="AN2638" s="9"/>
      <c r="AO2638" s="9"/>
    </row>
    <row r="2639" spans="1:41" ht="14.25" x14ac:dyDescent="0.2">
      <c r="A2639" s="2">
        <v>41091418</v>
      </c>
      <c r="B2639" s="3" t="s">
        <v>78</v>
      </c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  <c r="AB2639" s="9"/>
      <c r="AC2639" s="9"/>
      <c r="AD2639" s="9"/>
      <c r="AE2639" s="9"/>
      <c r="AF2639" s="9"/>
      <c r="AG2639" s="9"/>
      <c r="AH2639" s="9"/>
      <c r="AI2639" s="9"/>
      <c r="AJ2639" s="9"/>
      <c r="AK2639" s="9"/>
      <c r="AL2639" s="9"/>
      <c r="AM2639" s="9"/>
      <c r="AN2639" s="9"/>
      <c r="AO2639" s="9"/>
    </row>
    <row r="2640" spans="1:41" ht="14.25" x14ac:dyDescent="0.2">
      <c r="A2640" s="2">
        <v>4109141801</v>
      </c>
      <c r="B2640" s="3" t="s">
        <v>55</v>
      </c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  <c r="AB2640" s="9"/>
      <c r="AC2640" s="9"/>
      <c r="AD2640" s="9"/>
      <c r="AE2640" s="9"/>
      <c r="AF2640" s="9"/>
      <c r="AG2640" s="9"/>
      <c r="AH2640" s="9"/>
      <c r="AI2640" s="9"/>
      <c r="AJ2640" s="9"/>
      <c r="AK2640" s="9"/>
      <c r="AL2640" s="9"/>
      <c r="AM2640" s="9"/>
      <c r="AN2640" s="9"/>
      <c r="AO2640" s="9"/>
    </row>
    <row r="2641" spans="1:41" ht="14.25" x14ac:dyDescent="0.2">
      <c r="A2641" s="2">
        <v>4109141802</v>
      </c>
      <c r="B2641" s="3" t="s">
        <v>61</v>
      </c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9"/>
      <c r="AH2641" s="9"/>
      <c r="AI2641" s="9"/>
      <c r="AJ2641" s="9"/>
      <c r="AK2641" s="9"/>
      <c r="AL2641" s="9"/>
      <c r="AM2641" s="9"/>
      <c r="AN2641" s="9"/>
      <c r="AO2641" s="9"/>
    </row>
    <row r="2642" spans="1:41" ht="14.25" x14ac:dyDescent="0.2">
      <c r="A2642" s="2">
        <v>4109141803</v>
      </c>
      <c r="B2642" s="3" t="s">
        <v>62</v>
      </c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  <c r="AF2642" s="9"/>
      <c r="AG2642" s="9"/>
      <c r="AH2642" s="9"/>
      <c r="AI2642" s="9"/>
      <c r="AJ2642" s="9"/>
      <c r="AK2642" s="9"/>
      <c r="AL2642" s="9"/>
      <c r="AM2642" s="9"/>
      <c r="AN2642" s="9"/>
      <c r="AO2642" s="9"/>
    </row>
    <row r="2643" spans="1:41" ht="14.25" x14ac:dyDescent="0.2">
      <c r="A2643" s="2">
        <v>4109141805</v>
      </c>
      <c r="B2643" s="3" t="s">
        <v>39</v>
      </c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9"/>
      <c r="AH2643" s="9"/>
      <c r="AI2643" s="9"/>
      <c r="AJ2643" s="9"/>
      <c r="AK2643" s="9"/>
      <c r="AL2643" s="9"/>
      <c r="AM2643" s="9"/>
      <c r="AN2643" s="9"/>
      <c r="AO2643" s="9"/>
    </row>
    <row r="2644" spans="1:41" ht="14.25" x14ac:dyDescent="0.2">
      <c r="A2644" s="2">
        <v>4109141806</v>
      </c>
      <c r="B2644" s="3" t="s">
        <v>42</v>
      </c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9"/>
      <c r="AE2644" s="9"/>
      <c r="AF2644" s="9"/>
      <c r="AG2644" s="9"/>
      <c r="AH2644" s="9"/>
      <c r="AI2644" s="9"/>
      <c r="AJ2644" s="9"/>
      <c r="AK2644" s="9"/>
      <c r="AL2644" s="9"/>
      <c r="AM2644" s="9"/>
      <c r="AN2644" s="9"/>
      <c r="AO2644" s="9"/>
    </row>
    <row r="2645" spans="1:41" ht="14.25" x14ac:dyDescent="0.2">
      <c r="A2645" s="2">
        <v>4109141807</v>
      </c>
      <c r="B2645" s="3" t="s">
        <v>43</v>
      </c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9"/>
      <c r="AE2645" s="9"/>
      <c r="AF2645" s="9"/>
      <c r="AG2645" s="9"/>
      <c r="AH2645" s="9"/>
      <c r="AI2645" s="9"/>
      <c r="AJ2645" s="9"/>
      <c r="AK2645" s="9"/>
      <c r="AL2645" s="9"/>
      <c r="AM2645" s="9"/>
      <c r="AN2645" s="9"/>
      <c r="AO2645" s="9"/>
    </row>
    <row r="2646" spans="1:41" ht="14.25" x14ac:dyDescent="0.2">
      <c r="A2646" s="2">
        <v>41091419</v>
      </c>
      <c r="B2646" s="3" t="s">
        <v>59</v>
      </c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9"/>
      <c r="AD2646" s="9"/>
      <c r="AE2646" s="9"/>
      <c r="AF2646" s="9"/>
      <c r="AG2646" s="9"/>
      <c r="AH2646" s="9"/>
      <c r="AI2646" s="9"/>
      <c r="AJ2646" s="9"/>
      <c r="AK2646" s="9"/>
      <c r="AL2646" s="9"/>
      <c r="AM2646" s="9"/>
      <c r="AN2646" s="9"/>
      <c r="AO2646" s="9"/>
    </row>
    <row r="2647" spans="1:41" ht="14.25" x14ac:dyDescent="0.2">
      <c r="A2647" s="2">
        <v>410915</v>
      </c>
      <c r="B2647" s="3" t="s">
        <v>704</v>
      </c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9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  <c r="AO2647" s="9"/>
    </row>
    <row r="2648" spans="1:41" x14ac:dyDescent="0.2">
      <c r="A2648" s="5">
        <v>410916</v>
      </c>
      <c r="B2648" s="6" t="s">
        <v>705</v>
      </c>
      <c r="C2648" s="12"/>
      <c r="D2648" s="12"/>
      <c r="E2648" s="12"/>
      <c r="F2648" s="12"/>
      <c r="G2648" s="12"/>
      <c r="H2648" s="12"/>
      <c r="I2648" s="12"/>
      <c r="J2648" s="12"/>
      <c r="K2648" s="12"/>
      <c r="L2648" s="12"/>
      <c r="M2648" s="12"/>
      <c r="N2648" s="12"/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  <c r="AA2648" s="12"/>
      <c r="AB2648" s="12"/>
      <c r="AC2648" s="12"/>
      <c r="AD2648" s="12"/>
      <c r="AE2648" s="12"/>
      <c r="AF2648" s="12"/>
      <c r="AG2648" s="12"/>
      <c r="AH2648" s="12"/>
      <c r="AI2648" s="12"/>
      <c r="AJ2648" s="12"/>
      <c r="AK2648" s="12"/>
      <c r="AL2648" s="12"/>
      <c r="AM2648" s="12"/>
      <c r="AN2648" s="12"/>
      <c r="AO2648" s="12"/>
    </row>
    <row r="2649" spans="1:41" x14ac:dyDescent="0.2">
      <c r="A2649" s="5">
        <v>41091601</v>
      </c>
      <c r="B2649" s="6" t="s">
        <v>227</v>
      </c>
      <c r="C2649" s="12"/>
      <c r="D2649" s="12"/>
      <c r="E2649" s="12"/>
      <c r="F2649" s="12"/>
      <c r="G2649" s="12"/>
      <c r="H2649" s="12"/>
      <c r="I2649" s="12"/>
      <c r="J2649" s="12"/>
      <c r="K2649" s="12"/>
      <c r="L2649" s="12"/>
      <c r="M2649" s="12"/>
      <c r="N2649" s="12"/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  <c r="AA2649" s="12"/>
      <c r="AB2649" s="12"/>
      <c r="AC2649" s="12"/>
      <c r="AD2649" s="12"/>
      <c r="AE2649" s="12"/>
      <c r="AF2649" s="12"/>
      <c r="AG2649" s="12"/>
      <c r="AH2649" s="12"/>
      <c r="AI2649" s="12"/>
      <c r="AJ2649" s="12"/>
      <c r="AK2649" s="12"/>
      <c r="AL2649" s="12"/>
      <c r="AM2649" s="12"/>
      <c r="AN2649" s="12"/>
      <c r="AO2649" s="12"/>
    </row>
    <row r="2650" spans="1:41" x14ac:dyDescent="0.2">
      <c r="A2650" s="5">
        <v>41091602</v>
      </c>
      <c r="B2650" s="6" t="s">
        <v>228</v>
      </c>
      <c r="C2650" s="12"/>
      <c r="D2650" s="12"/>
      <c r="E2650" s="12"/>
      <c r="F2650" s="12"/>
      <c r="G2650" s="12"/>
      <c r="H2650" s="12"/>
      <c r="I2650" s="12"/>
      <c r="J2650" s="12"/>
      <c r="K2650" s="12"/>
      <c r="L2650" s="12"/>
      <c r="M2650" s="12"/>
      <c r="N2650" s="12"/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  <c r="AA2650" s="12"/>
      <c r="AB2650" s="12"/>
      <c r="AC2650" s="12"/>
      <c r="AD2650" s="12"/>
      <c r="AE2650" s="12"/>
      <c r="AF2650" s="12"/>
      <c r="AG2650" s="12"/>
      <c r="AH2650" s="12"/>
      <c r="AI2650" s="12"/>
      <c r="AJ2650" s="12"/>
      <c r="AK2650" s="12"/>
      <c r="AL2650" s="12"/>
      <c r="AM2650" s="12"/>
      <c r="AN2650" s="12"/>
      <c r="AO2650" s="12"/>
    </row>
    <row r="2651" spans="1:41" x14ac:dyDescent="0.2">
      <c r="A2651" s="5">
        <v>41091603</v>
      </c>
      <c r="B2651" s="6" t="s">
        <v>229</v>
      </c>
      <c r="C2651" s="12"/>
      <c r="D2651" s="12"/>
      <c r="E2651" s="12"/>
      <c r="F2651" s="12"/>
      <c r="G2651" s="12"/>
      <c r="H2651" s="12"/>
      <c r="I2651" s="12"/>
      <c r="J2651" s="12"/>
      <c r="K2651" s="12"/>
      <c r="L2651" s="12"/>
      <c r="M2651" s="12"/>
      <c r="N2651" s="12"/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  <c r="AA2651" s="12"/>
      <c r="AB2651" s="12"/>
      <c r="AC2651" s="12"/>
      <c r="AD2651" s="12"/>
      <c r="AE2651" s="12"/>
      <c r="AF2651" s="12"/>
      <c r="AG2651" s="12"/>
      <c r="AH2651" s="12"/>
      <c r="AI2651" s="12"/>
      <c r="AJ2651" s="12"/>
      <c r="AK2651" s="12"/>
      <c r="AL2651" s="12"/>
      <c r="AM2651" s="12"/>
      <c r="AN2651" s="12"/>
      <c r="AO2651" s="12"/>
    </row>
    <row r="2652" spans="1:41" x14ac:dyDescent="0.2">
      <c r="A2652" s="5">
        <v>41091605</v>
      </c>
      <c r="B2652" s="6" t="s">
        <v>230</v>
      </c>
      <c r="C2652" s="12"/>
      <c r="D2652" s="12"/>
      <c r="E2652" s="12"/>
      <c r="F2652" s="12"/>
      <c r="G2652" s="12"/>
      <c r="H2652" s="12"/>
      <c r="I2652" s="12"/>
      <c r="J2652" s="12"/>
      <c r="K2652" s="12"/>
      <c r="L2652" s="12"/>
      <c r="M2652" s="12"/>
      <c r="N2652" s="12"/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  <c r="AA2652" s="12"/>
      <c r="AB2652" s="12"/>
      <c r="AC2652" s="12"/>
      <c r="AD2652" s="12"/>
      <c r="AE2652" s="12"/>
      <c r="AF2652" s="12"/>
      <c r="AG2652" s="12"/>
      <c r="AH2652" s="12"/>
      <c r="AI2652" s="12"/>
      <c r="AJ2652" s="12"/>
      <c r="AK2652" s="12"/>
      <c r="AL2652" s="12"/>
      <c r="AM2652" s="12"/>
      <c r="AN2652" s="12"/>
      <c r="AO2652" s="12"/>
    </row>
    <row r="2653" spans="1:41" x14ac:dyDescent="0.2">
      <c r="A2653" s="5">
        <v>41091609</v>
      </c>
      <c r="B2653" s="6" t="s">
        <v>231</v>
      </c>
      <c r="C2653" s="12"/>
      <c r="D2653" s="12"/>
      <c r="E2653" s="12"/>
      <c r="F2653" s="12"/>
      <c r="G2653" s="12"/>
      <c r="H2653" s="12"/>
      <c r="I2653" s="12"/>
      <c r="J2653" s="12"/>
      <c r="K2653" s="12"/>
      <c r="L2653" s="12"/>
      <c r="M2653" s="12"/>
      <c r="N2653" s="12"/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  <c r="AA2653" s="12"/>
      <c r="AB2653" s="12"/>
      <c r="AC2653" s="12"/>
      <c r="AD2653" s="12"/>
      <c r="AE2653" s="12"/>
      <c r="AF2653" s="12"/>
      <c r="AG2653" s="12"/>
      <c r="AH2653" s="12"/>
      <c r="AI2653" s="12"/>
      <c r="AJ2653" s="12"/>
      <c r="AK2653" s="12"/>
      <c r="AL2653" s="12"/>
      <c r="AM2653" s="12"/>
      <c r="AN2653" s="12"/>
      <c r="AO2653" s="12"/>
    </row>
    <row r="2654" spans="1:41" ht="14.25" x14ac:dyDescent="0.2">
      <c r="A2654" s="2">
        <v>410917</v>
      </c>
      <c r="B2654" s="3" t="s">
        <v>706</v>
      </c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9"/>
      <c r="AE2654" s="9"/>
      <c r="AF2654" s="9"/>
      <c r="AG2654" s="9"/>
      <c r="AH2654" s="9"/>
      <c r="AI2654" s="9"/>
      <c r="AJ2654" s="9"/>
      <c r="AK2654" s="9"/>
      <c r="AL2654" s="9"/>
      <c r="AM2654" s="9"/>
      <c r="AN2654" s="9"/>
      <c r="AO2654" s="9"/>
    </row>
    <row r="2655" spans="1:41" ht="14.25" x14ac:dyDescent="0.2">
      <c r="A2655" s="2">
        <v>41091701</v>
      </c>
      <c r="B2655" s="3" t="s">
        <v>233</v>
      </c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9"/>
      <c r="AN2655" s="9"/>
      <c r="AO2655" s="9"/>
    </row>
    <row r="2656" spans="1:41" ht="14.25" x14ac:dyDescent="0.2">
      <c r="A2656" s="2">
        <v>4109170101</v>
      </c>
      <c r="B2656" s="3" t="s">
        <v>234</v>
      </c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  <c r="AF2656" s="9"/>
      <c r="AG2656" s="9"/>
      <c r="AH2656" s="9"/>
      <c r="AI2656" s="9"/>
      <c r="AJ2656" s="9"/>
      <c r="AK2656" s="9"/>
      <c r="AL2656" s="9"/>
      <c r="AM2656" s="9"/>
      <c r="AN2656" s="9"/>
      <c r="AO2656" s="9"/>
    </row>
    <row r="2657" spans="1:41" x14ac:dyDescent="0.2">
      <c r="A2657" s="5">
        <v>4109170102</v>
      </c>
      <c r="B2657" s="6" t="s">
        <v>707</v>
      </c>
      <c r="C2657" s="12"/>
      <c r="D2657" s="12"/>
      <c r="E2657" s="12"/>
      <c r="F2657" s="12"/>
      <c r="G2657" s="12"/>
      <c r="H2657" s="12"/>
      <c r="I2657" s="12"/>
      <c r="J2657" s="12"/>
      <c r="K2657" s="12"/>
      <c r="L2657" s="12"/>
      <c r="M2657" s="12"/>
      <c r="N2657" s="12"/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  <c r="AA2657" s="12"/>
      <c r="AB2657" s="12"/>
      <c r="AC2657" s="12"/>
      <c r="AD2657" s="12"/>
      <c r="AE2657" s="12"/>
      <c r="AF2657" s="12"/>
      <c r="AG2657" s="12"/>
      <c r="AH2657" s="12"/>
      <c r="AI2657" s="12"/>
      <c r="AJ2657" s="12"/>
      <c r="AK2657" s="12"/>
      <c r="AL2657" s="12"/>
      <c r="AM2657" s="12"/>
      <c r="AN2657" s="12"/>
      <c r="AO2657" s="12"/>
    </row>
    <row r="2658" spans="1:41" x14ac:dyDescent="0.2">
      <c r="A2658" s="5">
        <v>4109170103</v>
      </c>
      <c r="B2658" s="6" t="s">
        <v>229</v>
      </c>
      <c r="C2658" s="12"/>
      <c r="D2658" s="12"/>
      <c r="E2658" s="12"/>
      <c r="F2658" s="12"/>
      <c r="G2658" s="12"/>
      <c r="H2658" s="12"/>
      <c r="I2658" s="12"/>
      <c r="J2658" s="12"/>
      <c r="K2658" s="12"/>
      <c r="L2658" s="12"/>
      <c r="M2658" s="12"/>
      <c r="N2658" s="12"/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  <c r="AA2658" s="12"/>
      <c r="AB2658" s="12"/>
      <c r="AC2658" s="12"/>
      <c r="AD2658" s="12"/>
      <c r="AE2658" s="12"/>
      <c r="AF2658" s="12"/>
      <c r="AG2658" s="12"/>
      <c r="AH2658" s="12"/>
      <c r="AI2658" s="12"/>
      <c r="AJ2658" s="12"/>
      <c r="AK2658" s="12"/>
      <c r="AL2658" s="12"/>
      <c r="AM2658" s="12"/>
      <c r="AN2658" s="12"/>
      <c r="AO2658" s="12"/>
    </row>
    <row r="2659" spans="1:41" x14ac:dyDescent="0.2">
      <c r="A2659" s="5">
        <v>4109170105</v>
      </c>
      <c r="B2659" s="6" t="s">
        <v>230</v>
      </c>
      <c r="C2659" s="12"/>
      <c r="D2659" s="12"/>
      <c r="E2659" s="12"/>
      <c r="F2659" s="12"/>
      <c r="G2659" s="12"/>
      <c r="H2659" s="12"/>
      <c r="I2659" s="12"/>
      <c r="J2659" s="12"/>
      <c r="K2659" s="12"/>
      <c r="L2659" s="12"/>
      <c r="M2659" s="12"/>
      <c r="N2659" s="12"/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  <c r="AA2659" s="12"/>
      <c r="AB2659" s="12"/>
      <c r="AC2659" s="12"/>
      <c r="AD2659" s="12"/>
      <c r="AE2659" s="12"/>
      <c r="AF2659" s="12"/>
      <c r="AG2659" s="12"/>
      <c r="AH2659" s="12"/>
      <c r="AI2659" s="12"/>
      <c r="AJ2659" s="12"/>
      <c r="AK2659" s="12"/>
      <c r="AL2659" s="12"/>
      <c r="AM2659" s="12"/>
      <c r="AN2659" s="12"/>
      <c r="AO2659" s="12"/>
    </row>
    <row r="2660" spans="1:41" x14ac:dyDescent="0.2">
      <c r="A2660" s="5">
        <v>4109170106</v>
      </c>
      <c r="B2660" s="6" t="s">
        <v>504</v>
      </c>
      <c r="C2660" s="12"/>
      <c r="D2660" s="12"/>
      <c r="E2660" s="12"/>
      <c r="F2660" s="12"/>
      <c r="G2660" s="12"/>
      <c r="H2660" s="12"/>
      <c r="I2660" s="12"/>
      <c r="J2660" s="12"/>
      <c r="K2660" s="12"/>
      <c r="L2660" s="12"/>
      <c r="M2660" s="12"/>
      <c r="N2660" s="12"/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  <c r="AA2660" s="12"/>
      <c r="AB2660" s="12"/>
      <c r="AC2660" s="12"/>
      <c r="AD2660" s="12"/>
      <c r="AE2660" s="12"/>
      <c r="AF2660" s="12"/>
      <c r="AG2660" s="12"/>
      <c r="AH2660" s="12"/>
      <c r="AI2660" s="12"/>
      <c r="AJ2660" s="12"/>
      <c r="AK2660" s="12"/>
      <c r="AL2660" s="12"/>
      <c r="AM2660" s="12"/>
      <c r="AN2660" s="12"/>
      <c r="AO2660" s="12"/>
    </row>
    <row r="2661" spans="1:41" x14ac:dyDescent="0.2">
      <c r="A2661" s="5">
        <v>4109170109</v>
      </c>
      <c r="B2661" s="6" t="s">
        <v>231</v>
      </c>
      <c r="C2661" s="12"/>
      <c r="D2661" s="12"/>
      <c r="E2661" s="12"/>
      <c r="F2661" s="12"/>
      <c r="G2661" s="12"/>
      <c r="H2661" s="12"/>
      <c r="I2661" s="12"/>
      <c r="J2661" s="12"/>
      <c r="K2661" s="12"/>
      <c r="L2661" s="12"/>
      <c r="M2661" s="12"/>
      <c r="N2661" s="12"/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  <c r="AA2661" s="12"/>
      <c r="AB2661" s="12"/>
      <c r="AC2661" s="12"/>
      <c r="AD2661" s="12"/>
      <c r="AE2661" s="12"/>
      <c r="AF2661" s="12"/>
      <c r="AG2661" s="12"/>
      <c r="AH2661" s="12"/>
      <c r="AI2661" s="12"/>
      <c r="AJ2661" s="12"/>
      <c r="AK2661" s="12"/>
      <c r="AL2661" s="12"/>
      <c r="AM2661" s="12"/>
      <c r="AN2661" s="12"/>
      <c r="AO2661" s="12"/>
    </row>
    <row r="2662" spans="1:41" ht="14.25" x14ac:dyDescent="0.2">
      <c r="A2662" s="2">
        <v>41091702</v>
      </c>
      <c r="B2662" s="3" t="s">
        <v>235</v>
      </c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9"/>
      <c r="AH2662" s="9"/>
      <c r="AI2662" s="9"/>
      <c r="AJ2662" s="9"/>
      <c r="AK2662" s="9"/>
      <c r="AL2662" s="9"/>
      <c r="AM2662" s="9"/>
      <c r="AN2662" s="9"/>
      <c r="AO2662" s="9"/>
    </row>
    <row r="2663" spans="1:41" ht="14.25" x14ac:dyDescent="0.2">
      <c r="A2663" s="2">
        <v>4109170201</v>
      </c>
      <c r="B2663" s="3" t="s">
        <v>234</v>
      </c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  <c r="AO2663" s="9"/>
    </row>
    <row r="2664" spans="1:41" x14ac:dyDescent="0.2">
      <c r="A2664" s="5">
        <v>4109170202</v>
      </c>
      <c r="B2664" s="6" t="s">
        <v>707</v>
      </c>
      <c r="C2664" s="12"/>
      <c r="D2664" s="12"/>
      <c r="E2664" s="12"/>
      <c r="F2664" s="12"/>
      <c r="G2664" s="12"/>
      <c r="H2664" s="12"/>
      <c r="I2664" s="12"/>
      <c r="J2664" s="12"/>
      <c r="K2664" s="12"/>
      <c r="L2664" s="12"/>
      <c r="M2664" s="12"/>
      <c r="N2664" s="12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  <c r="AC2664" s="12"/>
      <c r="AD2664" s="12"/>
      <c r="AE2664" s="12"/>
      <c r="AF2664" s="12"/>
      <c r="AG2664" s="12"/>
      <c r="AH2664" s="12"/>
      <c r="AI2664" s="12"/>
      <c r="AJ2664" s="12"/>
      <c r="AK2664" s="12"/>
      <c r="AL2664" s="12"/>
      <c r="AM2664" s="12"/>
      <c r="AN2664" s="12"/>
      <c r="AO2664" s="12"/>
    </row>
    <row r="2665" spans="1:41" x14ac:dyDescent="0.2">
      <c r="A2665" s="5">
        <v>4109170203</v>
      </c>
      <c r="B2665" s="6" t="s">
        <v>229</v>
      </c>
      <c r="C2665" s="12"/>
      <c r="D2665" s="12"/>
      <c r="E2665" s="12"/>
      <c r="F2665" s="12"/>
      <c r="G2665" s="12"/>
      <c r="H2665" s="12"/>
      <c r="I2665" s="12"/>
      <c r="J2665" s="12"/>
      <c r="K2665" s="12"/>
      <c r="L2665" s="12"/>
      <c r="M2665" s="12"/>
      <c r="N2665" s="12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  <c r="AC2665" s="12"/>
      <c r="AD2665" s="12"/>
      <c r="AE2665" s="12"/>
      <c r="AF2665" s="12"/>
      <c r="AG2665" s="12"/>
      <c r="AH2665" s="12"/>
      <c r="AI2665" s="12"/>
      <c r="AJ2665" s="12"/>
      <c r="AK2665" s="12"/>
      <c r="AL2665" s="12"/>
      <c r="AM2665" s="12"/>
      <c r="AN2665" s="12"/>
      <c r="AO2665" s="12"/>
    </row>
    <row r="2666" spans="1:41" x14ac:dyDescent="0.2">
      <c r="A2666" s="5">
        <v>4109170205</v>
      </c>
      <c r="B2666" s="6" t="s">
        <v>230</v>
      </c>
      <c r="C2666" s="12"/>
      <c r="D2666" s="12"/>
      <c r="E2666" s="12"/>
      <c r="F2666" s="12"/>
      <c r="G2666" s="12"/>
      <c r="H2666" s="12"/>
      <c r="I2666" s="12"/>
      <c r="J2666" s="12"/>
      <c r="K2666" s="12"/>
      <c r="L2666" s="12"/>
      <c r="M2666" s="12"/>
      <c r="N2666" s="12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  <c r="AC2666" s="12"/>
      <c r="AD2666" s="12"/>
      <c r="AE2666" s="12"/>
      <c r="AF2666" s="12"/>
      <c r="AG2666" s="12"/>
      <c r="AH2666" s="12"/>
      <c r="AI2666" s="12"/>
      <c r="AJ2666" s="12"/>
      <c r="AK2666" s="12"/>
      <c r="AL2666" s="12"/>
      <c r="AM2666" s="12"/>
      <c r="AN2666" s="12"/>
      <c r="AO2666" s="12"/>
    </row>
    <row r="2667" spans="1:41" x14ac:dyDescent="0.2">
      <c r="A2667" s="5">
        <v>4109170206</v>
      </c>
      <c r="B2667" s="6" t="s">
        <v>504</v>
      </c>
      <c r="C2667" s="12"/>
      <c r="D2667" s="12"/>
      <c r="E2667" s="12"/>
      <c r="F2667" s="12"/>
      <c r="G2667" s="12"/>
      <c r="H2667" s="12"/>
      <c r="I2667" s="12"/>
      <c r="J2667" s="12"/>
      <c r="K2667" s="12"/>
      <c r="L2667" s="12"/>
      <c r="M2667" s="12"/>
      <c r="N2667" s="12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  <c r="AC2667" s="12"/>
      <c r="AD2667" s="12"/>
      <c r="AE2667" s="12"/>
      <c r="AF2667" s="12"/>
      <c r="AG2667" s="12"/>
      <c r="AH2667" s="12"/>
      <c r="AI2667" s="12"/>
      <c r="AJ2667" s="12"/>
      <c r="AK2667" s="12"/>
      <c r="AL2667" s="12"/>
      <c r="AM2667" s="12"/>
      <c r="AN2667" s="12"/>
      <c r="AO2667" s="12"/>
    </row>
    <row r="2668" spans="1:41" x14ac:dyDescent="0.2">
      <c r="A2668" s="5">
        <v>4109170209</v>
      </c>
      <c r="B2668" s="6" t="s">
        <v>231</v>
      </c>
      <c r="C2668" s="12"/>
      <c r="D2668" s="12"/>
      <c r="E2668" s="12"/>
      <c r="F2668" s="12"/>
      <c r="G2668" s="12"/>
      <c r="H2668" s="12"/>
      <c r="I2668" s="12"/>
      <c r="J2668" s="12"/>
      <c r="K2668" s="12"/>
      <c r="L2668" s="12"/>
      <c r="M2668" s="12"/>
      <c r="N2668" s="12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  <c r="AA2668" s="12"/>
      <c r="AB2668" s="12"/>
      <c r="AC2668" s="12"/>
      <c r="AD2668" s="12"/>
      <c r="AE2668" s="12"/>
      <c r="AF2668" s="12"/>
      <c r="AG2668" s="12"/>
      <c r="AH2668" s="12"/>
      <c r="AI2668" s="12"/>
      <c r="AJ2668" s="12"/>
      <c r="AK2668" s="12"/>
      <c r="AL2668" s="12"/>
      <c r="AM2668" s="12"/>
      <c r="AN2668" s="12"/>
      <c r="AO2668" s="12"/>
    </row>
    <row r="2669" spans="1:41" x14ac:dyDescent="0.2">
      <c r="A2669" s="5">
        <v>410918</v>
      </c>
      <c r="B2669" s="6" t="s">
        <v>708</v>
      </c>
      <c r="C2669" s="12"/>
      <c r="D2669" s="12"/>
      <c r="E2669" s="12"/>
      <c r="F2669" s="12"/>
      <c r="G2669" s="12"/>
      <c r="H2669" s="12"/>
      <c r="I2669" s="12"/>
      <c r="J2669" s="12"/>
      <c r="K2669" s="12"/>
      <c r="L2669" s="12"/>
      <c r="M2669" s="12"/>
      <c r="N2669" s="12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  <c r="AA2669" s="12"/>
      <c r="AB2669" s="12"/>
      <c r="AC2669" s="12"/>
      <c r="AD2669" s="12"/>
      <c r="AE2669" s="12"/>
      <c r="AF2669" s="12"/>
      <c r="AG2669" s="12"/>
      <c r="AH2669" s="12"/>
      <c r="AI2669" s="12"/>
      <c r="AJ2669" s="12"/>
      <c r="AK2669" s="12"/>
      <c r="AL2669" s="12"/>
      <c r="AM2669" s="12"/>
      <c r="AN2669" s="12"/>
      <c r="AO2669" s="12"/>
    </row>
    <row r="2670" spans="1:41" ht="14.25" x14ac:dyDescent="0.2">
      <c r="A2670" s="2">
        <v>410920</v>
      </c>
      <c r="B2670" s="3" t="s">
        <v>709</v>
      </c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9"/>
      <c r="AC2670" s="9"/>
      <c r="AD2670" s="9"/>
      <c r="AE2670" s="9"/>
      <c r="AF2670" s="9"/>
      <c r="AG2670" s="9"/>
      <c r="AH2670" s="9"/>
      <c r="AI2670" s="9"/>
      <c r="AJ2670" s="9"/>
      <c r="AK2670" s="9"/>
      <c r="AL2670" s="9"/>
      <c r="AM2670" s="9"/>
      <c r="AN2670" s="9"/>
      <c r="AO2670" s="9"/>
    </row>
    <row r="2671" spans="1:41" ht="14.25" x14ac:dyDescent="0.2">
      <c r="A2671" s="2">
        <v>410922</v>
      </c>
      <c r="B2671" s="3" t="s">
        <v>710</v>
      </c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  <c r="AF2671" s="9"/>
      <c r="AG2671" s="9"/>
      <c r="AH2671" s="9"/>
      <c r="AI2671" s="9"/>
      <c r="AJ2671" s="9"/>
      <c r="AK2671" s="9"/>
      <c r="AL2671" s="9"/>
      <c r="AM2671" s="9"/>
      <c r="AN2671" s="9"/>
      <c r="AO2671" s="9"/>
    </row>
    <row r="2672" spans="1:41" x14ac:dyDescent="0.2">
      <c r="A2672" s="5">
        <v>410923</v>
      </c>
      <c r="B2672" s="6" t="s">
        <v>711</v>
      </c>
      <c r="C2672" s="12"/>
      <c r="D2672" s="12"/>
      <c r="E2672" s="12"/>
      <c r="F2672" s="12"/>
      <c r="G2672" s="12"/>
      <c r="H2672" s="12"/>
      <c r="I2672" s="12"/>
      <c r="J2672" s="12"/>
      <c r="K2672" s="12"/>
      <c r="L2672" s="12"/>
      <c r="M2672" s="12"/>
      <c r="N2672" s="12"/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  <c r="AA2672" s="12"/>
      <c r="AB2672" s="12"/>
      <c r="AC2672" s="12"/>
      <c r="AD2672" s="12"/>
      <c r="AE2672" s="12"/>
      <c r="AF2672" s="12"/>
      <c r="AG2672" s="12"/>
      <c r="AH2672" s="12"/>
      <c r="AI2672" s="12"/>
      <c r="AJ2672" s="12"/>
      <c r="AK2672" s="12"/>
      <c r="AL2672" s="12"/>
      <c r="AM2672" s="12"/>
      <c r="AN2672" s="12"/>
      <c r="AO2672" s="12"/>
    </row>
    <row r="2673" spans="1:41" x14ac:dyDescent="0.2">
      <c r="A2673" s="5">
        <v>410924</v>
      </c>
      <c r="B2673" s="6" t="s">
        <v>712</v>
      </c>
      <c r="C2673" s="12"/>
      <c r="D2673" s="12"/>
      <c r="E2673" s="12"/>
      <c r="F2673" s="12"/>
      <c r="G2673" s="12"/>
      <c r="H2673" s="12"/>
      <c r="I2673" s="12"/>
      <c r="J2673" s="12"/>
      <c r="K2673" s="12"/>
      <c r="L2673" s="12"/>
      <c r="M2673" s="12"/>
      <c r="N2673" s="12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  <c r="AA2673" s="12"/>
      <c r="AB2673" s="12"/>
      <c r="AC2673" s="12"/>
      <c r="AD2673" s="12"/>
      <c r="AE2673" s="12"/>
      <c r="AF2673" s="12"/>
      <c r="AG2673" s="12"/>
      <c r="AH2673" s="12"/>
      <c r="AI2673" s="12"/>
      <c r="AJ2673" s="12"/>
      <c r="AK2673" s="12"/>
      <c r="AL2673" s="12"/>
      <c r="AM2673" s="12"/>
      <c r="AN2673" s="12"/>
      <c r="AO2673" s="12"/>
    </row>
    <row r="2674" spans="1:41" x14ac:dyDescent="0.2">
      <c r="A2674" s="5">
        <v>41092401</v>
      </c>
      <c r="B2674" s="6" t="s">
        <v>713</v>
      </c>
      <c r="C2674" s="12"/>
      <c r="D2674" s="12"/>
      <c r="E2674" s="12"/>
      <c r="F2674" s="12"/>
      <c r="G2674" s="12"/>
      <c r="H2674" s="12"/>
      <c r="I2674" s="12"/>
      <c r="J2674" s="12"/>
      <c r="K2674" s="12"/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  <c r="AA2674" s="12"/>
      <c r="AB2674" s="12"/>
      <c r="AC2674" s="12"/>
      <c r="AD2674" s="12"/>
      <c r="AE2674" s="12"/>
      <c r="AF2674" s="12"/>
      <c r="AG2674" s="12"/>
      <c r="AH2674" s="12"/>
      <c r="AI2674" s="12"/>
      <c r="AJ2674" s="12"/>
      <c r="AK2674" s="12"/>
      <c r="AL2674" s="12"/>
      <c r="AM2674" s="12"/>
      <c r="AN2674" s="12"/>
      <c r="AO2674" s="12"/>
    </row>
    <row r="2675" spans="1:41" x14ac:dyDescent="0.2">
      <c r="A2675" s="5">
        <v>4109240101</v>
      </c>
      <c r="B2675" s="6" t="s">
        <v>714</v>
      </c>
      <c r="C2675" s="12"/>
      <c r="D2675" s="12"/>
      <c r="E2675" s="12"/>
      <c r="F2675" s="12"/>
      <c r="G2675" s="12"/>
      <c r="H2675" s="12"/>
      <c r="I2675" s="12"/>
      <c r="J2675" s="12"/>
      <c r="K2675" s="12"/>
      <c r="L2675" s="12"/>
      <c r="M2675" s="12"/>
      <c r="N2675" s="12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  <c r="AA2675" s="12"/>
      <c r="AB2675" s="12"/>
      <c r="AC2675" s="12"/>
      <c r="AD2675" s="12"/>
      <c r="AE2675" s="12"/>
      <c r="AF2675" s="12"/>
      <c r="AG2675" s="12"/>
      <c r="AH2675" s="12"/>
      <c r="AI2675" s="12"/>
      <c r="AJ2675" s="12"/>
      <c r="AK2675" s="12"/>
      <c r="AL2675" s="12"/>
      <c r="AM2675" s="12"/>
      <c r="AN2675" s="12"/>
      <c r="AO2675" s="12"/>
    </row>
    <row r="2676" spans="1:41" x14ac:dyDescent="0.2">
      <c r="A2676" s="5">
        <v>4109240102</v>
      </c>
      <c r="B2676" s="6" t="s">
        <v>715</v>
      </c>
      <c r="C2676" s="12"/>
      <c r="D2676" s="12"/>
      <c r="E2676" s="12"/>
      <c r="F2676" s="12"/>
      <c r="G2676" s="12"/>
      <c r="H2676" s="12"/>
      <c r="I2676" s="12"/>
      <c r="J2676" s="12"/>
      <c r="K2676" s="12"/>
      <c r="L2676" s="12"/>
      <c r="M2676" s="12"/>
      <c r="N2676" s="12"/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  <c r="AA2676" s="12"/>
      <c r="AB2676" s="12"/>
      <c r="AC2676" s="12"/>
      <c r="AD2676" s="12"/>
      <c r="AE2676" s="12"/>
      <c r="AF2676" s="12"/>
      <c r="AG2676" s="12"/>
      <c r="AH2676" s="12"/>
      <c r="AI2676" s="12"/>
      <c r="AJ2676" s="12"/>
      <c r="AK2676" s="12"/>
      <c r="AL2676" s="12"/>
      <c r="AM2676" s="12"/>
      <c r="AN2676" s="12"/>
      <c r="AO2676" s="12"/>
    </row>
    <row r="2677" spans="1:41" ht="14.25" x14ac:dyDescent="0.2">
      <c r="A2677" s="2">
        <v>410925</v>
      </c>
      <c r="B2677" s="3" t="s">
        <v>716</v>
      </c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  <c r="AO2677" s="9"/>
    </row>
    <row r="2678" spans="1:41" ht="14.25" x14ac:dyDescent="0.2">
      <c r="A2678" s="2">
        <v>410926</v>
      </c>
      <c r="B2678" s="3" t="s">
        <v>717</v>
      </c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9"/>
      <c r="AN2678" s="9"/>
      <c r="AO2678" s="9"/>
    </row>
    <row r="2679" spans="1:41" ht="14.25" x14ac:dyDescent="0.2">
      <c r="A2679" s="2">
        <v>42</v>
      </c>
      <c r="B2679" s="3" t="s">
        <v>718</v>
      </c>
      <c r="C2679" s="20">
        <f t="shared" ref="C2679:AD2679" si="85">+C2686+C2696+C2701</f>
        <v>6438.41</v>
      </c>
      <c r="D2679" s="20">
        <f t="shared" si="85"/>
        <v>13807.08</v>
      </c>
      <c r="E2679" s="20">
        <f t="shared" si="85"/>
        <v>21767.08</v>
      </c>
      <c r="F2679" s="20">
        <f t="shared" si="85"/>
        <v>28414.370000000003</v>
      </c>
      <c r="G2679" s="20">
        <f t="shared" si="85"/>
        <v>37704.39</v>
      </c>
      <c r="H2679" s="20">
        <f t="shared" si="85"/>
        <v>45101.759999999995</v>
      </c>
      <c r="I2679" s="20">
        <f t="shared" si="85"/>
        <v>51885.03</v>
      </c>
      <c r="J2679" s="20">
        <f t="shared" si="85"/>
        <v>62157.340000000004</v>
      </c>
      <c r="K2679" s="20">
        <f t="shared" si="85"/>
        <v>69430.329999999987</v>
      </c>
      <c r="L2679" s="20">
        <f t="shared" si="85"/>
        <v>75947.839999999997</v>
      </c>
      <c r="M2679" s="20">
        <f t="shared" si="85"/>
        <v>83418.180000000008</v>
      </c>
      <c r="N2679" s="20">
        <f t="shared" si="85"/>
        <v>89959.34</v>
      </c>
      <c r="O2679" s="20">
        <f t="shared" si="85"/>
        <v>6193.55</v>
      </c>
      <c r="P2679" s="20">
        <f t="shared" si="85"/>
        <v>13256.76</v>
      </c>
      <c r="Q2679" s="20">
        <f t="shared" si="85"/>
        <v>19364.22</v>
      </c>
      <c r="R2679" s="20">
        <f t="shared" si="85"/>
        <v>29365.089999999997</v>
      </c>
      <c r="S2679" s="20">
        <f t="shared" si="85"/>
        <v>38782.31</v>
      </c>
      <c r="T2679" s="20">
        <f t="shared" si="85"/>
        <v>49820.42</v>
      </c>
      <c r="U2679" s="20">
        <f t="shared" si="85"/>
        <v>59771.81</v>
      </c>
      <c r="V2679" s="20">
        <f t="shared" si="85"/>
        <v>70910.3</v>
      </c>
      <c r="W2679" s="20">
        <f t="shared" si="85"/>
        <v>80000.290000000008</v>
      </c>
      <c r="X2679" s="20">
        <f t="shared" si="85"/>
        <v>90710.720000000001</v>
      </c>
      <c r="Y2679" s="20">
        <f t="shared" si="85"/>
        <v>100299.40000000001</v>
      </c>
      <c r="Z2679" s="20">
        <f t="shared" si="85"/>
        <v>107990.34000000001</v>
      </c>
      <c r="AA2679" s="20">
        <f t="shared" si="85"/>
        <v>12826.11</v>
      </c>
      <c r="AB2679" s="20">
        <f t="shared" si="85"/>
        <v>16489.849999999999</v>
      </c>
      <c r="AC2679" s="20">
        <f t="shared" si="85"/>
        <v>21708.22</v>
      </c>
      <c r="AD2679" s="20">
        <f t="shared" si="85"/>
        <v>27618.25</v>
      </c>
      <c r="AE2679" s="20">
        <f>+AE2686+AE2696+AE2701</f>
        <v>34499.49</v>
      </c>
      <c r="AF2679" s="20">
        <f t="shared" ref="AF2679:AO2679" si="86">+AF2686+AF2696+AF2701</f>
        <v>42328.84</v>
      </c>
      <c r="AG2679" s="20">
        <f t="shared" si="86"/>
        <v>48974.55</v>
      </c>
      <c r="AH2679" s="20">
        <f t="shared" si="86"/>
        <v>56960.43</v>
      </c>
      <c r="AI2679" s="20">
        <f t="shared" si="86"/>
        <v>66487.179999999993</v>
      </c>
      <c r="AJ2679" s="20">
        <f t="shared" si="86"/>
        <v>71846.75</v>
      </c>
      <c r="AK2679" s="20">
        <f t="shared" si="86"/>
        <v>84375.94</v>
      </c>
      <c r="AL2679" s="20">
        <f t="shared" si="86"/>
        <v>104166.69</v>
      </c>
      <c r="AM2679" s="20">
        <f t="shared" si="86"/>
        <v>13209.509999999998</v>
      </c>
      <c r="AN2679" s="20">
        <f t="shared" si="86"/>
        <v>22593.200000000001</v>
      </c>
      <c r="AO2679" s="20">
        <f t="shared" si="86"/>
        <v>36374.800000000003</v>
      </c>
    </row>
    <row r="2680" spans="1:41" ht="14.25" x14ac:dyDescent="0.2">
      <c r="A2680" s="2">
        <v>4201</v>
      </c>
      <c r="B2680" s="3" t="s">
        <v>719</v>
      </c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  <c r="AE2680" s="9"/>
      <c r="AF2680" s="9"/>
      <c r="AG2680" s="9"/>
      <c r="AH2680" s="9"/>
      <c r="AI2680" s="9"/>
      <c r="AJ2680" s="9"/>
      <c r="AK2680" s="9"/>
      <c r="AL2680" s="9"/>
      <c r="AM2680" s="9"/>
      <c r="AN2680" s="9"/>
      <c r="AO2680" s="9"/>
    </row>
    <row r="2681" spans="1:41" ht="14.25" x14ac:dyDescent="0.2">
      <c r="A2681" s="2">
        <v>420101</v>
      </c>
      <c r="B2681" s="3" t="s">
        <v>720</v>
      </c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  <c r="AO2681" s="9"/>
    </row>
    <row r="2682" spans="1:41" ht="14.25" x14ac:dyDescent="0.2">
      <c r="A2682" s="2">
        <v>420102</v>
      </c>
      <c r="B2682" s="3" t="s">
        <v>721</v>
      </c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  <c r="AO2682" s="9"/>
    </row>
    <row r="2683" spans="1:41" ht="14.25" x14ac:dyDescent="0.2">
      <c r="A2683" s="2">
        <v>420104</v>
      </c>
      <c r="B2683" s="3" t="s">
        <v>722</v>
      </c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  <c r="AO2683" s="9"/>
    </row>
    <row r="2684" spans="1:41" ht="14.25" x14ac:dyDescent="0.2">
      <c r="A2684" s="2">
        <v>4202</v>
      </c>
      <c r="B2684" s="3" t="s">
        <v>723</v>
      </c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9"/>
      <c r="AH2684" s="9"/>
      <c r="AI2684" s="9"/>
      <c r="AJ2684" s="9"/>
      <c r="AK2684" s="9"/>
      <c r="AL2684" s="9"/>
      <c r="AM2684" s="9"/>
      <c r="AN2684" s="9"/>
      <c r="AO2684" s="9"/>
    </row>
    <row r="2685" spans="1:41" ht="14.25" x14ac:dyDescent="0.2">
      <c r="A2685" s="2">
        <v>420201</v>
      </c>
      <c r="B2685" s="3" t="s">
        <v>724</v>
      </c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9"/>
      <c r="AH2685" s="9"/>
      <c r="AI2685" s="9"/>
      <c r="AJ2685" s="9"/>
      <c r="AK2685" s="9"/>
      <c r="AL2685" s="9"/>
      <c r="AM2685" s="9"/>
      <c r="AN2685" s="9"/>
      <c r="AO2685" s="9"/>
    </row>
    <row r="2686" spans="1:41" s="15" customFormat="1" ht="14.25" x14ac:dyDescent="0.2">
      <c r="A2686" s="18" t="s">
        <v>1710</v>
      </c>
      <c r="B2686" s="19" t="s">
        <v>1711</v>
      </c>
      <c r="C2686" s="20">
        <v>320.63</v>
      </c>
      <c r="D2686" s="20">
        <v>641.04999999999995</v>
      </c>
      <c r="E2686" s="20">
        <v>1004.95</v>
      </c>
      <c r="F2686" s="20">
        <v>1336.97</v>
      </c>
      <c r="G2686" s="20">
        <v>1730.54</v>
      </c>
      <c r="H2686" s="20">
        <v>2077.13</v>
      </c>
      <c r="I2686" s="20">
        <v>2421.9</v>
      </c>
      <c r="J2686" s="20">
        <v>2756.19</v>
      </c>
      <c r="K2686" s="20">
        <v>3018.79</v>
      </c>
      <c r="L2686" s="20">
        <v>3238.78</v>
      </c>
      <c r="M2686" s="20">
        <v>3762.6</v>
      </c>
      <c r="N2686" s="20">
        <v>4112.34</v>
      </c>
      <c r="O2686" s="20">
        <v>253.04</v>
      </c>
      <c r="P2686" s="20">
        <v>741.51</v>
      </c>
      <c r="Q2686" s="20">
        <v>916.77</v>
      </c>
      <c r="R2686" s="20">
        <v>1150.69</v>
      </c>
      <c r="S2686" s="20">
        <v>1509.07</v>
      </c>
      <c r="T2686" s="20">
        <v>1645.06</v>
      </c>
      <c r="U2686" s="20">
        <v>2010.15</v>
      </c>
      <c r="V2686" s="20">
        <v>2308.6999999999998</v>
      </c>
      <c r="W2686" s="20">
        <v>2766.04</v>
      </c>
      <c r="X2686" s="20">
        <v>3092.41</v>
      </c>
      <c r="Y2686" s="20">
        <v>3501.35</v>
      </c>
      <c r="Z2686" s="20">
        <v>3781.65</v>
      </c>
      <c r="AA2686" s="20">
        <v>394.02</v>
      </c>
      <c r="AB2686" s="20">
        <v>615.91999999999996</v>
      </c>
      <c r="AC2686" s="20">
        <v>868.12</v>
      </c>
      <c r="AD2686" s="20">
        <v>1116.93</v>
      </c>
      <c r="AE2686" s="20">
        <v>1347.97</v>
      </c>
      <c r="AF2686" s="20">
        <v>1570.25</v>
      </c>
      <c r="AG2686" s="20">
        <v>1854.69</v>
      </c>
      <c r="AH2686" s="20">
        <v>2169.38</v>
      </c>
      <c r="AI2686" s="20">
        <v>2503.4699999999998</v>
      </c>
      <c r="AJ2686" s="20">
        <v>2826.48</v>
      </c>
      <c r="AK2686" s="20">
        <v>3385.87</v>
      </c>
      <c r="AL2686" s="20">
        <v>3670.66</v>
      </c>
      <c r="AM2686" s="20">
        <v>317.27999999999997</v>
      </c>
      <c r="AN2686" s="20">
        <v>552.03</v>
      </c>
      <c r="AO2686" s="20">
        <v>965.54</v>
      </c>
    </row>
    <row r="2687" spans="1:41" ht="14.25" x14ac:dyDescent="0.2">
      <c r="A2687" s="2">
        <v>420202</v>
      </c>
      <c r="B2687" s="3" t="s">
        <v>725</v>
      </c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  <c r="AE2687" s="9"/>
      <c r="AF2687" s="9"/>
      <c r="AG2687" s="9"/>
      <c r="AH2687" s="9"/>
      <c r="AI2687" s="9"/>
      <c r="AJ2687" s="9"/>
      <c r="AK2687" s="9"/>
      <c r="AL2687" s="9"/>
      <c r="AM2687" s="9"/>
      <c r="AN2687" s="9"/>
      <c r="AO2687" s="9"/>
    </row>
    <row r="2688" spans="1:41" ht="14.25" x14ac:dyDescent="0.2">
      <c r="A2688" s="2">
        <v>420203</v>
      </c>
      <c r="B2688" s="3" t="s">
        <v>726</v>
      </c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  <c r="AB2688" s="9"/>
      <c r="AC2688" s="9"/>
      <c r="AD2688" s="9"/>
      <c r="AE2688" s="9"/>
      <c r="AF2688" s="9"/>
      <c r="AG2688" s="9"/>
      <c r="AH2688" s="9"/>
      <c r="AI2688" s="9"/>
      <c r="AJ2688" s="9"/>
      <c r="AK2688" s="9"/>
      <c r="AL2688" s="9"/>
      <c r="AM2688" s="9"/>
      <c r="AN2688" s="9"/>
      <c r="AO2688" s="9"/>
    </row>
    <row r="2689" spans="1:41" x14ac:dyDescent="0.2">
      <c r="A2689" s="5">
        <v>420204</v>
      </c>
      <c r="B2689" s="6" t="s">
        <v>727</v>
      </c>
      <c r="C2689" s="12"/>
      <c r="D2689" s="12"/>
      <c r="E2689" s="12"/>
      <c r="F2689" s="12"/>
      <c r="G2689" s="12"/>
      <c r="H2689" s="12"/>
      <c r="I2689" s="12"/>
      <c r="J2689" s="12"/>
      <c r="K2689" s="12"/>
      <c r="L2689" s="12"/>
      <c r="M2689" s="12"/>
      <c r="N2689" s="12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  <c r="AA2689" s="12"/>
      <c r="AB2689" s="12"/>
      <c r="AC2689" s="12"/>
      <c r="AD2689" s="12"/>
      <c r="AE2689" s="12"/>
      <c r="AF2689" s="12"/>
      <c r="AG2689" s="12"/>
      <c r="AH2689" s="12"/>
      <c r="AI2689" s="12"/>
      <c r="AJ2689" s="12"/>
      <c r="AK2689" s="12"/>
      <c r="AL2689" s="12"/>
      <c r="AM2689" s="12"/>
      <c r="AN2689" s="12"/>
      <c r="AO2689" s="12"/>
    </row>
    <row r="2690" spans="1:41" ht="14.25" x14ac:dyDescent="0.2">
      <c r="A2690" s="2">
        <v>420206</v>
      </c>
      <c r="B2690" s="3" t="s">
        <v>728</v>
      </c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9"/>
      <c r="AE2690" s="9"/>
      <c r="AF2690" s="9"/>
      <c r="AG2690" s="9"/>
      <c r="AH2690" s="9"/>
      <c r="AI2690" s="9"/>
      <c r="AJ2690" s="9"/>
      <c r="AK2690" s="9"/>
      <c r="AL2690" s="9"/>
      <c r="AM2690" s="9"/>
      <c r="AN2690" s="9"/>
      <c r="AO2690" s="9"/>
    </row>
    <row r="2691" spans="1:41" x14ac:dyDescent="0.2">
      <c r="A2691" s="5">
        <v>420207</v>
      </c>
      <c r="B2691" s="6" t="s">
        <v>729</v>
      </c>
      <c r="C2691" s="12"/>
      <c r="D2691" s="12"/>
      <c r="E2691" s="12"/>
      <c r="F2691" s="12"/>
      <c r="G2691" s="12"/>
      <c r="H2691" s="12"/>
      <c r="I2691" s="12"/>
      <c r="J2691" s="12"/>
      <c r="K2691" s="12"/>
      <c r="L2691" s="12"/>
      <c r="M2691" s="12"/>
      <c r="N2691" s="12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  <c r="AA2691" s="12"/>
      <c r="AB2691" s="12"/>
      <c r="AC2691" s="12"/>
      <c r="AD2691" s="12"/>
      <c r="AE2691" s="12"/>
      <c r="AF2691" s="12"/>
      <c r="AG2691" s="12"/>
      <c r="AH2691" s="12"/>
      <c r="AI2691" s="12"/>
      <c r="AJ2691" s="12"/>
      <c r="AK2691" s="12"/>
      <c r="AL2691" s="12"/>
      <c r="AM2691" s="12"/>
      <c r="AN2691" s="12"/>
      <c r="AO2691" s="12"/>
    </row>
    <row r="2692" spans="1:41" x14ac:dyDescent="0.2">
      <c r="A2692" s="5">
        <v>420208</v>
      </c>
      <c r="B2692" s="6" t="s">
        <v>730</v>
      </c>
      <c r="C2692" s="12"/>
      <c r="D2692" s="12"/>
      <c r="E2692" s="12"/>
      <c r="F2692" s="12"/>
      <c r="G2692" s="12"/>
      <c r="H2692" s="12"/>
      <c r="I2692" s="12"/>
      <c r="J2692" s="12"/>
      <c r="K2692" s="12"/>
      <c r="L2692" s="12"/>
      <c r="M2692" s="12"/>
      <c r="N2692" s="12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  <c r="AA2692" s="12"/>
      <c r="AB2692" s="12"/>
      <c r="AC2692" s="12"/>
      <c r="AD2692" s="12"/>
      <c r="AE2692" s="12"/>
      <c r="AF2692" s="12"/>
      <c r="AG2692" s="12"/>
      <c r="AH2692" s="12"/>
      <c r="AI2692" s="12"/>
      <c r="AJ2692" s="12"/>
      <c r="AK2692" s="12"/>
      <c r="AL2692" s="12"/>
      <c r="AM2692" s="12"/>
      <c r="AN2692" s="12"/>
      <c r="AO2692" s="12"/>
    </row>
    <row r="2693" spans="1:41" x14ac:dyDescent="0.2">
      <c r="A2693" s="5">
        <v>420209</v>
      </c>
      <c r="B2693" s="6" t="s">
        <v>731</v>
      </c>
      <c r="C2693" s="12"/>
      <c r="D2693" s="12"/>
      <c r="E2693" s="12"/>
      <c r="F2693" s="12"/>
      <c r="G2693" s="12"/>
      <c r="H2693" s="12"/>
      <c r="I2693" s="12"/>
      <c r="J2693" s="12"/>
      <c r="K2693" s="12"/>
      <c r="L2693" s="12"/>
      <c r="M2693" s="12"/>
      <c r="N2693" s="12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  <c r="AA2693" s="12"/>
      <c r="AB2693" s="12"/>
      <c r="AC2693" s="12"/>
      <c r="AD2693" s="12"/>
      <c r="AE2693" s="12"/>
      <c r="AF2693" s="12"/>
      <c r="AG2693" s="12"/>
      <c r="AH2693" s="12"/>
      <c r="AI2693" s="12"/>
      <c r="AJ2693" s="12"/>
      <c r="AK2693" s="12"/>
      <c r="AL2693" s="12"/>
      <c r="AM2693" s="12"/>
      <c r="AN2693" s="12"/>
      <c r="AO2693" s="12"/>
    </row>
    <row r="2694" spans="1:41" ht="14.25" x14ac:dyDescent="0.2">
      <c r="A2694" s="2">
        <v>420210</v>
      </c>
      <c r="B2694" s="3" t="s">
        <v>732</v>
      </c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  <c r="AO2694" s="9"/>
    </row>
    <row r="2695" spans="1:41" ht="14.25" x14ac:dyDescent="0.2">
      <c r="A2695" s="2">
        <v>420212</v>
      </c>
      <c r="B2695" s="3" t="s">
        <v>733</v>
      </c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  <c r="AO2695" s="9"/>
    </row>
    <row r="2696" spans="1:41" s="15" customFormat="1" ht="14.25" x14ac:dyDescent="0.2">
      <c r="A2696" s="18" t="s">
        <v>1712</v>
      </c>
      <c r="B2696" s="19" t="s">
        <v>1713</v>
      </c>
      <c r="C2696" s="20"/>
      <c r="D2696" s="20"/>
      <c r="E2696" s="20"/>
      <c r="F2696" s="20"/>
      <c r="G2696" s="20"/>
      <c r="H2696" s="20"/>
      <c r="I2696" s="20"/>
      <c r="J2696" s="20"/>
      <c r="K2696" s="20"/>
      <c r="L2696" s="20"/>
      <c r="M2696" s="20"/>
      <c r="N2696" s="20"/>
      <c r="O2696" s="20"/>
      <c r="P2696" s="20"/>
      <c r="Q2696" s="20"/>
      <c r="R2696" s="20">
        <v>4423.8900000000003</v>
      </c>
      <c r="S2696" s="20">
        <v>7767.36</v>
      </c>
      <c r="T2696" s="20">
        <v>9445.39</v>
      </c>
      <c r="U2696" s="20">
        <v>13781.38</v>
      </c>
      <c r="V2696" s="20">
        <v>17219.22</v>
      </c>
      <c r="W2696" s="20">
        <v>19454.32</v>
      </c>
      <c r="X2696" s="20">
        <v>22307.84</v>
      </c>
      <c r="Y2696" s="20">
        <v>25203.48</v>
      </c>
      <c r="Z2696" s="20">
        <v>25203.48</v>
      </c>
      <c r="AA2696" s="20">
        <v>8161.85</v>
      </c>
      <c r="AB2696" s="20">
        <v>8161.85</v>
      </c>
      <c r="AC2696" s="20">
        <v>10555.45</v>
      </c>
      <c r="AD2696" s="20">
        <v>13120.77</v>
      </c>
      <c r="AE2696" s="20">
        <v>15271.6</v>
      </c>
      <c r="AF2696" s="20">
        <v>17832.41</v>
      </c>
      <c r="AG2696" s="20">
        <v>21099.41</v>
      </c>
      <c r="AH2696" s="20">
        <v>24666.42</v>
      </c>
      <c r="AI2696" s="20">
        <v>28083.439999999999</v>
      </c>
      <c r="AJ2696" s="20">
        <v>28083.439999999999</v>
      </c>
      <c r="AK2696" s="20">
        <v>31745.48</v>
      </c>
      <c r="AL2696" s="20">
        <v>39740.720000000001</v>
      </c>
      <c r="AM2696" s="20">
        <v>6337.48</v>
      </c>
      <c r="AN2696" s="20">
        <v>7333.41</v>
      </c>
      <c r="AO2696" s="20">
        <v>9129.0300000000007</v>
      </c>
    </row>
    <row r="2697" spans="1:41" x14ac:dyDescent="0.2">
      <c r="A2697" s="5">
        <v>420213</v>
      </c>
      <c r="B2697" s="6" t="s">
        <v>413</v>
      </c>
      <c r="C2697" s="12"/>
      <c r="D2697" s="12"/>
      <c r="E2697" s="12"/>
      <c r="F2697" s="12"/>
      <c r="G2697" s="12"/>
      <c r="H2697" s="12"/>
      <c r="I2697" s="12"/>
      <c r="J2697" s="12"/>
      <c r="K2697" s="12"/>
      <c r="L2697" s="12"/>
      <c r="M2697" s="12"/>
      <c r="N2697" s="12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  <c r="AA2697" s="12"/>
      <c r="AB2697" s="12"/>
      <c r="AC2697" s="12"/>
      <c r="AD2697" s="12"/>
      <c r="AE2697" s="12"/>
      <c r="AF2697" s="12"/>
      <c r="AG2697" s="12"/>
      <c r="AH2697" s="12"/>
      <c r="AI2697" s="12"/>
      <c r="AJ2697" s="12"/>
      <c r="AK2697" s="12"/>
      <c r="AL2697" s="12"/>
      <c r="AM2697" s="12"/>
      <c r="AN2697" s="12"/>
      <c r="AO2697" s="12"/>
    </row>
    <row r="2698" spans="1:41" ht="14.25" x14ac:dyDescent="0.2">
      <c r="A2698" s="2">
        <v>420214</v>
      </c>
      <c r="B2698" s="3" t="s">
        <v>734</v>
      </c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9"/>
      <c r="AN2698" s="9"/>
      <c r="AO2698" s="9"/>
    </row>
    <row r="2699" spans="1:41" x14ac:dyDescent="0.2">
      <c r="A2699" s="5">
        <v>420215</v>
      </c>
      <c r="B2699" s="6" t="s">
        <v>735</v>
      </c>
      <c r="C2699" s="12"/>
      <c r="D2699" s="12"/>
      <c r="E2699" s="12"/>
      <c r="F2699" s="12"/>
      <c r="G2699" s="12"/>
      <c r="H2699" s="12"/>
      <c r="I2699" s="12"/>
      <c r="J2699" s="12"/>
      <c r="K2699" s="12"/>
      <c r="L2699" s="12"/>
      <c r="M2699" s="12"/>
      <c r="N2699" s="12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  <c r="AA2699" s="12"/>
      <c r="AB2699" s="12"/>
      <c r="AC2699" s="12"/>
      <c r="AD2699" s="12"/>
      <c r="AE2699" s="12"/>
      <c r="AF2699" s="12"/>
      <c r="AG2699" s="12"/>
      <c r="AH2699" s="12"/>
      <c r="AI2699" s="12"/>
      <c r="AJ2699" s="12"/>
      <c r="AK2699" s="12"/>
      <c r="AL2699" s="12"/>
      <c r="AM2699" s="12"/>
      <c r="AN2699" s="12"/>
      <c r="AO2699" s="12"/>
    </row>
    <row r="2700" spans="1:41" ht="14.25" x14ac:dyDescent="0.2">
      <c r="A2700" s="2">
        <v>420229</v>
      </c>
      <c r="B2700" s="3" t="s">
        <v>736</v>
      </c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9"/>
      <c r="AE2700" s="9"/>
      <c r="AF2700" s="9"/>
      <c r="AG2700" s="9"/>
      <c r="AH2700" s="9"/>
      <c r="AI2700" s="9"/>
      <c r="AJ2700" s="9"/>
      <c r="AK2700" s="9"/>
      <c r="AL2700" s="9"/>
      <c r="AM2700" s="9"/>
      <c r="AN2700" s="9"/>
      <c r="AO2700" s="9"/>
    </row>
    <row r="2701" spans="1:41" s="15" customFormat="1" ht="14.25" x14ac:dyDescent="0.2">
      <c r="A2701" s="18" t="s">
        <v>1714</v>
      </c>
      <c r="B2701" s="19" t="s">
        <v>1715</v>
      </c>
      <c r="C2701" s="20">
        <v>6117.78</v>
      </c>
      <c r="D2701" s="20">
        <v>13166.03</v>
      </c>
      <c r="E2701" s="20">
        <v>20762.13</v>
      </c>
      <c r="F2701" s="20">
        <v>27077.4</v>
      </c>
      <c r="G2701" s="20">
        <v>35973.85</v>
      </c>
      <c r="H2701" s="20">
        <v>43024.63</v>
      </c>
      <c r="I2701" s="20">
        <v>49463.13</v>
      </c>
      <c r="J2701" s="20">
        <v>59401.15</v>
      </c>
      <c r="K2701" s="20">
        <v>66411.539999999994</v>
      </c>
      <c r="L2701" s="20">
        <v>72709.06</v>
      </c>
      <c r="M2701" s="20">
        <v>79655.58</v>
      </c>
      <c r="N2701" s="20">
        <v>85847</v>
      </c>
      <c r="O2701" s="20">
        <v>5940.51</v>
      </c>
      <c r="P2701" s="20">
        <v>12515.25</v>
      </c>
      <c r="Q2701" s="20">
        <v>18447.45</v>
      </c>
      <c r="R2701" s="20">
        <v>23790.51</v>
      </c>
      <c r="S2701" s="20">
        <v>29505.88</v>
      </c>
      <c r="T2701" s="20">
        <v>38729.97</v>
      </c>
      <c r="U2701" s="20">
        <v>43980.28</v>
      </c>
      <c r="V2701" s="20">
        <v>51382.38</v>
      </c>
      <c r="W2701" s="20">
        <v>57779.93</v>
      </c>
      <c r="X2701" s="20">
        <v>65310.47</v>
      </c>
      <c r="Y2701" s="20">
        <v>71594.570000000007</v>
      </c>
      <c r="Z2701" s="20">
        <v>79005.210000000006</v>
      </c>
      <c r="AA2701" s="20">
        <v>4270.24</v>
      </c>
      <c r="AB2701" s="20">
        <v>7712.08</v>
      </c>
      <c r="AC2701" s="20">
        <v>10284.65</v>
      </c>
      <c r="AD2701" s="20">
        <v>13380.55</v>
      </c>
      <c r="AE2701" s="20">
        <v>17879.919999999998</v>
      </c>
      <c r="AF2701" s="20">
        <v>22926.18</v>
      </c>
      <c r="AG2701" s="20">
        <v>26020.45</v>
      </c>
      <c r="AH2701" s="20">
        <v>30124.63</v>
      </c>
      <c r="AI2701" s="20">
        <v>35900.269999999997</v>
      </c>
      <c r="AJ2701" s="20">
        <v>40936.83</v>
      </c>
      <c r="AK2701" s="20">
        <v>49244.59</v>
      </c>
      <c r="AL2701" s="20">
        <v>60755.31</v>
      </c>
      <c r="AM2701" s="20">
        <v>6554.75</v>
      </c>
      <c r="AN2701" s="20">
        <v>14707.76</v>
      </c>
      <c r="AO2701" s="20">
        <v>26280.23</v>
      </c>
    </row>
    <row r="2702" spans="1:41" ht="28.5" x14ac:dyDescent="0.2">
      <c r="A2702" s="2">
        <v>43</v>
      </c>
      <c r="B2702" s="4" t="s">
        <v>737</v>
      </c>
      <c r="C2702" s="31">
        <f>+C2712+C2748+C2749+C2803</f>
        <v>62661.51</v>
      </c>
      <c r="D2702" s="31">
        <f t="shared" ref="D2702:AO2702" si="87">+D2712+D2748+D2749+D2803</f>
        <v>-821150.17999999993</v>
      </c>
      <c r="E2702" s="31">
        <f t="shared" si="87"/>
        <v>256222.13</v>
      </c>
      <c r="F2702" s="31">
        <f t="shared" si="87"/>
        <v>406564.94</v>
      </c>
      <c r="G2702" s="31">
        <f t="shared" si="87"/>
        <v>746200.62</v>
      </c>
      <c r="H2702" s="31">
        <f t="shared" si="87"/>
        <v>1034223.27</v>
      </c>
      <c r="I2702" s="31">
        <f t="shared" si="87"/>
        <v>1287677.8600000001</v>
      </c>
      <c r="J2702" s="31">
        <f t="shared" si="87"/>
        <v>1386515.1099999999</v>
      </c>
      <c r="K2702" s="31">
        <f t="shared" si="87"/>
        <v>1919337.1300000001</v>
      </c>
      <c r="L2702" s="31">
        <f t="shared" si="87"/>
        <v>2101831.0999999996</v>
      </c>
      <c r="M2702" s="31">
        <f t="shared" si="87"/>
        <v>1970690.3299999998</v>
      </c>
      <c r="N2702" s="31">
        <f t="shared" si="87"/>
        <v>1941814.5200000003</v>
      </c>
      <c r="O2702" s="31">
        <f t="shared" si="87"/>
        <v>0</v>
      </c>
      <c r="P2702" s="31">
        <f t="shared" si="87"/>
        <v>0</v>
      </c>
      <c r="Q2702" s="31">
        <f t="shared" si="87"/>
        <v>635418.66</v>
      </c>
      <c r="R2702" s="31">
        <f t="shared" si="87"/>
        <v>623410.34</v>
      </c>
      <c r="S2702" s="31">
        <f t="shared" si="87"/>
        <v>817473.20000000007</v>
      </c>
      <c r="T2702" s="31">
        <f t="shared" si="87"/>
        <v>635418.65999999992</v>
      </c>
      <c r="U2702" s="31">
        <f t="shared" si="87"/>
        <v>664347.71</v>
      </c>
      <c r="V2702" s="31">
        <f t="shared" si="87"/>
        <v>724195.62999999989</v>
      </c>
      <c r="W2702" s="31">
        <f t="shared" si="87"/>
        <v>635418.65999999992</v>
      </c>
      <c r="X2702" s="31">
        <f t="shared" si="87"/>
        <v>723287.75</v>
      </c>
      <c r="Y2702" s="31">
        <f t="shared" si="87"/>
        <v>645814.8600000001</v>
      </c>
      <c r="Z2702" s="31">
        <f t="shared" si="87"/>
        <v>653840.93999999994</v>
      </c>
      <c r="AA2702" s="31">
        <f t="shared" si="87"/>
        <v>8988.68</v>
      </c>
      <c r="AB2702" s="31">
        <f t="shared" si="87"/>
        <v>8988.68</v>
      </c>
      <c r="AC2702" s="31">
        <f t="shared" si="87"/>
        <v>8988.68</v>
      </c>
      <c r="AD2702" s="31">
        <f t="shared" si="87"/>
        <v>8988.68</v>
      </c>
      <c r="AE2702" s="31">
        <f t="shared" si="87"/>
        <v>8988.68</v>
      </c>
      <c r="AF2702" s="31">
        <f t="shared" si="87"/>
        <v>8988.68</v>
      </c>
      <c r="AG2702" s="31">
        <f t="shared" si="87"/>
        <v>8988.68</v>
      </c>
      <c r="AH2702" s="31">
        <f t="shared" si="87"/>
        <v>8988.68</v>
      </c>
      <c r="AI2702" s="31">
        <f t="shared" si="87"/>
        <v>8988.68</v>
      </c>
      <c r="AJ2702" s="31">
        <f t="shared" si="87"/>
        <v>8988.68</v>
      </c>
      <c r="AK2702" s="31">
        <f t="shared" si="87"/>
        <v>8988.68</v>
      </c>
      <c r="AL2702" s="31">
        <f t="shared" si="87"/>
        <v>8738.68</v>
      </c>
      <c r="AM2702" s="31">
        <f t="shared" si="87"/>
        <v>0</v>
      </c>
      <c r="AN2702" s="31">
        <f t="shared" si="87"/>
        <v>0</v>
      </c>
      <c r="AO2702" s="31">
        <f t="shared" si="87"/>
        <v>0</v>
      </c>
    </row>
    <row r="2703" spans="1:41" ht="14.25" x14ac:dyDescent="0.2">
      <c r="A2703" s="2">
        <v>4301</v>
      </c>
      <c r="B2703" s="3" t="s">
        <v>738</v>
      </c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9"/>
      <c r="AD2703" s="9"/>
      <c r="AE2703" s="9"/>
      <c r="AF2703" s="9"/>
      <c r="AG2703" s="9"/>
      <c r="AH2703" s="9"/>
      <c r="AI2703" s="9"/>
      <c r="AJ2703" s="9"/>
      <c r="AK2703" s="9"/>
      <c r="AL2703" s="9"/>
      <c r="AM2703" s="9"/>
      <c r="AN2703" s="9"/>
      <c r="AO2703" s="9"/>
    </row>
    <row r="2704" spans="1:41" ht="14.25" x14ac:dyDescent="0.2">
      <c r="A2704" s="2">
        <v>430101</v>
      </c>
      <c r="B2704" s="3" t="s">
        <v>739</v>
      </c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  <c r="AO2704" s="9"/>
    </row>
    <row r="2705" spans="1:41" ht="28.5" x14ac:dyDescent="0.2">
      <c r="A2705" s="2">
        <v>43010103</v>
      </c>
      <c r="B2705" s="4" t="s">
        <v>87</v>
      </c>
      <c r="C2705" s="11"/>
      <c r="D2705" s="11"/>
      <c r="E2705" s="11"/>
      <c r="F2705" s="11"/>
      <c r="G2705" s="11"/>
      <c r="H2705" s="11"/>
      <c r="I2705" s="11"/>
      <c r="J2705" s="11"/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11"/>
      <c r="AG2705" s="11"/>
      <c r="AH2705" s="11"/>
      <c r="AI2705" s="11"/>
      <c r="AJ2705" s="11"/>
      <c r="AK2705" s="11"/>
      <c r="AL2705" s="11"/>
      <c r="AM2705" s="11"/>
      <c r="AN2705" s="11"/>
      <c r="AO2705" s="11"/>
    </row>
    <row r="2706" spans="1:41" ht="14.25" x14ac:dyDescent="0.2">
      <c r="A2706" s="2">
        <v>4301010305</v>
      </c>
      <c r="B2706" s="3" t="s">
        <v>39</v>
      </c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  <c r="AO2706" s="9"/>
    </row>
    <row r="2707" spans="1:41" ht="14.25" x14ac:dyDescent="0.2">
      <c r="A2707" s="2">
        <v>4301010306</v>
      </c>
      <c r="B2707" s="3" t="s">
        <v>42</v>
      </c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9"/>
      <c r="AB2707" s="9"/>
      <c r="AC2707" s="9"/>
      <c r="AD2707" s="9"/>
      <c r="AE2707" s="9"/>
      <c r="AF2707" s="9"/>
      <c r="AG2707" s="9"/>
      <c r="AH2707" s="9"/>
      <c r="AI2707" s="9"/>
      <c r="AJ2707" s="9"/>
      <c r="AK2707" s="9"/>
      <c r="AL2707" s="9"/>
      <c r="AM2707" s="9"/>
      <c r="AN2707" s="9"/>
      <c r="AO2707" s="9"/>
    </row>
    <row r="2708" spans="1:41" ht="14.25" x14ac:dyDescent="0.2">
      <c r="A2708" s="2">
        <v>4301010307</v>
      </c>
      <c r="B2708" s="3" t="s">
        <v>43</v>
      </c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  <c r="AO2708" s="9"/>
    </row>
    <row r="2709" spans="1:41" ht="28.5" x14ac:dyDescent="0.2">
      <c r="A2709" s="2">
        <v>4301010310</v>
      </c>
      <c r="B2709" s="4" t="s">
        <v>740</v>
      </c>
      <c r="C2709" s="11"/>
      <c r="D2709" s="11"/>
      <c r="E2709" s="11"/>
      <c r="F2709" s="11"/>
      <c r="G2709" s="11"/>
      <c r="H2709" s="11"/>
      <c r="I2709" s="11"/>
      <c r="J2709" s="11"/>
      <c r="K2709" s="11"/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  <c r="AA2709" s="11"/>
      <c r="AB2709" s="11"/>
      <c r="AC2709" s="11"/>
      <c r="AD2709" s="11"/>
      <c r="AE2709" s="11"/>
      <c r="AF2709" s="11"/>
      <c r="AG2709" s="11"/>
      <c r="AH2709" s="11"/>
      <c r="AI2709" s="11"/>
      <c r="AJ2709" s="11"/>
      <c r="AK2709" s="11"/>
      <c r="AL2709" s="11"/>
      <c r="AM2709" s="11"/>
      <c r="AN2709" s="11"/>
      <c r="AO2709" s="11"/>
    </row>
    <row r="2710" spans="1:41" ht="28.5" x14ac:dyDescent="0.2">
      <c r="A2710" s="2">
        <v>4301010311</v>
      </c>
      <c r="B2710" s="4" t="s">
        <v>50</v>
      </c>
      <c r="C2710" s="11"/>
      <c r="D2710" s="11"/>
      <c r="E2710" s="11"/>
      <c r="F2710" s="11"/>
      <c r="G2710" s="11"/>
      <c r="H2710" s="11"/>
      <c r="I2710" s="11"/>
      <c r="J2710" s="11"/>
      <c r="K2710" s="11"/>
      <c r="L2710" s="11"/>
      <c r="M2710" s="11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  <c r="AA2710" s="11"/>
      <c r="AB2710" s="11"/>
      <c r="AC2710" s="11"/>
      <c r="AD2710" s="11"/>
      <c r="AE2710" s="11"/>
      <c r="AF2710" s="11"/>
      <c r="AG2710" s="11"/>
      <c r="AH2710" s="11"/>
      <c r="AI2710" s="11"/>
      <c r="AJ2710" s="11"/>
      <c r="AK2710" s="11"/>
      <c r="AL2710" s="11"/>
      <c r="AM2710" s="11"/>
      <c r="AN2710" s="11"/>
      <c r="AO2710" s="11"/>
    </row>
    <row r="2711" spans="1:41" ht="28.5" x14ac:dyDescent="0.2">
      <c r="A2711" s="2">
        <v>4301010312</v>
      </c>
      <c r="B2711" s="4" t="s">
        <v>51</v>
      </c>
      <c r="C2711" s="11"/>
      <c r="D2711" s="11"/>
      <c r="E2711" s="11"/>
      <c r="F2711" s="11"/>
      <c r="G2711" s="11"/>
      <c r="H2711" s="11"/>
      <c r="I2711" s="11"/>
      <c r="J2711" s="11"/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11"/>
      <c r="AG2711" s="11"/>
      <c r="AH2711" s="11"/>
      <c r="AI2711" s="11"/>
      <c r="AJ2711" s="11"/>
      <c r="AK2711" s="11"/>
      <c r="AL2711" s="11"/>
      <c r="AM2711" s="11"/>
      <c r="AN2711" s="11"/>
      <c r="AO2711" s="11"/>
    </row>
    <row r="2712" spans="1:41" s="15" customFormat="1" ht="14.25" x14ac:dyDescent="0.2">
      <c r="A2712" s="18" t="s">
        <v>1716</v>
      </c>
      <c r="B2712" s="19" t="s">
        <v>1717</v>
      </c>
      <c r="C2712" s="20"/>
      <c r="D2712" s="20"/>
      <c r="E2712" s="20"/>
      <c r="F2712" s="20"/>
      <c r="G2712" s="20"/>
      <c r="H2712" s="20"/>
      <c r="I2712" s="20"/>
      <c r="J2712" s="20"/>
      <c r="K2712" s="20">
        <v>405903.39</v>
      </c>
      <c r="L2712" s="20">
        <v>405903.39</v>
      </c>
      <c r="M2712" s="20">
        <v>405903.39</v>
      </c>
      <c r="N2712" s="20">
        <v>405903.39</v>
      </c>
      <c r="O2712" s="20"/>
      <c r="P2712" s="20"/>
      <c r="Q2712" s="20">
        <v>750</v>
      </c>
      <c r="R2712" s="20">
        <v>750</v>
      </c>
      <c r="S2712" s="20">
        <v>750</v>
      </c>
      <c r="T2712" s="20">
        <v>750</v>
      </c>
      <c r="U2712" s="20">
        <v>750</v>
      </c>
      <c r="V2712" s="20">
        <v>750</v>
      </c>
      <c r="W2712" s="20">
        <v>750</v>
      </c>
      <c r="X2712" s="20">
        <v>750</v>
      </c>
      <c r="Y2712" s="20">
        <v>750</v>
      </c>
      <c r="Z2712" s="20">
        <v>750</v>
      </c>
      <c r="AA2712" s="20"/>
      <c r="AB2712" s="20"/>
      <c r="AC2712" s="20"/>
      <c r="AD2712" s="20"/>
      <c r="AE2712" s="20"/>
      <c r="AF2712" s="20"/>
      <c r="AG2712" s="20"/>
      <c r="AH2712" s="20"/>
      <c r="AI2712" s="20"/>
      <c r="AJ2712" s="20"/>
      <c r="AK2712" s="20"/>
      <c r="AL2712" s="20"/>
      <c r="AM2712" s="20"/>
      <c r="AN2712" s="20"/>
      <c r="AO2712" s="20"/>
    </row>
    <row r="2713" spans="1:41" ht="14.25" x14ac:dyDescent="0.2">
      <c r="A2713" s="2">
        <v>4301010318</v>
      </c>
      <c r="B2713" s="3" t="s">
        <v>78</v>
      </c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  <c r="AO2713" s="9"/>
    </row>
    <row r="2714" spans="1:41" ht="14.25" x14ac:dyDescent="0.2">
      <c r="A2714" s="2">
        <v>4301010319</v>
      </c>
      <c r="B2714" s="3" t="s">
        <v>53</v>
      </c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9"/>
      <c r="AN2714" s="9"/>
      <c r="AO2714" s="9"/>
    </row>
    <row r="2715" spans="1:41" ht="28.5" x14ac:dyDescent="0.2">
      <c r="A2715" s="2">
        <v>43010104</v>
      </c>
      <c r="B2715" s="4" t="s">
        <v>741</v>
      </c>
      <c r="C2715" s="11"/>
      <c r="D2715" s="11"/>
      <c r="E2715" s="11"/>
      <c r="F2715" s="11"/>
      <c r="G2715" s="11"/>
      <c r="H2715" s="11"/>
      <c r="I2715" s="11"/>
      <c r="J2715" s="11"/>
      <c r="K2715" s="11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  <c r="AA2715" s="11"/>
      <c r="AB2715" s="11"/>
      <c r="AC2715" s="11"/>
      <c r="AD2715" s="11"/>
      <c r="AE2715" s="11"/>
      <c r="AF2715" s="11"/>
      <c r="AG2715" s="11"/>
      <c r="AH2715" s="11"/>
      <c r="AI2715" s="11"/>
      <c r="AJ2715" s="11"/>
      <c r="AK2715" s="11"/>
      <c r="AL2715" s="11"/>
      <c r="AM2715" s="11"/>
      <c r="AN2715" s="11"/>
      <c r="AO2715" s="11"/>
    </row>
    <row r="2716" spans="1:41" ht="14.25" x14ac:dyDescent="0.2">
      <c r="A2716" s="2">
        <v>4301010401</v>
      </c>
      <c r="B2716" s="3" t="s">
        <v>55</v>
      </c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9"/>
      <c r="AB2716" s="9"/>
      <c r="AC2716" s="9"/>
      <c r="AD2716" s="9"/>
      <c r="AE2716" s="9"/>
      <c r="AF2716" s="9"/>
      <c r="AG2716" s="9"/>
      <c r="AH2716" s="9"/>
      <c r="AI2716" s="9"/>
      <c r="AJ2716" s="9"/>
      <c r="AK2716" s="9"/>
      <c r="AL2716" s="9"/>
      <c r="AM2716" s="9"/>
      <c r="AN2716" s="9"/>
      <c r="AO2716" s="9"/>
    </row>
    <row r="2717" spans="1:41" ht="14.25" x14ac:dyDescent="0.2">
      <c r="A2717" s="2">
        <v>4301010402</v>
      </c>
      <c r="B2717" s="3" t="s">
        <v>61</v>
      </c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9"/>
      <c r="AB2717" s="9"/>
      <c r="AC2717" s="9"/>
      <c r="AD2717" s="9"/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  <c r="AO2717" s="9"/>
    </row>
    <row r="2718" spans="1:41" ht="14.25" x14ac:dyDescent="0.2">
      <c r="A2718" s="2">
        <v>4301010403</v>
      </c>
      <c r="B2718" s="3" t="s">
        <v>62</v>
      </c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  <c r="AO2718" s="9"/>
    </row>
    <row r="2719" spans="1:41" ht="14.25" x14ac:dyDescent="0.2">
      <c r="A2719" s="2">
        <v>4301010405</v>
      </c>
      <c r="B2719" s="3" t="s">
        <v>39</v>
      </c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  <c r="AO2719" s="9"/>
    </row>
    <row r="2720" spans="1:41" ht="14.25" x14ac:dyDescent="0.2">
      <c r="A2720" s="2">
        <v>4301010406</v>
      </c>
      <c r="B2720" s="3" t="s">
        <v>42</v>
      </c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9"/>
      <c r="AN2720" s="9"/>
      <c r="AO2720" s="9"/>
    </row>
    <row r="2721" spans="1:41" ht="14.25" x14ac:dyDescent="0.2">
      <c r="A2721" s="2">
        <v>4301010407</v>
      </c>
      <c r="B2721" s="3" t="s">
        <v>43</v>
      </c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9"/>
    </row>
    <row r="2722" spans="1:41" ht="14.25" x14ac:dyDescent="0.2">
      <c r="A2722" s="2">
        <v>4301010410</v>
      </c>
      <c r="B2722" s="3" t="s">
        <v>742</v>
      </c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9"/>
    </row>
    <row r="2723" spans="1:41" ht="28.5" x14ac:dyDescent="0.2">
      <c r="A2723" s="2">
        <v>4301010411</v>
      </c>
      <c r="B2723" s="4" t="s">
        <v>50</v>
      </c>
      <c r="C2723" s="11"/>
      <c r="D2723" s="11"/>
      <c r="E2723" s="11"/>
      <c r="F2723" s="11"/>
      <c r="G2723" s="11"/>
      <c r="H2723" s="11"/>
      <c r="I2723" s="11"/>
      <c r="J2723" s="11"/>
      <c r="K2723" s="11"/>
      <c r="L2723" s="11"/>
      <c r="M2723" s="11"/>
      <c r="N2723" s="11"/>
      <c r="O2723" s="11"/>
      <c r="P2723" s="11"/>
      <c r="Q2723" s="11"/>
      <c r="R2723" s="11"/>
      <c r="S2723" s="11"/>
      <c r="T2723" s="11"/>
      <c r="U2723" s="11"/>
      <c r="V2723" s="11"/>
      <c r="W2723" s="11"/>
      <c r="X2723" s="11"/>
      <c r="Y2723" s="11"/>
      <c r="Z2723" s="11"/>
      <c r="AA2723" s="11"/>
      <c r="AB2723" s="11"/>
      <c r="AC2723" s="11"/>
      <c r="AD2723" s="11"/>
      <c r="AE2723" s="11"/>
      <c r="AF2723" s="11"/>
      <c r="AG2723" s="11"/>
      <c r="AH2723" s="11"/>
      <c r="AI2723" s="11"/>
      <c r="AJ2723" s="11"/>
      <c r="AK2723" s="11"/>
      <c r="AL2723" s="11"/>
      <c r="AM2723" s="11"/>
      <c r="AN2723" s="11"/>
      <c r="AO2723" s="11"/>
    </row>
    <row r="2724" spans="1:41" ht="28.5" x14ac:dyDescent="0.2">
      <c r="A2724" s="2">
        <v>4301010412</v>
      </c>
      <c r="B2724" s="4" t="s">
        <v>51</v>
      </c>
      <c r="C2724" s="11"/>
      <c r="D2724" s="11"/>
      <c r="E2724" s="11"/>
      <c r="F2724" s="11"/>
      <c r="G2724" s="11"/>
      <c r="H2724" s="11"/>
      <c r="I2724" s="11"/>
      <c r="J2724" s="11"/>
      <c r="K2724" s="11"/>
      <c r="L2724" s="11"/>
      <c r="M2724" s="11"/>
      <c r="N2724" s="11"/>
      <c r="O2724" s="11"/>
      <c r="P2724" s="11"/>
      <c r="Q2724" s="11"/>
      <c r="R2724" s="11"/>
      <c r="S2724" s="11"/>
      <c r="T2724" s="11"/>
      <c r="U2724" s="11"/>
      <c r="V2724" s="11"/>
      <c r="W2724" s="11"/>
      <c r="X2724" s="11"/>
      <c r="Y2724" s="11"/>
      <c r="Z2724" s="11"/>
      <c r="AA2724" s="11"/>
      <c r="AB2724" s="11"/>
      <c r="AC2724" s="11"/>
      <c r="AD2724" s="11"/>
      <c r="AE2724" s="11"/>
      <c r="AF2724" s="11"/>
      <c r="AG2724" s="11"/>
      <c r="AH2724" s="11"/>
      <c r="AI2724" s="11"/>
      <c r="AJ2724" s="11"/>
      <c r="AK2724" s="11"/>
      <c r="AL2724" s="11"/>
      <c r="AM2724" s="11"/>
      <c r="AN2724" s="11"/>
      <c r="AO2724" s="11"/>
    </row>
    <row r="2725" spans="1:41" ht="14.25" x14ac:dyDescent="0.2">
      <c r="A2725" s="2">
        <v>4301010418</v>
      </c>
      <c r="B2725" s="3" t="s">
        <v>78</v>
      </c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9"/>
    </row>
    <row r="2726" spans="1:41" ht="14.25" x14ac:dyDescent="0.2">
      <c r="A2726" s="2">
        <v>4301010419</v>
      </c>
      <c r="B2726" s="3" t="s">
        <v>59</v>
      </c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9"/>
    </row>
    <row r="2727" spans="1:41" ht="14.25" x14ac:dyDescent="0.2">
      <c r="A2727" s="2">
        <v>43010105</v>
      </c>
      <c r="B2727" s="3" t="s">
        <v>91</v>
      </c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9"/>
    </row>
    <row r="2728" spans="1:41" ht="14.25" x14ac:dyDescent="0.2">
      <c r="A2728" s="2">
        <v>4301010501</v>
      </c>
      <c r="B2728" s="3" t="s">
        <v>55</v>
      </c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9"/>
    </row>
    <row r="2729" spans="1:41" ht="14.25" x14ac:dyDescent="0.2">
      <c r="A2729" s="2">
        <v>4301010502</v>
      </c>
      <c r="B2729" s="3" t="s">
        <v>61</v>
      </c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9"/>
    </row>
    <row r="2730" spans="1:41" ht="14.25" x14ac:dyDescent="0.2">
      <c r="A2730" s="2">
        <v>4301010503</v>
      </c>
      <c r="B2730" s="3" t="s">
        <v>62</v>
      </c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9"/>
    </row>
    <row r="2731" spans="1:41" ht="14.25" x14ac:dyDescent="0.2">
      <c r="A2731" s="2">
        <v>4301010505</v>
      </c>
      <c r="B2731" s="3" t="s">
        <v>39</v>
      </c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  <c r="AO2731" s="9"/>
    </row>
    <row r="2732" spans="1:41" ht="14.25" x14ac:dyDescent="0.2">
      <c r="A2732" s="2">
        <v>4301010506</v>
      </c>
      <c r="B2732" s="3" t="s">
        <v>42</v>
      </c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9"/>
    </row>
    <row r="2733" spans="1:41" ht="14.25" x14ac:dyDescent="0.2">
      <c r="A2733" s="2">
        <v>4301010507</v>
      </c>
      <c r="B2733" s="3" t="s">
        <v>43</v>
      </c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  <c r="AO2733" s="9"/>
    </row>
    <row r="2734" spans="1:41" ht="28.5" x14ac:dyDescent="0.2">
      <c r="A2734" s="2">
        <v>4301010510</v>
      </c>
      <c r="B2734" s="4" t="s">
        <v>48</v>
      </c>
      <c r="C2734" s="11"/>
      <c r="D2734" s="11"/>
      <c r="E2734" s="11"/>
      <c r="F2734" s="11"/>
      <c r="G2734" s="11"/>
      <c r="H2734" s="11"/>
      <c r="I2734" s="11"/>
      <c r="J2734" s="11"/>
      <c r="K2734" s="11"/>
      <c r="L2734" s="11"/>
      <c r="M2734" s="11"/>
      <c r="N2734" s="11"/>
      <c r="O2734" s="11"/>
      <c r="P2734" s="11"/>
      <c r="Q2734" s="11"/>
      <c r="R2734" s="11"/>
      <c r="S2734" s="11"/>
      <c r="T2734" s="11"/>
      <c r="U2734" s="11"/>
      <c r="V2734" s="11"/>
      <c r="W2734" s="11"/>
      <c r="X2734" s="11"/>
      <c r="Y2734" s="11"/>
      <c r="Z2734" s="11"/>
      <c r="AA2734" s="11"/>
      <c r="AB2734" s="11"/>
      <c r="AC2734" s="11"/>
      <c r="AD2734" s="11"/>
      <c r="AE2734" s="11"/>
      <c r="AF2734" s="11"/>
      <c r="AG2734" s="11"/>
      <c r="AH2734" s="11"/>
      <c r="AI2734" s="11"/>
      <c r="AJ2734" s="11"/>
      <c r="AK2734" s="11"/>
      <c r="AL2734" s="11"/>
      <c r="AM2734" s="11"/>
      <c r="AN2734" s="11"/>
      <c r="AO2734" s="11"/>
    </row>
    <row r="2735" spans="1:41" ht="28.5" x14ac:dyDescent="0.2">
      <c r="A2735" s="2">
        <v>4301010511</v>
      </c>
      <c r="B2735" s="4" t="s">
        <v>50</v>
      </c>
      <c r="C2735" s="11"/>
      <c r="D2735" s="11"/>
      <c r="E2735" s="11"/>
      <c r="F2735" s="11"/>
      <c r="G2735" s="11"/>
      <c r="H2735" s="11"/>
      <c r="I2735" s="11"/>
      <c r="J2735" s="11"/>
      <c r="K2735" s="11"/>
      <c r="L2735" s="11"/>
      <c r="M2735" s="11"/>
      <c r="N2735" s="11"/>
      <c r="O2735" s="11"/>
      <c r="P2735" s="11"/>
      <c r="Q2735" s="11"/>
      <c r="R2735" s="11"/>
      <c r="S2735" s="11"/>
      <c r="T2735" s="11"/>
      <c r="U2735" s="11"/>
      <c r="V2735" s="11"/>
      <c r="W2735" s="11"/>
      <c r="X2735" s="11"/>
      <c r="Y2735" s="11"/>
      <c r="Z2735" s="11"/>
      <c r="AA2735" s="11"/>
      <c r="AB2735" s="11"/>
      <c r="AC2735" s="11"/>
      <c r="AD2735" s="11"/>
      <c r="AE2735" s="11"/>
      <c r="AF2735" s="11"/>
      <c r="AG2735" s="11"/>
      <c r="AH2735" s="11"/>
      <c r="AI2735" s="11"/>
      <c r="AJ2735" s="11"/>
      <c r="AK2735" s="11"/>
      <c r="AL2735" s="11"/>
      <c r="AM2735" s="11"/>
      <c r="AN2735" s="11"/>
      <c r="AO2735" s="11"/>
    </row>
    <row r="2736" spans="1:41" ht="28.5" x14ac:dyDescent="0.2">
      <c r="A2736" s="2">
        <v>4301010512</v>
      </c>
      <c r="B2736" s="4" t="s">
        <v>51</v>
      </c>
      <c r="C2736" s="11"/>
      <c r="D2736" s="11"/>
      <c r="E2736" s="11"/>
      <c r="F2736" s="11"/>
      <c r="G2736" s="11"/>
      <c r="H2736" s="11"/>
      <c r="I2736" s="11"/>
      <c r="J2736" s="11"/>
      <c r="K2736" s="11"/>
      <c r="L2736" s="11"/>
      <c r="M2736" s="11"/>
      <c r="N2736" s="11"/>
      <c r="O2736" s="11"/>
      <c r="P2736" s="11"/>
      <c r="Q2736" s="11"/>
      <c r="R2736" s="11"/>
      <c r="S2736" s="11"/>
      <c r="T2736" s="11"/>
      <c r="U2736" s="11"/>
      <c r="V2736" s="11"/>
      <c r="W2736" s="11"/>
      <c r="X2736" s="11"/>
      <c r="Y2736" s="11"/>
      <c r="Z2736" s="11"/>
      <c r="AA2736" s="11"/>
      <c r="AB2736" s="11"/>
      <c r="AC2736" s="11"/>
      <c r="AD2736" s="11"/>
      <c r="AE2736" s="11"/>
      <c r="AF2736" s="11"/>
      <c r="AG2736" s="11"/>
      <c r="AH2736" s="11"/>
      <c r="AI2736" s="11"/>
      <c r="AJ2736" s="11"/>
      <c r="AK2736" s="11"/>
      <c r="AL2736" s="11"/>
      <c r="AM2736" s="11"/>
      <c r="AN2736" s="11"/>
      <c r="AO2736" s="11"/>
    </row>
    <row r="2737" spans="1:41" ht="14.25" x14ac:dyDescent="0.2">
      <c r="A2737" s="2">
        <v>4301010518</v>
      </c>
      <c r="B2737" s="3" t="s">
        <v>78</v>
      </c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9"/>
    </row>
    <row r="2738" spans="1:41" ht="14.25" x14ac:dyDescent="0.2">
      <c r="A2738" s="2">
        <v>4301010519</v>
      </c>
      <c r="B2738" s="3" t="s">
        <v>59</v>
      </c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  <c r="AO2738" s="9"/>
    </row>
    <row r="2739" spans="1:41" ht="14.25" x14ac:dyDescent="0.2">
      <c r="A2739" s="2">
        <v>43010107</v>
      </c>
      <c r="B2739" s="3" t="s">
        <v>743</v>
      </c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  <c r="AO2739" s="9"/>
    </row>
    <row r="2740" spans="1:41" ht="14.25" x14ac:dyDescent="0.2">
      <c r="A2740" s="2">
        <v>4302</v>
      </c>
      <c r="B2740" s="3" t="s">
        <v>744</v>
      </c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  <c r="AO2740" s="9"/>
    </row>
    <row r="2741" spans="1:41" ht="14.25" x14ac:dyDescent="0.2">
      <c r="A2741" s="2">
        <v>430202</v>
      </c>
      <c r="B2741" s="3" t="s">
        <v>745</v>
      </c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9"/>
    </row>
    <row r="2742" spans="1:41" ht="14.25" x14ac:dyDescent="0.2">
      <c r="A2742" s="2">
        <v>43020201</v>
      </c>
      <c r="B2742" s="3" t="s">
        <v>207</v>
      </c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  <c r="AO2742" s="9"/>
    </row>
    <row r="2743" spans="1:41" ht="14.25" x14ac:dyDescent="0.2">
      <c r="A2743" s="2">
        <v>43020202</v>
      </c>
      <c r="B2743" s="3" t="s">
        <v>208</v>
      </c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9"/>
    </row>
    <row r="2744" spans="1:41" ht="14.25" x14ac:dyDescent="0.2">
      <c r="A2744" s="2">
        <v>4302020201</v>
      </c>
      <c r="B2744" s="3" t="s">
        <v>746</v>
      </c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9"/>
    </row>
    <row r="2745" spans="1:41" ht="14.25" x14ac:dyDescent="0.2">
      <c r="A2745" s="2">
        <v>4302020202</v>
      </c>
      <c r="B2745" s="3" t="s">
        <v>747</v>
      </c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9"/>
    </row>
    <row r="2746" spans="1:41" ht="28.5" x14ac:dyDescent="0.2">
      <c r="A2746" s="2">
        <v>43020204</v>
      </c>
      <c r="B2746" s="4" t="s">
        <v>748</v>
      </c>
      <c r="C2746" s="11"/>
      <c r="D2746" s="11"/>
      <c r="E2746" s="11"/>
      <c r="F2746" s="11"/>
      <c r="G2746" s="11"/>
      <c r="H2746" s="11"/>
      <c r="I2746" s="11"/>
      <c r="J2746" s="11"/>
      <c r="K2746" s="11"/>
      <c r="L2746" s="11"/>
      <c r="M2746" s="11"/>
      <c r="N2746" s="11"/>
      <c r="O2746" s="11"/>
      <c r="P2746" s="11"/>
      <c r="Q2746" s="11"/>
      <c r="R2746" s="11"/>
      <c r="S2746" s="11"/>
      <c r="T2746" s="11"/>
      <c r="U2746" s="11"/>
      <c r="V2746" s="11"/>
      <c r="W2746" s="11"/>
      <c r="X2746" s="11"/>
      <c r="Y2746" s="11"/>
      <c r="Z2746" s="11"/>
      <c r="AA2746" s="11"/>
      <c r="AB2746" s="11"/>
      <c r="AC2746" s="11"/>
      <c r="AD2746" s="11"/>
      <c r="AE2746" s="11"/>
      <c r="AF2746" s="11"/>
      <c r="AG2746" s="11"/>
      <c r="AH2746" s="11"/>
      <c r="AI2746" s="11"/>
      <c r="AJ2746" s="11"/>
      <c r="AK2746" s="11"/>
      <c r="AL2746" s="11"/>
      <c r="AM2746" s="11"/>
      <c r="AN2746" s="11"/>
      <c r="AO2746" s="11"/>
    </row>
    <row r="2747" spans="1:41" ht="14.25" x14ac:dyDescent="0.2">
      <c r="A2747" s="2">
        <v>430203</v>
      </c>
      <c r="B2747" s="3" t="s">
        <v>749</v>
      </c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9"/>
      <c r="AB2747" s="9"/>
      <c r="AC2747" s="9"/>
      <c r="AD2747" s="9"/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  <c r="AO2747" s="9"/>
    </row>
    <row r="2748" spans="1:41" s="15" customFormat="1" ht="14.25" x14ac:dyDescent="0.2">
      <c r="A2748" s="18" t="s">
        <v>1718</v>
      </c>
      <c r="B2748" s="19" t="s">
        <v>1719</v>
      </c>
      <c r="C2748" s="20">
        <v>73309.19</v>
      </c>
      <c r="D2748" s="20">
        <v>-792975.97</v>
      </c>
      <c r="E2748" s="20">
        <v>289078.46000000002</v>
      </c>
      <c r="F2748" s="20">
        <v>426829.3</v>
      </c>
      <c r="G2748" s="20">
        <v>755623.05</v>
      </c>
      <c r="H2748" s="20">
        <v>1039796.91</v>
      </c>
      <c r="I2748" s="20">
        <v>1282561.78</v>
      </c>
      <c r="J2748" s="20">
        <v>1365823.65</v>
      </c>
      <c r="K2748" s="20">
        <v>1256278.23</v>
      </c>
      <c r="L2748" s="20">
        <v>1438848.76</v>
      </c>
      <c r="M2748" s="20">
        <v>1307459.95</v>
      </c>
      <c r="N2748" s="20">
        <v>1278475.06</v>
      </c>
      <c r="O2748" s="20"/>
      <c r="P2748" s="20"/>
      <c r="Q2748" s="20">
        <v>631423.54</v>
      </c>
      <c r="R2748" s="20">
        <v>625589.86</v>
      </c>
      <c r="S2748" s="20">
        <v>830711.54</v>
      </c>
      <c r="T2748" s="20">
        <v>536204.59</v>
      </c>
      <c r="U2748" s="20">
        <v>561610.35</v>
      </c>
      <c r="V2748" s="20">
        <v>603857.56999999995</v>
      </c>
      <c r="W2748" s="20">
        <v>368478.44</v>
      </c>
      <c r="X2748" s="20">
        <v>439448.6</v>
      </c>
      <c r="Y2748" s="20">
        <v>348941.09</v>
      </c>
      <c r="Z2748" s="20">
        <v>356967.17</v>
      </c>
      <c r="AA2748" s="20">
        <v>8988.68</v>
      </c>
      <c r="AB2748" s="20">
        <v>8988.68</v>
      </c>
      <c r="AC2748" s="20">
        <v>8988.68</v>
      </c>
      <c r="AD2748" s="20">
        <v>8988.68</v>
      </c>
      <c r="AE2748" s="20">
        <v>8988.68</v>
      </c>
      <c r="AF2748" s="20">
        <v>8988.68</v>
      </c>
      <c r="AG2748" s="20">
        <v>8988.68</v>
      </c>
      <c r="AH2748" s="20">
        <v>8988.68</v>
      </c>
      <c r="AI2748" s="20">
        <v>8988.68</v>
      </c>
      <c r="AJ2748" s="20">
        <v>8988.68</v>
      </c>
      <c r="AK2748" s="20">
        <v>8988.68</v>
      </c>
      <c r="AL2748" s="20">
        <v>8738.68</v>
      </c>
      <c r="AM2748" s="20"/>
      <c r="AN2748" s="20"/>
      <c r="AO2748" s="20"/>
    </row>
    <row r="2749" spans="1:41" s="15" customFormat="1" ht="14.25" x14ac:dyDescent="0.2">
      <c r="A2749" s="18" t="s">
        <v>1720</v>
      </c>
      <c r="B2749" s="19" t="s">
        <v>1721</v>
      </c>
      <c r="C2749" s="20">
        <v>-10647.68</v>
      </c>
      <c r="D2749" s="20">
        <v>-28174.21</v>
      </c>
      <c r="E2749" s="20">
        <v>-32856.33</v>
      </c>
      <c r="F2749" s="20">
        <v>-20264.36</v>
      </c>
      <c r="G2749" s="20">
        <v>-9422.43</v>
      </c>
      <c r="H2749" s="20">
        <v>-5573.64</v>
      </c>
      <c r="I2749" s="20">
        <v>5116.08</v>
      </c>
      <c r="J2749" s="20">
        <v>20691.46</v>
      </c>
      <c r="K2749" s="20">
        <v>25388.240000000002</v>
      </c>
      <c r="L2749" s="20">
        <v>25311.68</v>
      </c>
      <c r="M2749" s="20">
        <v>25559.72</v>
      </c>
      <c r="N2749" s="20">
        <v>25668.799999999999</v>
      </c>
      <c r="O2749" s="20"/>
      <c r="P2749" s="20"/>
      <c r="Q2749" s="20">
        <v>3245.12</v>
      </c>
      <c r="R2749" s="20">
        <v>-2929.52</v>
      </c>
      <c r="S2749" s="20">
        <v>-13988.34</v>
      </c>
      <c r="T2749" s="20">
        <v>98464.07</v>
      </c>
      <c r="U2749" s="20">
        <v>101987.36</v>
      </c>
      <c r="V2749" s="20">
        <v>119588.06</v>
      </c>
      <c r="W2749" s="20">
        <v>266190.21999999997</v>
      </c>
      <c r="X2749" s="20">
        <v>283089.15000000002</v>
      </c>
      <c r="Y2749" s="20">
        <v>296123.77</v>
      </c>
      <c r="Z2749" s="20">
        <v>296123.77</v>
      </c>
      <c r="AA2749" s="20"/>
      <c r="AB2749" s="20"/>
      <c r="AC2749" s="20"/>
      <c r="AD2749" s="20"/>
      <c r="AE2749" s="20"/>
      <c r="AF2749" s="20"/>
      <c r="AG2749" s="20"/>
      <c r="AH2749" s="20"/>
      <c r="AI2749" s="20"/>
      <c r="AJ2749" s="20"/>
      <c r="AK2749" s="20"/>
      <c r="AL2749" s="20"/>
      <c r="AM2749" s="20"/>
      <c r="AN2749" s="20"/>
      <c r="AO2749" s="20"/>
    </row>
    <row r="2750" spans="1:41" ht="14.25" x14ac:dyDescent="0.2">
      <c r="A2750" s="2">
        <v>43020302</v>
      </c>
      <c r="B2750" s="3" t="s">
        <v>208</v>
      </c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  <c r="AO2750" s="9"/>
    </row>
    <row r="2751" spans="1:41" ht="14.25" x14ac:dyDescent="0.2">
      <c r="A2751" s="2">
        <v>4302030201</v>
      </c>
      <c r="B2751" s="3" t="s">
        <v>746</v>
      </c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9"/>
    </row>
    <row r="2752" spans="1:41" ht="14.25" x14ac:dyDescent="0.2">
      <c r="A2752" s="2">
        <v>4302030202</v>
      </c>
      <c r="B2752" s="3" t="s">
        <v>747</v>
      </c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9"/>
    </row>
    <row r="2753" spans="1:41" ht="14.25" x14ac:dyDescent="0.2">
      <c r="A2753" s="2">
        <v>43020304</v>
      </c>
      <c r="B2753" s="3" t="s">
        <v>750</v>
      </c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9"/>
    </row>
    <row r="2754" spans="1:41" ht="14.25" x14ac:dyDescent="0.2">
      <c r="A2754" s="2">
        <v>430204</v>
      </c>
      <c r="B2754" s="3" t="s">
        <v>751</v>
      </c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9"/>
    </row>
    <row r="2755" spans="1:41" ht="14.25" x14ac:dyDescent="0.2">
      <c r="A2755" s="2">
        <v>43020401</v>
      </c>
      <c r="B2755" s="3" t="s">
        <v>207</v>
      </c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9"/>
    </row>
    <row r="2756" spans="1:41" ht="14.25" x14ac:dyDescent="0.2">
      <c r="A2756" s="2">
        <v>43020402</v>
      </c>
      <c r="B2756" s="3" t="s">
        <v>208</v>
      </c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9"/>
    </row>
    <row r="2757" spans="1:41" ht="14.25" x14ac:dyDescent="0.2">
      <c r="A2757" s="2">
        <v>4302040201</v>
      </c>
      <c r="B2757" s="3" t="s">
        <v>746</v>
      </c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9"/>
    </row>
    <row r="2758" spans="1:41" ht="14.25" x14ac:dyDescent="0.2">
      <c r="A2758" s="2">
        <v>4302040202</v>
      </c>
      <c r="B2758" s="3" t="s">
        <v>747</v>
      </c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9"/>
    </row>
    <row r="2759" spans="1:41" ht="14.25" x14ac:dyDescent="0.2">
      <c r="A2759" s="2">
        <v>43020404</v>
      </c>
      <c r="B2759" s="3" t="s">
        <v>750</v>
      </c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  <c r="AO2759" s="9"/>
    </row>
    <row r="2760" spans="1:41" x14ac:dyDescent="0.2">
      <c r="A2760" s="5">
        <v>430207</v>
      </c>
      <c r="B2760" s="6" t="s">
        <v>752</v>
      </c>
      <c r="C2760" s="12"/>
      <c r="D2760" s="12"/>
      <c r="E2760" s="12"/>
      <c r="F2760" s="12"/>
      <c r="G2760" s="12"/>
      <c r="H2760" s="12"/>
      <c r="I2760" s="12"/>
      <c r="J2760" s="12"/>
      <c r="K2760" s="12"/>
      <c r="L2760" s="12"/>
      <c r="M2760" s="12"/>
      <c r="N2760" s="12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  <c r="AA2760" s="12"/>
      <c r="AB2760" s="12"/>
      <c r="AC2760" s="12"/>
      <c r="AD2760" s="12"/>
      <c r="AE2760" s="12"/>
      <c r="AF2760" s="12"/>
      <c r="AG2760" s="12"/>
      <c r="AH2760" s="12"/>
      <c r="AI2760" s="12"/>
      <c r="AJ2760" s="12"/>
      <c r="AK2760" s="12"/>
      <c r="AL2760" s="12"/>
      <c r="AM2760" s="12"/>
      <c r="AN2760" s="12"/>
      <c r="AO2760" s="12"/>
    </row>
    <row r="2761" spans="1:41" x14ac:dyDescent="0.2">
      <c r="A2761" s="5">
        <v>43020701</v>
      </c>
      <c r="B2761" s="6" t="s">
        <v>215</v>
      </c>
      <c r="C2761" s="12"/>
      <c r="D2761" s="12"/>
      <c r="E2761" s="12"/>
      <c r="F2761" s="12"/>
      <c r="G2761" s="12"/>
      <c r="H2761" s="12"/>
      <c r="I2761" s="12"/>
      <c r="J2761" s="12"/>
      <c r="K2761" s="12"/>
      <c r="L2761" s="12"/>
      <c r="M2761" s="12"/>
      <c r="N2761" s="12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  <c r="AA2761" s="12"/>
      <c r="AB2761" s="12"/>
      <c r="AC2761" s="12"/>
      <c r="AD2761" s="12"/>
      <c r="AE2761" s="12"/>
      <c r="AF2761" s="12"/>
      <c r="AG2761" s="12"/>
      <c r="AH2761" s="12"/>
      <c r="AI2761" s="12"/>
      <c r="AJ2761" s="12"/>
      <c r="AK2761" s="12"/>
      <c r="AL2761" s="12"/>
      <c r="AM2761" s="12"/>
      <c r="AN2761" s="12"/>
      <c r="AO2761" s="12"/>
    </row>
    <row r="2762" spans="1:41" x14ac:dyDescent="0.2">
      <c r="A2762" s="5">
        <v>43020702</v>
      </c>
      <c r="B2762" s="6" t="s">
        <v>216</v>
      </c>
      <c r="C2762" s="12"/>
      <c r="D2762" s="12"/>
      <c r="E2762" s="12"/>
      <c r="F2762" s="12"/>
      <c r="G2762" s="12"/>
      <c r="H2762" s="12"/>
      <c r="I2762" s="12"/>
      <c r="J2762" s="12"/>
      <c r="K2762" s="12"/>
      <c r="L2762" s="12"/>
      <c r="M2762" s="12"/>
      <c r="N2762" s="12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  <c r="AA2762" s="12"/>
      <c r="AB2762" s="12"/>
      <c r="AC2762" s="12"/>
      <c r="AD2762" s="12"/>
      <c r="AE2762" s="12"/>
      <c r="AF2762" s="12"/>
      <c r="AG2762" s="12"/>
      <c r="AH2762" s="12"/>
      <c r="AI2762" s="12"/>
      <c r="AJ2762" s="12"/>
      <c r="AK2762" s="12"/>
      <c r="AL2762" s="12"/>
      <c r="AM2762" s="12"/>
      <c r="AN2762" s="12"/>
      <c r="AO2762" s="12"/>
    </row>
    <row r="2763" spans="1:41" x14ac:dyDescent="0.2">
      <c r="A2763" s="5">
        <v>4302070201</v>
      </c>
      <c r="B2763" s="6" t="s">
        <v>753</v>
      </c>
      <c r="C2763" s="12"/>
      <c r="D2763" s="12"/>
      <c r="E2763" s="12"/>
      <c r="F2763" s="12"/>
      <c r="G2763" s="12"/>
      <c r="H2763" s="12"/>
      <c r="I2763" s="12"/>
      <c r="J2763" s="12"/>
      <c r="K2763" s="12"/>
      <c r="L2763" s="12"/>
      <c r="M2763" s="12"/>
      <c r="N2763" s="12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2"/>
      <c r="AB2763" s="12"/>
      <c r="AC2763" s="12"/>
      <c r="AD2763" s="12"/>
      <c r="AE2763" s="12"/>
      <c r="AF2763" s="12"/>
      <c r="AG2763" s="12"/>
      <c r="AH2763" s="12"/>
      <c r="AI2763" s="12"/>
      <c r="AJ2763" s="12"/>
      <c r="AK2763" s="12"/>
      <c r="AL2763" s="12"/>
      <c r="AM2763" s="12"/>
      <c r="AN2763" s="12"/>
      <c r="AO2763" s="12"/>
    </row>
    <row r="2764" spans="1:41" x14ac:dyDescent="0.2">
      <c r="A2764" s="5">
        <v>4302070202</v>
      </c>
      <c r="B2764" s="6" t="s">
        <v>754</v>
      </c>
      <c r="C2764" s="12"/>
      <c r="D2764" s="12"/>
      <c r="E2764" s="12"/>
      <c r="F2764" s="12"/>
      <c r="G2764" s="12"/>
      <c r="H2764" s="12"/>
      <c r="I2764" s="12"/>
      <c r="J2764" s="12"/>
      <c r="K2764" s="12"/>
      <c r="L2764" s="12"/>
      <c r="M2764" s="12"/>
      <c r="N2764" s="12"/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  <c r="AA2764" s="12"/>
      <c r="AB2764" s="12"/>
      <c r="AC2764" s="12"/>
      <c r="AD2764" s="12"/>
      <c r="AE2764" s="12"/>
      <c r="AF2764" s="12"/>
      <c r="AG2764" s="12"/>
      <c r="AH2764" s="12"/>
      <c r="AI2764" s="12"/>
      <c r="AJ2764" s="12"/>
      <c r="AK2764" s="12"/>
      <c r="AL2764" s="12"/>
      <c r="AM2764" s="12"/>
      <c r="AN2764" s="12"/>
      <c r="AO2764" s="12"/>
    </row>
    <row r="2765" spans="1:41" x14ac:dyDescent="0.2">
      <c r="A2765" s="5">
        <v>43020704</v>
      </c>
      <c r="B2765" s="6" t="s">
        <v>755</v>
      </c>
      <c r="C2765" s="12"/>
      <c r="D2765" s="12"/>
      <c r="E2765" s="12"/>
      <c r="F2765" s="12"/>
      <c r="G2765" s="12"/>
      <c r="H2765" s="12"/>
      <c r="I2765" s="12"/>
      <c r="J2765" s="12"/>
      <c r="K2765" s="12"/>
      <c r="L2765" s="12"/>
      <c r="M2765" s="12"/>
      <c r="N2765" s="12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  <c r="AB2765" s="12"/>
      <c r="AC2765" s="12"/>
      <c r="AD2765" s="12"/>
      <c r="AE2765" s="12"/>
      <c r="AF2765" s="12"/>
      <c r="AG2765" s="12"/>
      <c r="AH2765" s="12"/>
      <c r="AI2765" s="12"/>
      <c r="AJ2765" s="12"/>
      <c r="AK2765" s="12"/>
      <c r="AL2765" s="12"/>
      <c r="AM2765" s="12"/>
      <c r="AN2765" s="12"/>
      <c r="AO2765" s="12"/>
    </row>
    <row r="2766" spans="1:41" ht="14.25" x14ac:dyDescent="0.2">
      <c r="A2766" s="2">
        <v>430209</v>
      </c>
      <c r="B2766" s="3" t="s">
        <v>756</v>
      </c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  <c r="AO2766" s="9"/>
    </row>
    <row r="2767" spans="1:41" ht="14.25" x14ac:dyDescent="0.2">
      <c r="A2767" s="2">
        <v>43020901</v>
      </c>
      <c r="B2767" s="3" t="s">
        <v>207</v>
      </c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  <c r="AO2767" s="9"/>
    </row>
    <row r="2768" spans="1:41" ht="14.25" x14ac:dyDescent="0.2">
      <c r="A2768" s="2">
        <v>43020902</v>
      </c>
      <c r="B2768" s="3" t="s">
        <v>208</v>
      </c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9"/>
      <c r="AH2768" s="9"/>
      <c r="AI2768" s="9"/>
      <c r="AJ2768" s="9"/>
      <c r="AK2768" s="9"/>
      <c r="AL2768" s="9"/>
      <c r="AM2768" s="9"/>
      <c r="AN2768" s="9"/>
      <c r="AO2768" s="9"/>
    </row>
    <row r="2769" spans="1:41" ht="14.25" x14ac:dyDescent="0.2">
      <c r="A2769" s="2">
        <v>4302090201</v>
      </c>
      <c r="B2769" s="3" t="s">
        <v>746</v>
      </c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  <c r="AO2769" s="9"/>
    </row>
    <row r="2770" spans="1:41" ht="14.25" x14ac:dyDescent="0.2">
      <c r="A2770" s="2">
        <v>4302090202</v>
      </c>
      <c r="B2770" s="3" t="s">
        <v>747</v>
      </c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9"/>
    </row>
    <row r="2771" spans="1:41" ht="14.25" x14ac:dyDescent="0.2">
      <c r="A2771" s="2">
        <v>43020904</v>
      </c>
      <c r="B2771" s="3" t="s">
        <v>750</v>
      </c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9"/>
    </row>
    <row r="2772" spans="1:41" ht="14.25" x14ac:dyDescent="0.2">
      <c r="A2772" s="2">
        <v>430210</v>
      </c>
      <c r="B2772" s="3" t="s">
        <v>757</v>
      </c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  <c r="AO2772" s="9"/>
    </row>
    <row r="2773" spans="1:41" ht="14.25" x14ac:dyDescent="0.2">
      <c r="A2773" s="2">
        <v>43021001</v>
      </c>
      <c r="B2773" s="3" t="s">
        <v>207</v>
      </c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  <c r="AO2773" s="9"/>
    </row>
    <row r="2774" spans="1:41" ht="14.25" x14ac:dyDescent="0.2">
      <c r="A2774" s="2">
        <v>43021002</v>
      </c>
      <c r="B2774" s="3" t="s">
        <v>208</v>
      </c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9"/>
    </row>
    <row r="2775" spans="1:41" ht="14.25" x14ac:dyDescent="0.2">
      <c r="A2775" s="2">
        <v>4302100201</v>
      </c>
      <c r="B2775" s="3" t="s">
        <v>746</v>
      </c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9"/>
    </row>
    <row r="2776" spans="1:41" ht="14.25" x14ac:dyDescent="0.2">
      <c r="A2776" s="2">
        <v>4302100202</v>
      </c>
      <c r="B2776" s="3" t="s">
        <v>747</v>
      </c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9"/>
    </row>
    <row r="2777" spans="1:41" ht="28.5" x14ac:dyDescent="0.2">
      <c r="A2777" s="2">
        <v>43021004</v>
      </c>
      <c r="B2777" s="4" t="s">
        <v>748</v>
      </c>
      <c r="C2777" s="11"/>
      <c r="D2777" s="11"/>
      <c r="E2777" s="11"/>
      <c r="F2777" s="11"/>
      <c r="G2777" s="11"/>
      <c r="H2777" s="11"/>
      <c r="I2777" s="11"/>
      <c r="J2777" s="11"/>
      <c r="K2777" s="11"/>
      <c r="L2777" s="11"/>
      <c r="M2777" s="11"/>
      <c r="N2777" s="11"/>
      <c r="O2777" s="11"/>
      <c r="P2777" s="11"/>
      <c r="Q2777" s="11"/>
      <c r="R2777" s="11"/>
      <c r="S2777" s="11"/>
      <c r="T2777" s="11"/>
      <c r="U2777" s="11"/>
      <c r="V2777" s="11"/>
      <c r="W2777" s="11"/>
      <c r="X2777" s="11"/>
      <c r="Y2777" s="11"/>
      <c r="Z2777" s="11"/>
      <c r="AA2777" s="11"/>
      <c r="AB2777" s="11"/>
      <c r="AC2777" s="11"/>
      <c r="AD2777" s="11"/>
      <c r="AE2777" s="11"/>
      <c r="AF2777" s="11"/>
      <c r="AG2777" s="11"/>
      <c r="AH2777" s="11"/>
      <c r="AI2777" s="11"/>
      <c r="AJ2777" s="11"/>
      <c r="AK2777" s="11"/>
      <c r="AL2777" s="11"/>
      <c r="AM2777" s="11"/>
      <c r="AN2777" s="11"/>
      <c r="AO2777" s="11"/>
    </row>
    <row r="2778" spans="1:41" ht="14.25" x14ac:dyDescent="0.2">
      <c r="A2778" s="2">
        <v>430211</v>
      </c>
      <c r="B2778" s="3" t="s">
        <v>758</v>
      </c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9"/>
      <c r="AN2778" s="9"/>
      <c r="AO2778" s="9"/>
    </row>
    <row r="2779" spans="1:41" ht="14.25" x14ac:dyDescent="0.2">
      <c r="A2779" s="2">
        <v>43021101</v>
      </c>
      <c r="B2779" s="3" t="s">
        <v>207</v>
      </c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  <c r="AO2779" s="9"/>
    </row>
    <row r="2780" spans="1:41" ht="14.25" x14ac:dyDescent="0.2">
      <c r="A2780" s="2">
        <v>43021102</v>
      </c>
      <c r="B2780" s="3" t="s">
        <v>208</v>
      </c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  <c r="AO2780" s="9"/>
    </row>
    <row r="2781" spans="1:41" ht="14.25" x14ac:dyDescent="0.2">
      <c r="A2781" s="2">
        <v>4302110201</v>
      </c>
      <c r="B2781" s="3" t="s">
        <v>746</v>
      </c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9"/>
      <c r="AH2781" s="9"/>
      <c r="AI2781" s="9"/>
      <c r="AJ2781" s="9"/>
      <c r="AK2781" s="9"/>
      <c r="AL2781" s="9"/>
      <c r="AM2781" s="9"/>
      <c r="AN2781" s="9"/>
      <c r="AO2781" s="9"/>
    </row>
    <row r="2782" spans="1:41" ht="14.25" x14ac:dyDescent="0.2">
      <c r="A2782" s="2">
        <v>4302110202</v>
      </c>
      <c r="B2782" s="3" t="s">
        <v>747</v>
      </c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  <c r="AB2782" s="9"/>
      <c r="AC2782" s="9"/>
      <c r="AD2782" s="9"/>
      <c r="AE2782" s="9"/>
      <c r="AF2782" s="9"/>
      <c r="AG2782" s="9"/>
      <c r="AH2782" s="9"/>
      <c r="AI2782" s="9"/>
      <c r="AJ2782" s="9"/>
      <c r="AK2782" s="9"/>
      <c r="AL2782" s="9"/>
      <c r="AM2782" s="9"/>
      <c r="AN2782" s="9"/>
      <c r="AO2782" s="9"/>
    </row>
    <row r="2783" spans="1:41" ht="28.5" x14ac:dyDescent="0.2">
      <c r="A2783" s="2">
        <v>43021104</v>
      </c>
      <c r="B2783" s="4" t="s">
        <v>748</v>
      </c>
      <c r="C2783" s="11"/>
      <c r="D2783" s="11"/>
      <c r="E2783" s="11"/>
      <c r="F2783" s="11"/>
      <c r="G2783" s="11"/>
      <c r="H2783" s="11"/>
      <c r="I2783" s="11"/>
      <c r="J2783" s="11"/>
      <c r="K2783" s="11"/>
      <c r="L2783" s="11"/>
      <c r="M2783" s="11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  <c r="Y2783" s="11"/>
      <c r="Z2783" s="11"/>
      <c r="AA2783" s="11"/>
      <c r="AB2783" s="11"/>
      <c r="AC2783" s="11"/>
      <c r="AD2783" s="11"/>
      <c r="AE2783" s="11"/>
      <c r="AF2783" s="11"/>
      <c r="AG2783" s="11"/>
      <c r="AH2783" s="11"/>
      <c r="AI2783" s="11"/>
      <c r="AJ2783" s="11"/>
      <c r="AK2783" s="11"/>
      <c r="AL2783" s="11"/>
      <c r="AM2783" s="11"/>
      <c r="AN2783" s="11"/>
      <c r="AO2783" s="11"/>
    </row>
    <row r="2784" spans="1:41" ht="14.25" x14ac:dyDescent="0.2">
      <c r="A2784" s="2">
        <v>430212</v>
      </c>
      <c r="B2784" s="3" t="s">
        <v>759</v>
      </c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  <c r="AO2784" s="9"/>
    </row>
    <row r="2785" spans="1:41" ht="14.25" x14ac:dyDescent="0.2">
      <c r="A2785" s="2">
        <v>43021201</v>
      </c>
      <c r="B2785" s="3" t="s">
        <v>207</v>
      </c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</row>
    <row r="2786" spans="1:41" ht="14.25" x14ac:dyDescent="0.2">
      <c r="A2786" s="2">
        <v>43021202</v>
      </c>
      <c r="B2786" s="3" t="s">
        <v>208</v>
      </c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9"/>
    </row>
    <row r="2787" spans="1:41" ht="14.25" x14ac:dyDescent="0.2">
      <c r="A2787" s="2">
        <v>4302120201</v>
      </c>
      <c r="B2787" s="3" t="s">
        <v>746</v>
      </c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9"/>
      <c r="AE2787" s="9"/>
      <c r="AF2787" s="9"/>
      <c r="AG2787" s="9"/>
      <c r="AH2787" s="9"/>
      <c r="AI2787" s="9"/>
      <c r="AJ2787" s="9"/>
      <c r="AK2787" s="9"/>
      <c r="AL2787" s="9"/>
      <c r="AM2787" s="9"/>
      <c r="AN2787" s="9"/>
      <c r="AO2787" s="9"/>
    </row>
    <row r="2788" spans="1:41" ht="14.25" x14ac:dyDescent="0.2">
      <c r="A2788" s="2">
        <v>4302120202</v>
      </c>
      <c r="B2788" s="3" t="s">
        <v>747</v>
      </c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  <c r="AO2788" s="9"/>
    </row>
    <row r="2789" spans="1:41" ht="28.5" x14ac:dyDescent="0.2">
      <c r="A2789" s="2">
        <v>43021204</v>
      </c>
      <c r="B2789" s="4" t="s">
        <v>748</v>
      </c>
      <c r="C2789" s="11"/>
      <c r="D2789" s="11"/>
      <c r="E2789" s="11"/>
      <c r="F2789" s="11"/>
      <c r="G2789" s="11"/>
      <c r="H2789" s="11"/>
      <c r="I2789" s="11"/>
      <c r="J2789" s="11"/>
      <c r="K2789" s="11"/>
      <c r="L2789" s="11"/>
      <c r="M2789" s="11"/>
      <c r="N2789" s="11"/>
      <c r="O2789" s="11"/>
      <c r="P2789" s="11"/>
      <c r="Q2789" s="11"/>
      <c r="R2789" s="11"/>
      <c r="S2789" s="11"/>
      <c r="T2789" s="11"/>
      <c r="U2789" s="11"/>
      <c r="V2789" s="11"/>
      <c r="W2789" s="11"/>
      <c r="X2789" s="11"/>
      <c r="Y2789" s="11"/>
      <c r="Z2789" s="11"/>
      <c r="AA2789" s="11"/>
      <c r="AB2789" s="11"/>
      <c r="AC2789" s="11"/>
      <c r="AD2789" s="11"/>
      <c r="AE2789" s="11"/>
      <c r="AF2789" s="11"/>
      <c r="AG2789" s="11"/>
      <c r="AH2789" s="11"/>
      <c r="AI2789" s="11"/>
      <c r="AJ2789" s="11"/>
      <c r="AK2789" s="11"/>
      <c r="AL2789" s="11"/>
      <c r="AM2789" s="11"/>
      <c r="AN2789" s="11"/>
      <c r="AO2789" s="11"/>
    </row>
    <row r="2790" spans="1:41" ht="14.25" x14ac:dyDescent="0.2">
      <c r="A2790" s="2">
        <v>430213</v>
      </c>
      <c r="B2790" s="3" t="s">
        <v>760</v>
      </c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  <c r="AO2790" s="9"/>
    </row>
    <row r="2791" spans="1:41" ht="14.25" x14ac:dyDescent="0.2">
      <c r="A2791" s="2">
        <v>43021301</v>
      </c>
      <c r="B2791" s="3" t="s">
        <v>207</v>
      </c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9"/>
      <c r="AE2791" s="9"/>
      <c r="AF2791" s="9"/>
      <c r="AG2791" s="9"/>
      <c r="AH2791" s="9"/>
      <c r="AI2791" s="9"/>
      <c r="AJ2791" s="9"/>
      <c r="AK2791" s="9"/>
      <c r="AL2791" s="9"/>
      <c r="AM2791" s="9"/>
      <c r="AN2791" s="9"/>
      <c r="AO2791" s="9"/>
    </row>
    <row r="2792" spans="1:41" ht="14.25" x14ac:dyDescent="0.2">
      <c r="A2792" s="2">
        <v>43021302</v>
      </c>
      <c r="B2792" s="3" t="s">
        <v>208</v>
      </c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  <c r="AO2792" s="9"/>
    </row>
    <row r="2793" spans="1:41" ht="14.25" x14ac:dyDescent="0.2">
      <c r="A2793" s="2">
        <v>4302130201</v>
      </c>
      <c r="B2793" s="3" t="s">
        <v>746</v>
      </c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  <c r="AO2793" s="9"/>
    </row>
    <row r="2794" spans="1:41" ht="14.25" x14ac:dyDescent="0.2">
      <c r="A2794" s="2">
        <v>4302130202</v>
      </c>
      <c r="B2794" s="3" t="s">
        <v>747</v>
      </c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  <c r="AO2794" s="9"/>
    </row>
    <row r="2795" spans="1:41" ht="28.5" x14ac:dyDescent="0.2">
      <c r="A2795" s="2">
        <v>43021304</v>
      </c>
      <c r="B2795" s="4" t="s">
        <v>748</v>
      </c>
      <c r="C2795" s="11"/>
      <c r="D2795" s="11"/>
      <c r="E2795" s="11"/>
      <c r="F2795" s="11"/>
      <c r="G2795" s="11"/>
      <c r="H2795" s="11"/>
      <c r="I2795" s="11"/>
      <c r="J2795" s="11"/>
      <c r="K2795" s="11"/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  <c r="V2795" s="11"/>
      <c r="W2795" s="11"/>
      <c r="X2795" s="11"/>
      <c r="Y2795" s="11"/>
      <c r="Z2795" s="11"/>
      <c r="AA2795" s="11"/>
      <c r="AB2795" s="11"/>
      <c r="AC2795" s="11"/>
      <c r="AD2795" s="11"/>
      <c r="AE2795" s="11"/>
      <c r="AF2795" s="11"/>
      <c r="AG2795" s="11"/>
      <c r="AH2795" s="11"/>
      <c r="AI2795" s="11"/>
      <c r="AJ2795" s="11"/>
      <c r="AK2795" s="11"/>
      <c r="AL2795" s="11"/>
      <c r="AM2795" s="11"/>
      <c r="AN2795" s="11"/>
      <c r="AO2795" s="11"/>
    </row>
    <row r="2796" spans="1:41" ht="14.25" x14ac:dyDescent="0.2">
      <c r="A2796" s="2">
        <v>4303</v>
      </c>
      <c r="B2796" s="3" t="s">
        <v>761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9"/>
      <c r="AL2796" s="9"/>
      <c r="AM2796" s="9"/>
      <c r="AN2796" s="9"/>
      <c r="AO2796" s="9"/>
    </row>
    <row r="2797" spans="1:41" ht="14.25" x14ac:dyDescent="0.2">
      <c r="A2797" s="2">
        <v>430301</v>
      </c>
      <c r="B2797" s="3" t="s">
        <v>762</v>
      </c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9"/>
      <c r="AL2797" s="9"/>
      <c r="AM2797" s="9"/>
      <c r="AN2797" s="9"/>
      <c r="AO2797" s="9"/>
    </row>
    <row r="2798" spans="1:41" x14ac:dyDescent="0.2">
      <c r="A2798" s="5">
        <v>43030101</v>
      </c>
      <c r="B2798" s="6" t="s">
        <v>763</v>
      </c>
      <c r="C2798" s="12"/>
      <c r="D2798" s="12"/>
      <c r="E2798" s="12"/>
      <c r="F2798" s="12"/>
      <c r="G2798" s="12"/>
      <c r="H2798" s="12"/>
      <c r="I2798" s="12"/>
      <c r="J2798" s="12"/>
      <c r="K2798" s="12"/>
      <c r="L2798" s="12"/>
      <c r="M2798" s="12"/>
      <c r="N2798" s="12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  <c r="AA2798" s="12"/>
      <c r="AB2798" s="12"/>
      <c r="AC2798" s="12"/>
      <c r="AD2798" s="12"/>
      <c r="AE2798" s="12"/>
      <c r="AF2798" s="12"/>
      <c r="AG2798" s="12"/>
      <c r="AH2798" s="12"/>
      <c r="AI2798" s="12"/>
      <c r="AJ2798" s="12"/>
      <c r="AK2798" s="12"/>
      <c r="AL2798" s="12"/>
      <c r="AM2798" s="12"/>
      <c r="AN2798" s="12"/>
      <c r="AO2798" s="12"/>
    </row>
    <row r="2799" spans="1:41" ht="14.25" x14ac:dyDescent="0.2">
      <c r="A2799" s="2">
        <v>43030102</v>
      </c>
      <c r="B2799" s="3" t="s">
        <v>764</v>
      </c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9"/>
      <c r="AC2799" s="9"/>
      <c r="AD2799" s="9"/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  <c r="AO2799" s="9"/>
    </row>
    <row r="2800" spans="1:41" ht="28.5" x14ac:dyDescent="0.2">
      <c r="A2800" s="2">
        <v>4303010201</v>
      </c>
      <c r="B2800" s="4" t="s">
        <v>765</v>
      </c>
      <c r="C2800" s="11"/>
      <c r="D2800" s="11"/>
      <c r="E2800" s="11"/>
      <c r="F2800" s="11"/>
      <c r="G2800" s="11"/>
      <c r="H2800" s="11"/>
      <c r="I2800" s="11"/>
      <c r="J2800" s="11"/>
      <c r="K2800" s="11"/>
      <c r="L2800" s="11"/>
      <c r="M2800" s="11"/>
      <c r="N2800" s="11"/>
      <c r="O2800" s="11"/>
      <c r="P2800" s="11"/>
      <c r="Q2800" s="11"/>
      <c r="R2800" s="11"/>
      <c r="S2800" s="11"/>
      <c r="T2800" s="11"/>
      <c r="U2800" s="11"/>
      <c r="V2800" s="11"/>
      <c r="W2800" s="11"/>
      <c r="X2800" s="11"/>
      <c r="Y2800" s="11"/>
      <c r="Z2800" s="11"/>
      <c r="AA2800" s="11"/>
      <c r="AB2800" s="11"/>
      <c r="AC2800" s="11"/>
      <c r="AD2800" s="11"/>
      <c r="AE2800" s="11"/>
      <c r="AF2800" s="11"/>
      <c r="AG2800" s="11"/>
      <c r="AH2800" s="11"/>
      <c r="AI2800" s="11"/>
      <c r="AJ2800" s="11"/>
      <c r="AK2800" s="11"/>
      <c r="AL2800" s="11"/>
      <c r="AM2800" s="11"/>
      <c r="AN2800" s="11"/>
      <c r="AO2800" s="11"/>
    </row>
    <row r="2801" spans="1:41" ht="28.5" x14ac:dyDescent="0.2">
      <c r="A2801" s="2">
        <v>4303010202</v>
      </c>
      <c r="B2801" s="4" t="s">
        <v>766</v>
      </c>
      <c r="C2801" s="11"/>
      <c r="D2801" s="11"/>
      <c r="E2801" s="11"/>
      <c r="F2801" s="11"/>
      <c r="G2801" s="11"/>
      <c r="H2801" s="11"/>
      <c r="I2801" s="11"/>
      <c r="J2801" s="11"/>
      <c r="K2801" s="11"/>
      <c r="L2801" s="11"/>
      <c r="M2801" s="11"/>
      <c r="N2801" s="11"/>
      <c r="O2801" s="11"/>
      <c r="P2801" s="11"/>
      <c r="Q2801" s="11"/>
      <c r="R2801" s="11"/>
      <c r="S2801" s="11"/>
      <c r="T2801" s="11"/>
      <c r="U2801" s="11"/>
      <c r="V2801" s="11"/>
      <c r="W2801" s="11"/>
      <c r="X2801" s="11"/>
      <c r="Y2801" s="11"/>
      <c r="Z2801" s="11"/>
      <c r="AA2801" s="11"/>
      <c r="AB2801" s="11"/>
      <c r="AC2801" s="11"/>
      <c r="AD2801" s="11"/>
      <c r="AE2801" s="11"/>
      <c r="AF2801" s="11"/>
      <c r="AG2801" s="11"/>
      <c r="AH2801" s="11"/>
      <c r="AI2801" s="11"/>
      <c r="AJ2801" s="11"/>
      <c r="AK2801" s="11"/>
      <c r="AL2801" s="11"/>
      <c r="AM2801" s="11"/>
      <c r="AN2801" s="11"/>
      <c r="AO2801" s="11"/>
    </row>
    <row r="2802" spans="1:41" ht="28.5" x14ac:dyDescent="0.2">
      <c r="A2802" s="2">
        <v>4303010203</v>
      </c>
      <c r="B2802" s="4" t="s">
        <v>767</v>
      </c>
      <c r="C2802" s="11"/>
      <c r="D2802" s="11"/>
      <c r="E2802" s="11"/>
      <c r="F2802" s="11"/>
      <c r="G2802" s="11"/>
      <c r="H2802" s="11"/>
      <c r="I2802" s="11"/>
      <c r="J2802" s="11"/>
      <c r="K2802" s="11"/>
      <c r="L2802" s="11"/>
      <c r="M2802" s="11"/>
      <c r="N2802" s="11"/>
      <c r="O2802" s="11"/>
      <c r="P2802" s="11"/>
      <c r="Q2802" s="11"/>
      <c r="R2802" s="11"/>
      <c r="S2802" s="11"/>
      <c r="T2802" s="11"/>
      <c r="U2802" s="11"/>
      <c r="V2802" s="11"/>
      <c r="W2802" s="11"/>
      <c r="X2802" s="11"/>
      <c r="Y2802" s="11"/>
      <c r="Z2802" s="11"/>
      <c r="AA2802" s="11"/>
      <c r="AB2802" s="11"/>
      <c r="AC2802" s="11"/>
      <c r="AD2802" s="11"/>
      <c r="AE2802" s="11"/>
      <c r="AF2802" s="11"/>
      <c r="AG2802" s="11"/>
      <c r="AH2802" s="11"/>
      <c r="AI2802" s="11"/>
      <c r="AJ2802" s="11"/>
      <c r="AK2802" s="11"/>
      <c r="AL2802" s="11"/>
      <c r="AM2802" s="11"/>
      <c r="AN2802" s="11"/>
      <c r="AO2802" s="11"/>
    </row>
    <row r="2803" spans="1:41" s="15" customFormat="1" ht="14.25" x14ac:dyDescent="0.2">
      <c r="A2803" s="18" t="s">
        <v>1722</v>
      </c>
      <c r="B2803" s="19" t="s">
        <v>1723</v>
      </c>
      <c r="C2803" s="20"/>
      <c r="D2803" s="20"/>
      <c r="E2803" s="20"/>
      <c r="F2803" s="20"/>
      <c r="G2803" s="20"/>
      <c r="H2803" s="20"/>
      <c r="I2803" s="20"/>
      <c r="J2803" s="20"/>
      <c r="K2803" s="20">
        <v>231767.27</v>
      </c>
      <c r="L2803" s="20">
        <v>231767.27</v>
      </c>
      <c r="M2803" s="20">
        <v>231767.27</v>
      </c>
      <c r="N2803" s="20">
        <v>231767.27</v>
      </c>
      <c r="O2803" s="20"/>
      <c r="P2803" s="20"/>
      <c r="Q2803" s="20"/>
      <c r="R2803" s="20"/>
      <c r="S2803" s="20"/>
      <c r="T2803" s="20"/>
      <c r="U2803" s="20"/>
      <c r="V2803" s="20"/>
      <c r="W2803" s="20"/>
      <c r="X2803" s="20"/>
      <c r="Y2803" s="20"/>
      <c r="Z2803" s="20"/>
      <c r="AA2803" s="20"/>
      <c r="AB2803" s="20"/>
      <c r="AC2803" s="20"/>
      <c r="AD2803" s="20"/>
      <c r="AE2803" s="20"/>
      <c r="AF2803" s="20"/>
      <c r="AG2803" s="20"/>
      <c r="AH2803" s="20"/>
      <c r="AI2803" s="20"/>
      <c r="AJ2803" s="20"/>
      <c r="AK2803" s="20"/>
      <c r="AL2803" s="20"/>
      <c r="AM2803" s="20"/>
      <c r="AN2803" s="20"/>
      <c r="AO2803" s="20"/>
    </row>
    <row r="2804" spans="1:41" ht="42.75" x14ac:dyDescent="0.2">
      <c r="A2804" s="2">
        <v>4304</v>
      </c>
      <c r="B2804" s="4" t="s">
        <v>768</v>
      </c>
      <c r="C2804" s="11"/>
      <c r="D2804" s="11"/>
      <c r="E2804" s="11"/>
      <c r="F2804" s="11"/>
      <c r="G2804" s="11"/>
      <c r="H2804" s="11"/>
      <c r="I2804" s="11"/>
      <c r="J2804" s="11"/>
      <c r="K2804" s="11"/>
      <c r="L2804" s="11"/>
      <c r="M2804" s="11"/>
      <c r="N2804" s="11"/>
      <c r="O2804" s="11"/>
      <c r="P2804" s="11"/>
      <c r="Q2804" s="11"/>
      <c r="R2804" s="11"/>
      <c r="S2804" s="11"/>
      <c r="T2804" s="11"/>
      <c r="U2804" s="11"/>
      <c r="V2804" s="11"/>
      <c r="W2804" s="11"/>
      <c r="X2804" s="11"/>
      <c r="Y2804" s="11"/>
      <c r="Z2804" s="11"/>
      <c r="AA2804" s="11"/>
      <c r="AB2804" s="11"/>
      <c r="AC2804" s="11"/>
      <c r="AD2804" s="11"/>
      <c r="AE2804" s="11"/>
      <c r="AF2804" s="11"/>
      <c r="AG2804" s="11"/>
      <c r="AH2804" s="11"/>
      <c r="AI2804" s="11"/>
      <c r="AJ2804" s="11"/>
      <c r="AK2804" s="11"/>
      <c r="AL2804" s="11"/>
      <c r="AM2804" s="11"/>
      <c r="AN2804" s="11"/>
      <c r="AO2804" s="11"/>
    </row>
    <row r="2805" spans="1:41" ht="14.25" x14ac:dyDescent="0.2">
      <c r="A2805" s="2">
        <v>430401</v>
      </c>
      <c r="B2805" s="3" t="s">
        <v>769</v>
      </c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  <c r="AB2805" s="9"/>
      <c r="AC2805" s="9"/>
      <c r="AD2805" s="9"/>
      <c r="AE2805" s="9"/>
      <c r="AF2805" s="9"/>
      <c r="AG2805" s="9"/>
      <c r="AH2805" s="9"/>
      <c r="AI2805" s="9"/>
      <c r="AJ2805" s="9"/>
      <c r="AK2805" s="9"/>
      <c r="AL2805" s="9"/>
      <c r="AM2805" s="9"/>
      <c r="AN2805" s="9"/>
      <c r="AO2805" s="9"/>
    </row>
    <row r="2806" spans="1:41" ht="14.25" x14ac:dyDescent="0.2">
      <c r="A2806" s="2">
        <v>43040101</v>
      </c>
      <c r="B2806" s="3" t="s">
        <v>285</v>
      </c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9"/>
      <c r="AN2806" s="9"/>
      <c r="AO2806" s="9"/>
    </row>
    <row r="2807" spans="1:41" ht="14.25" x14ac:dyDescent="0.2">
      <c r="A2807" s="2">
        <v>43040102</v>
      </c>
      <c r="B2807" s="3" t="s">
        <v>286</v>
      </c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9"/>
      <c r="AL2807" s="9"/>
      <c r="AM2807" s="9"/>
      <c r="AN2807" s="9"/>
      <c r="AO2807" s="9"/>
    </row>
    <row r="2808" spans="1:41" ht="14.25" x14ac:dyDescent="0.2">
      <c r="A2808" s="2">
        <v>43040103</v>
      </c>
      <c r="B2808" s="3" t="s">
        <v>288</v>
      </c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9"/>
      <c r="AN2808" s="9"/>
      <c r="AO2808" s="9"/>
    </row>
    <row r="2809" spans="1:41" ht="14.25" x14ac:dyDescent="0.2">
      <c r="A2809" s="2">
        <v>430402</v>
      </c>
      <c r="B2809" s="3" t="s">
        <v>770</v>
      </c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  <c r="AB2809" s="9"/>
      <c r="AC2809" s="9"/>
      <c r="AD2809" s="9"/>
      <c r="AE2809" s="9"/>
      <c r="AF2809" s="9"/>
      <c r="AG2809" s="9"/>
      <c r="AH2809" s="9"/>
      <c r="AI2809" s="9"/>
      <c r="AJ2809" s="9"/>
      <c r="AK2809" s="9"/>
      <c r="AL2809" s="9"/>
      <c r="AM2809" s="9"/>
      <c r="AN2809" s="9"/>
      <c r="AO2809" s="9"/>
    </row>
    <row r="2810" spans="1:41" ht="14.25" x14ac:dyDescent="0.2">
      <c r="A2810" s="2">
        <v>430403</v>
      </c>
      <c r="B2810" s="3" t="s">
        <v>771</v>
      </c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9"/>
      <c r="AL2810" s="9"/>
      <c r="AM2810" s="9"/>
      <c r="AN2810" s="9"/>
      <c r="AO2810" s="9"/>
    </row>
    <row r="2811" spans="1:41" ht="14.25" x14ac:dyDescent="0.2">
      <c r="A2811" s="2">
        <v>4305</v>
      </c>
      <c r="B2811" s="3" t="s">
        <v>772</v>
      </c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9"/>
      <c r="AF2811" s="9"/>
      <c r="AG2811" s="9"/>
      <c r="AH2811" s="9"/>
      <c r="AI2811" s="9"/>
      <c r="AJ2811" s="9"/>
      <c r="AK2811" s="9"/>
      <c r="AL2811" s="9"/>
      <c r="AM2811" s="9"/>
      <c r="AN2811" s="9"/>
      <c r="AO2811" s="9"/>
    </row>
    <row r="2812" spans="1:41" ht="14.25" x14ac:dyDescent="0.2">
      <c r="A2812" s="2">
        <v>430501</v>
      </c>
      <c r="B2812" s="3" t="s">
        <v>545</v>
      </c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9"/>
      <c r="AL2812" s="9"/>
      <c r="AM2812" s="9"/>
      <c r="AN2812" s="9"/>
      <c r="AO2812" s="9"/>
    </row>
    <row r="2813" spans="1:41" ht="14.25" x14ac:dyDescent="0.2">
      <c r="A2813" s="2">
        <v>43050102</v>
      </c>
      <c r="B2813" s="3" t="s">
        <v>94</v>
      </c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9"/>
      <c r="AH2813" s="9"/>
      <c r="AI2813" s="9"/>
      <c r="AJ2813" s="9"/>
      <c r="AK2813" s="9"/>
      <c r="AL2813" s="9"/>
      <c r="AM2813" s="9"/>
      <c r="AN2813" s="9"/>
      <c r="AO2813" s="9"/>
    </row>
    <row r="2814" spans="1:41" ht="14.25" x14ac:dyDescent="0.2">
      <c r="A2814" s="2">
        <v>43050103</v>
      </c>
      <c r="B2814" s="3" t="s">
        <v>120</v>
      </c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  <c r="AB2814" s="9"/>
      <c r="AC2814" s="9"/>
      <c r="AD2814" s="9"/>
      <c r="AE2814" s="9"/>
      <c r="AF2814" s="9"/>
      <c r="AG2814" s="9"/>
      <c r="AH2814" s="9"/>
      <c r="AI2814" s="9"/>
      <c r="AJ2814" s="9"/>
      <c r="AK2814" s="9"/>
      <c r="AL2814" s="9"/>
      <c r="AM2814" s="9"/>
      <c r="AN2814" s="9"/>
      <c r="AO2814" s="9"/>
    </row>
    <row r="2815" spans="1:41" ht="14.25" x14ac:dyDescent="0.2">
      <c r="A2815" s="2">
        <v>43050104</v>
      </c>
      <c r="B2815" s="3" t="s">
        <v>130</v>
      </c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9"/>
      <c r="AE2815" s="9"/>
      <c r="AF2815" s="9"/>
      <c r="AG2815" s="9"/>
      <c r="AH2815" s="9"/>
      <c r="AI2815" s="9"/>
      <c r="AJ2815" s="9"/>
      <c r="AK2815" s="9"/>
      <c r="AL2815" s="9"/>
      <c r="AM2815" s="9"/>
      <c r="AN2815" s="9"/>
      <c r="AO2815" s="9"/>
    </row>
    <row r="2816" spans="1:41" x14ac:dyDescent="0.2">
      <c r="A2816" s="5">
        <v>43050107</v>
      </c>
      <c r="B2816" s="6" t="s">
        <v>138</v>
      </c>
      <c r="C2816" s="12"/>
      <c r="D2816" s="12"/>
      <c r="E2816" s="12"/>
      <c r="F2816" s="12"/>
      <c r="G2816" s="12"/>
      <c r="H2816" s="12"/>
      <c r="I2816" s="12"/>
      <c r="J2816" s="12"/>
      <c r="K2816" s="12"/>
      <c r="L2816" s="12"/>
      <c r="M2816" s="12"/>
      <c r="N2816" s="12"/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  <c r="AA2816" s="12"/>
      <c r="AB2816" s="12"/>
      <c r="AC2816" s="12"/>
      <c r="AD2816" s="12"/>
      <c r="AE2816" s="12"/>
      <c r="AF2816" s="12"/>
      <c r="AG2816" s="12"/>
      <c r="AH2816" s="12"/>
      <c r="AI2816" s="12"/>
      <c r="AJ2816" s="12"/>
      <c r="AK2816" s="12"/>
      <c r="AL2816" s="12"/>
      <c r="AM2816" s="12"/>
      <c r="AN2816" s="12"/>
      <c r="AO2816" s="12"/>
    </row>
    <row r="2817" spans="1:41" ht="14.25" x14ac:dyDescent="0.2">
      <c r="A2817" s="2">
        <v>43050109</v>
      </c>
      <c r="B2817" s="3" t="s">
        <v>159</v>
      </c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9"/>
      <c r="AH2817" s="9"/>
      <c r="AI2817" s="9"/>
      <c r="AJ2817" s="9"/>
      <c r="AK2817" s="9"/>
      <c r="AL2817" s="9"/>
      <c r="AM2817" s="9"/>
      <c r="AN2817" s="9"/>
      <c r="AO2817" s="9"/>
    </row>
    <row r="2818" spans="1:41" ht="14.25" x14ac:dyDescent="0.2">
      <c r="A2818" s="2">
        <v>43050110</v>
      </c>
      <c r="B2818" s="3" t="s">
        <v>162</v>
      </c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9"/>
      <c r="AN2818" s="9"/>
      <c r="AO2818" s="9"/>
    </row>
    <row r="2819" spans="1:41" ht="14.25" x14ac:dyDescent="0.2">
      <c r="A2819" s="2">
        <v>43050111</v>
      </c>
      <c r="B2819" s="3" t="s">
        <v>172</v>
      </c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9"/>
      <c r="AB2819" s="9"/>
      <c r="AC2819" s="9"/>
      <c r="AD2819" s="9"/>
      <c r="AE2819" s="9"/>
      <c r="AF2819" s="9"/>
      <c r="AG2819" s="9"/>
      <c r="AH2819" s="9"/>
      <c r="AI2819" s="9"/>
      <c r="AJ2819" s="9"/>
      <c r="AK2819" s="9"/>
      <c r="AL2819" s="9"/>
      <c r="AM2819" s="9"/>
      <c r="AN2819" s="9"/>
      <c r="AO2819" s="9"/>
    </row>
    <row r="2820" spans="1:41" ht="14.25" x14ac:dyDescent="0.2">
      <c r="A2820" s="2">
        <v>43050112</v>
      </c>
      <c r="B2820" s="3" t="s">
        <v>174</v>
      </c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9"/>
      <c r="AL2820" s="9"/>
      <c r="AM2820" s="9"/>
      <c r="AN2820" s="9"/>
      <c r="AO2820" s="9"/>
    </row>
    <row r="2821" spans="1:41" ht="14.25" x14ac:dyDescent="0.2">
      <c r="A2821" s="2">
        <v>43050113</v>
      </c>
      <c r="B2821" s="3" t="s">
        <v>175</v>
      </c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9"/>
      <c r="AL2821" s="9"/>
      <c r="AM2821" s="9"/>
      <c r="AN2821" s="9"/>
      <c r="AO2821" s="9"/>
    </row>
    <row r="2822" spans="1:41" ht="14.25" x14ac:dyDescent="0.2">
      <c r="A2822" s="2">
        <v>430502</v>
      </c>
      <c r="B2822" s="3" t="s">
        <v>546</v>
      </c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9"/>
      <c r="AL2822" s="9"/>
      <c r="AM2822" s="9"/>
      <c r="AN2822" s="9"/>
      <c r="AO2822" s="9"/>
    </row>
    <row r="2823" spans="1:41" ht="14.25" x14ac:dyDescent="0.2">
      <c r="A2823" s="2">
        <v>43050201</v>
      </c>
      <c r="B2823" s="3" t="s">
        <v>746</v>
      </c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  <c r="AE2823" s="9"/>
      <c r="AF2823" s="9"/>
      <c r="AG2823" s="9"/>
      <c r="AH2823" s="9"/>
      <c r="AI2823" s="9"/>
      <c r="AJ2823" s="9"/>
      <c r="AK2823" s="9"/>
      <c r="AL2823" s="9"/>
      <c r="AM2823" s="9"/>
      <c r="AN2823" s="9"/>
      <c r="AO2823" s="9"/>
    </row>
    <row r="2824" spans="1:41" ht="14.25" x14ac:dyDescent="0.2">
      <c r="A2824" s="2">
        <v>4305020102</v>
      </c>
      <c r="B2824" s="3" t="s">
        <v>94</v>
      </c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9"/>
      <c r="AL2824" s="9"/>
      <c r="AM2824" s="9"/>
      <c r="AN2824" s="9"/>
      <c r="AO2824" s="9"/>
    </row>
    <row r="2825" spans="1:41" ht="14.25" x14ac:dyDescent="0.2">
      <c r="A2825" s="2">
        <v>4305020103</v>
      </c>
      <c r="B2825" s="3" t="s">
        <v>120</v>
      </c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9"/>
      <c r="AL2825" s="9"/>
      <c r="AM2825" s="9"/>
      <c r="AN2825" s="9"/>
      <c r="AO2825" s="9"/>
    </row>
    <row r="2826" spans="1:41" ht="14.25" x14ac:dyDescent="0.2">
      <c r="A2826" s="2">
        <v>4305020104</v>
      </c>
      <c r="B2826" s="3" t="s">
        <v>130</v>
      </c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9"/>
      <c r="AL2826" s="9"/>
      <c r="AM2826" s="9"/>
      <c r="AN2826" s="9"/>
      <c r="AO2826" s="9"/>
    </row>
    <row r="2827" spans="1:41" x14ac:dyDescent="0.2">
      <c r="A2827" s="5">
        <v>4305020107</v>
      </c>
      <c r="B2827" s="6" t="s">
        <v>138</v>
      </c>
      <c r="C2827" s="12"/>
      <c r="D2827" s="12"/>
      <c r="E2827" s="12"/>
      <c r="F2827" s="12"/>
      <c r="G2827" s="12"/>
      <c r="H2827" s="12"/>
      <c r="I2827" s="12"/>
      <c r="J2827" s="12"/>
      <c r="K2827" s="12"/>
      <c r="L2827" s="12"/>
      <c r="M2827" s="12"/>
      <c r="N2827" s="12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  <c r="AA2827" s="12"/>
      <c r="AB2827" s="12"/>
      <c r="AC2827" s="12"/>
      <c r="AD2827" s="12"/>
      <c r="AE2827" s="12"/>
      <c r="AF2827" s="12"/>
      <c r="AG2827" s="12"/>
      <c r="AH2827" s="12"/>
      <c r="AI2827" s="12"/>
      <c r="AJ2827" s="12"/>
      <c r="AK2827" s="12"/>
      <c r="AL2827" s="12"/>
      <c r="AM2827" s="12"/>
      <c r="AN2827" s="12"/>
      <c r="AO2827" s="12"/>
    </row>
    <row r="2828" spans="1:41" ht="14.25" x14ac:dyDescent="0.2">
      <c r="A2828" s="2">
        <v>4305020109</v>
      </c>
      <c r="B2828" s="3" t="s">
        <v>159</v>
      </c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9"/>
      <c r="AH2828" s="9"/>
      <c r="AI2828" s="9"/>
      <c r="AJ2828" s="9"/>
      <c r="AK2828" s="9"/>
      <c r="AL2828" s="9"/>
      <c r="AM2828" s="9"/>
      <c r="AN2828" s="9"/>
      <c r="AO2828" s="9"/>
    </row>
    <row r="2829" spans="1:41" ht="14.25" x14ac:dyDescent="0.2">
      <c r="A2829" s="2">
        <v>4305020110</v>
      </c>
      <c r="B2829" s="3" t="s">
        <v>162</v>
      </c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9"/>
      <c r="AH2829" s="9"/>
      <c r="AI2829" s="9"/>
      <c r="AJ2829" s="9"/>
      <c r="AK2829" s="9"/>
      <c r="AL2829" s="9"/>
      <c r="AM2829" s="9"/>
      <c r="AN2829" s="9"/>
      <c r="AO2829" s="9"/>
    </row>
    <row r="2830" spans="1:41" ht="14.25" x14ac:dyDescent="0.2">
      <c r="A2830" s="2">
        <v>4305020111</v>
      </c>
      <c r="B2830" s="3" t="s">
        <v>172</v>
      </c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9"/>
      <c r="AL2830" s="9"/>
      <c r="AM2830" s="9"/>
      <c r="AN2830" s="9"/>
      <c r="AO2830" s="9"/>
    </row>
    <row r="2831" spans="1:41" ht="14.25" x14ac:dyDescent="0.2">
      <c r="A2831" s="2">
        <v>4305020112</v>
      </c>
      <c r="B2831" s="3" t="s">
        <v>174</v>
      </c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9"/>
      <c r="AL2831" s="9"/>
      <c r="AM2831" s="9"/>
      <c r="AN2831" s="9"/>
      <c r="AO2831" s="9"/>
    </row>
    <row r="2832" spans="1:41" ht="14.25" x14ac:dyDescent="0.2">
      <c r="A2832" s="2">
        <v>4305020113</v>
      </c>
      <c r="B2832" s="3" t="s">
        <v>175</v>
      </c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9"/>
      <c r="AL2832" s="9"/>
      <c r="AM2832" s="9"/>
      <c r="AN2832" s="9"/>
      <c r="AO2832" s="9"/>
    </row>
    <row r="2833" spans="1:41" ht="14.25" x14ac:dyDescent="0.2">
      <c r="A2833" s="2">
        <v>43050202</v>
      </c>
      <c r="B2833" s="3" t="s">
        <v>747</v>
      </c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9"/>
      <c r="AH2833" s="9"/>
      <c r="AI2833" s="9"/>
      <c r="AJ2833" s="9"/>
      <c r="AK2833" s="9"/>
      <c r="AL2833" s="9"/>
      <c r="AM2833" s="9"/>
      <c r="AN2833" s="9"/>
      <c r="AO2833" s="9"/>
    </row>
    <row r="2834" spans="1:41" ht="14.25" x14ac:dyDescent="0.2">
      <c r="A2834" s="2">
        <v>4305020202</v>
      </c>
      <c r="B2834" s="3" t="s">
        <v>94</v>
      </c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9"/>
      <c r="AN2834" s="9"/>
      <c r="AO2834" s="9"/>
    </row>
    <row r="2835" spans="1:41" ht="14.25" x14ac:dyDescent="0.2">
      <c r="A2835" s="2">
        <v>4305020203</v>
      </c>
      <c r="B2835" s="3" t="s">
        <v>120</v>
      </c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9"/>
      <c r="AL2835" s="9"/>
      <c r="AM2835" s="9"/>
      <c r="AN2835" s="9"/>
      <c r="AO2835" s="9"/>
    </row>
    <row r="2836" spans="1:41" ht="14.25" x14ac:dyDescent="0.2">
      <c r="A2836" s="2">
        <v>4305020204</v>
      </c>
      <c r="B2836" s="3" t="s">
        <v>130</v>
      </c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M2836" s="9"/>
      <c r="AN2836" s="9"/>
      <c r="AO2836" s="9"/>
    </row>
    <row r="2837" spans="1:41" x14ac:dyDescent="0.2">
      <c r="A2837" s="5">
        <v>4305020207</v>
      </c>
      <c r="B2837" s="6" t="s">
        <v>138</v>
      </c>
      <c r="C2837" s="12"/>
      <c r="D2837" s="12"/>
      <c r="E2837" s="12"/>
      <c r="F2837" s="12"/>
      <c r="G2837" s="12"/>
      <c r="H2837" s="12"/>
      <c r="I2837" s="12"/>
      <c r="J2837" s="12"/>
      <c r="K2837" s="12"/>
      <c r="L2837" s="12"/>
      <c r="M2837" s="12"/>
      <c r="N2837" s="12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  <c r="AA2837" s="12"/>
      <c r="AB2837" s="12"/>
      <c r="AC2837" s="12"/>
      <c r="AD2837" s="12"/>
      <c r="AE2837" s="12"/>
      <c r="AF2837" s="12"/>
      <c r="AG2837" s="12"/>
      <c r="AH2837" s="12"/>
      <c r="AI2837" s="12"/>
      <c r="AJ2837" s="12"/>
      <c r="AK2837" s="12"/>
      <c r="AL2837" s="12"/>
      <c r="AM2837" s="12"/>
      <c r="AN2837" s="12"/>
      <c r="AO2837" s="12"/>
    </row>
    <row r="2838" spans="1:41" ht="14.25" x14ac:dyDescent="0.2">
      <c r="A2838" s="2">
        <v>4305020209</v>
      </c>
      <c r="B2838" s="3" t="s">
        <v>159</v>
      </c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  <c r="AO2838" s="9"/>
    </row>
    <row r="2839" spans="1:41" ht="14.25" x14ac:dyDescent="0.2">
      <c r="A2839" s="2">
        <v>4305020210</v>
      </c>
      <c r="B2839" s="3" t="s">
        <v>162</v>
      </c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  <c r="AO2839" s="9"/>
    </row>
    <row r="2840" spans="1:41" ht="14.25" x14ac:dyDescent="0.2">
      <c r="A2840" s="2">
        <v>4305020211</v>
      </c>
      <c r="B2840" s="3" t="s">
        <v>172</v>
      </c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9"/>
      <c r="AL2840" s="9"/>
      <c r="AM2840" s="9"/>
      <c r="AN2840" s="9"/>
      <c r="AO2840" s="9"/>
    </row>
    <row r="2841" spans="1:41" ht="14.25" x14ac:dyDescent="0.2">
      <c r="A2841" s="2">
        <v>4305020212</v>
      </c>
      <c r="B2841" s="3" t="s">
        <v>174</v>
      </c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9"/>
      <c r="AE2841" s="9"/>
      <c r="AF2841" s="9"/>
      <c r="AG2841" s="9"/>
      <c r="AH2841" s="9"/>
      <c r="AI2841" s="9"/>
      <c r="AJ2841" s="9"/>
      <c r="AK2841" s="9"/>
      <c r="AL2841" s="9"/>
      <c r="AM2841" s="9"/>
      <c r="AN2841" s="9"/>
      <c r="AO2841" s="9"/>
    </row>
    <row r="2842" spans="1:41" ht="14.25" x14ac:dyDescent="0.2">
      <c r="A2842" s="2">
        <v>4305020213</v>
      </c>
      <c r="B2842" s="3" t="s">
        <v>175</v>
      </c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9"/>
      <c r="AL2842" s="9"/>
      <c r="AM2842" s="9"/>
      <c r="AN2842" s="9"/>
      <c r="AO2842" s="9"/>
    </row>
    <row r="2843" spans="1:41" ht="14.25" x14ac:dyDescent="0.2">
      <c r="A2843" s="2">
        <v>430503</v>
      </c>
      <c r="B2843" s="3" t="s">
        <v>556</v>
      </c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  <c r="AO2843" s="9"/>
    </row>
    <row r="2844" spans="1:41" ht="14.25" x14ac:dyDescent="0.2">
      <c r="A2844" s="2">
        <v>430504</v>
      </c>
      <c r="B2844" s="3" t="s">
        <v>773</v>
      </c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9"/>
    </row>
    <row r="2845" spans="1:41" ht="14.25" x14ac:dyDescent="0.2">
      <c r="A2845" s="2">
        <v>430509</v>
      </c>
      <c r="B2845" s="3" t="s">
        <v>774</v>
      </c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  <c r="AO2845" s="9"/>
    </row>
    <row r="2846" spans="1:41" ht="14.25" x14ac:dyDescent="0.2">
      <c r="A2846" s="2">
        <v>44</v>
      </c>
      <c r="B2846" s="3" t="s">
        <v>775</v>
      </c>
      <c r="C2846" s="20">
        <f>SUM(C2848:C2886)</f>
        <v>76443.199999999997</v>
      </c>
      <c r="D2846" s="20">
        <f>SUM(D2848:D2886)</f>
        <v>106333.26999999999</v>
      </c>
      <c r="E2846" s="20">
        <f t="shared" ref="E2846:AO2846" si="88">SUM(E2848:E2886)</f>
        <v>139434.10999999996</v>
      </c>
      <c r="F2846" s="20">
        <f t="shared" si="88"/>
        <v>164848.15000000002</v>
      </c>
      <c r="G2846" s="20">
        <f t="shared" si="88"/>
        <v>198359.52000000005</v>
      </c>
      <c r="H2846" s="20">
        <f t="shared" si="88"/>
        <v>230909.58</v>
      </c>
      <c r="I2846" s="20">
        <f t="shared" si="88"/>
        <v>264591.74</v>
      </c>
      <c r="J2846" s="20">
        <f t="shared" si="88"/>
        <v>298279.45999999996</v>
      </c>
      <c r="K2846" s="20">
        <f t="shared" si="88"/>
        <v>330896.68999999989</v>
      </c>
      <c r="L2846" s="20">
        <f t="shared" si="88"/>
        <v>364602.88999999996</v>
      </c>
      <c r="M2846" s="20">
        <f t="shared" si="88"/>
        <v>398309.08999999991</v>
      </c>
      <c r="N2846" s="20">
        <f t="shared" si="88"/>
        <v>432015.29000000004</v>
      </c>
      <c r="O2846" s="20">
        <f t="shared" si="88"/>
        <v>19689.439999999999</v>
      </c>
      <c r="P2846" s="20">
        <f t="shared" si="88"/>
        <v>41501.799999999996</v>
      </c>
      <c r="Q2846" s="20">
        <f t="shared" si="88"/>
        <v>64723.41</v>
      </c>
      <c r="R2846" s="20">
        <f t="shared" si="88"/>
        <v>87058.949999999983</v>
      </c>
      <c r="S2846" s="20">
        <f t="shared" si="88"/>
        <v>110189.03000000001</v>
      </c>
      <c r="T2846" s="20">
        <f t="shared" si="88"/>
        <v>132581.66999999998</v>
      </c>
      <c r="U2846" s="20">
        <f t="shared" si="88"/>
        <v>155711.75</v>
      </c>
      <c r="V2846" s="20">
        <f t="shared" si="88"/>
        <v>178841.82999999996</v>
      </c>
      <c r="W2846" s="20">
        <f t="shared" si="88"/>
        <v>201234.47</v>
      </c>
      <c r="X2846" s="20">
        <f t="shared" si="88"/>
        <v>201234.47</v>
      </c>
      <c r="Y2846" s="20">
        <f t="shared" si="88"/>
        <v>201234.47</v>
      </c>
      <c r="Z2846" s="20">
        <f t="shared" si="88"/>
        <v>270221.96000000002</v>
      </c>
      <c r="AA2846" s="20">
        <f t="shared" si="88"/>
        <v>0</v>
      </c>
      <c r="AB2846" s="20">
        <f t="shared" si="88"/>
        <v>0</v>
      </c>
      <c r="AC2846" s="20">
        <f t="shared" si="88"/>
        <v>69664.830000000016</v>
      </c>
      <c r="AD2846" s="20">
        <f t="shared" si="88"/>
        <v>69664.830000000016</v>
      </c>
      <c r="AE2846" s="20">
        <f t="shared" si="88"/>
        <v>69664.830000000016</v>
      </c>
      <c r="AF2846" s="20">
        <f t="shared" si="88"/>
        <v>131270.00000000003</v>
      </c>
      <c r="AG2846" s="20">
        <f t="shared" si="88"/>
        <v>153246.27000000005</v>
      </c>
      <c r="AH2846" s="20">
        <f t="shared" si="88"/>
        <v>175142.41999999998</v>
      </c>
      <c r="AI2846" s="20">
        <f t="shared" si="88"/>
        <v>196217.71000000008</v>
      </c>
      <c r="AJ2846" s="20">
        <f t="shared" si="88"/>
        <v>218514.83000000005</v>
      </c>
      <c r="AK2846" s="20">
        <f t="shared" si="88"/>
        <v>240272.25</v>
      </c>
      <c r="AL2846" s="20">
        <f t="shared" si="88"/>
        <v>262587.78999999998</v>
      </c>
      <c r="AM2846" s="20">
        <f t="shared" si="88"/>
        <v>22213.919999999995</v>
      </c>
      <c r="AN2846" s="20">
        <f t="shared" si="88"/>
        <v>42227.97</v>
      </c>
      <c r="AO2846" s="20">
        <f t="shared" si="88"/>
        <v>64206.86</v>
      </c>
    </row>
    <row r="2847" spans="1:41" ht="14.25" x14ac:dyDescent="0.2">
      <c r="A2847" s="2">
        <v>4401</v>
      </c>
      <c r="B2847" s="3" t="s">
        <v>776</v>
      </c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9"/>
      <c r="AL2847" s="9"/>
      <c r="AM2847" s="9"/>
      <c r="AN2847" s="9"/>
      <c r="AO2847" s="9"/>
    </row>
    <row r="2848" spans="1:41" ht="14.25" x14ac:dyDescent="0.2">
      <c r="A2848" s="2">
        <v>440102</v>
      </c>
      <c r="B2848" s="3" t="s">
        <v>777</v>
      </c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9"/>
      <c r="AL2848" s="9"/>
      <c r="AM2848" s="9"/>
      <c r="AN2848" s="9"/>
      <c r="AO2848" s="9"/>
    </row>
    <row r="2849" spans="1:41" s="15" customFormat="1" ht="14.25" x14ac:dyDescent="0.2">
      <c r="A2849" s="18" t="s">
        <v>1724</v>
      </c>
      <c r="B2849" s="19" t="s">
        <v>1725</v>
      </c>
      <c r="C2849" s="20">
        <v>269.74</v>
      </c>
      <c r="D2849" s="20">
        <v>513.37</v>
      </c>
      <c r="E2849" s="20">
        <v>783.1</v>
      </c>
      <c r="F2849" s="20">
        <v>1044.1400000000001</v>
      </c>
      <c r="G2849" s="20">
        <v>1313.87</v>
      </c>
      <c r="H2849" s="20">
        <v>1574.91</v>
      </c>
      <c r="I2849" s="20">
        <v>1844.64</v>
      </c>
      <c r="J2849" s="20">
        <v>2114.38</v>
      </c>
      <c r="K2849" s="20">
        <v>2375.41</v>
      </c>
      <c r="L2849" s="20">
        <v>2645.14</v>
      </c>
      <c r="M2849" s="20">
        <v>2914.87</v>
      </c>
      <c r="N2849" s="20">
        <v>3184.6</v>
      </c>
      <c r="O2849" s="20"/>
      <c r="P2849" s="20">
        <v>252.31</v>
      </c>
      <c r="Q2849" s="20">
        <v>522.04999999999995</v>
      </c>
      <c r="R2849" s="20">
        <v>513.35</v>
      </c>
      <c r="S2849" s="20">
        <v>783.09</v>
      </c>
      <c r="T2849" s="20">
        <v>1044.1199999999999</v>
      </c>
      <c r="U2849" s="20">
        <v>1313.86</v>
      </c>
      <c r="V2849" s="20">
        <v>1583.6</v>
      </c>
      <c r="W2849" s="20">
        <v>1844.63</v>
      </c>
      <c r="X2849" s="20">
        <v>1844.63</v>
      </c>
      <c r="Y2849" s="20">
        <v>1844.63</v>
      </c>
      <c r="Z2849" s="20">
        <v>2645.13</v>
      </c>
      <c r="AA2849" s="20"/>
      <c r="AB2849" s="20"/>
      <c r="AC2849" s="20">
        <v>809.22</v>
      </c>
      <c r="AD2849" s="20">
        <v>809.22</v>
      </c>
      <c r="AE2849" s="20">
        <v>809.22</v>
      </c>
      <c r="AF2849" s="20">
        <v>1574.9</v>
      </c>
      <c r="AG2849" s="20">
        <v>1844.64</v>
      </c>
      <c r="AH2849" s="20">
        <v>2114.37</v>
      </c>
      <c r="AI2849" s="20">
        <v>2375.41</v>
      </c>
      <c r="AJ2849" s="20">
        <v>2645.14</v>
      </c>
      <c r="AK2849" s="20">
        <v>2906.18</v>
      </c>
      <c r="AL2849" s="20">
        <v>3175.91</v>
      </c>
      <c r="AM2849" s="20">
        <v>269.74</v>
      </c>
      <c r="AN2849" s="20">
        <v>513.37</v>
      </c>
      <c r="AO2849" s="20">
        <v>783.1</v>
      </c>
    </row>
    <row r="2850" spans="1:41" s="15" customFormat="1" ht="14.25" x14ac:dyDescent="0.2">
      <c r="A2850" s="18" t="s">
        <v>1726</v>
      </c>
      <c r="B2850" s="19" t="s">
        <v>1727</v>
      </c>
      <c r="C2850" s="20">
        <v>8115.77</v>
      </c>
      <c r="D2850" s="20">
        <v>15446.13</v>
      </c>
      <c r="E2850" s="20">
        <v>23561.89</v>
      </c>
      <c r="F2850" s="20">
        <v>31415.85</v>
      </c>
      <c r="G2850" s="20">
        <v>39531.61</v>
      </c>
      <c r="H2850" s="20">
        <v>47385.57</v>
      </c>
      <c r="I2850" s="20">
        <v>55501.33</v>
      </c>
      <c r="J2850" s="20">
        <v>63617.09</v>
      </c>
      <c r="K2850" s="20">
        <v>71471.05</v>
      </c>
      <c r="L2850" s="20">
        <v>79586.81</v>
      </c>
      <c r="M2850" s="20">
        <v>87702.57</v>
      </c>
      <c r="N2850" s="20">
        <v>95818.33</v>
      </c>
      <c r="O2850" s="20">
        <v>214.89</v>
      </c>
      <c r="P2850" s="20">
        <v>7807.08</v>
      </c>
      <c r="Q2850" s="20">
        <v>15922.84</v>
      </c>
      <c r="R2850" s="20">
        <v>24046.53</v>
      </c>
      <c r="S2850" s="20">
        <v>32162.29</v>
      </c>
      <c r="T2850" s="20">
        <v>40016.26</v>
      </c>
      <c r="U2850" s="20">
        <v>48132.02</v>
      </c>
      <c r="V2850" s="20">
        <v>56247.78</v>
      </c>
      <c r="W2850" s="20">
        <v>64101.75</v>
      </c>
      <c r="X2850" s="20">
        <v>64101.75</v>
      </c>
      <c r="Y2850" s="20">
        <v>64101.75</v>
      </c>
      <c r="Z2850" s="20">
        <v>88187.22</v>
      </c>
      <c r="AA2850" s="20"/>
      <c r="AB2850" s="20"/>
      <c r="AC2850" s="20">
        <v>24347.279999999999</v>
      </c>
      <c r="AD2850" s="20">
        <v>24347.279999999999</v>
      </c>
      <c r="AE2850" s="20">
        <v>24347.279999999999</v>
      </c>
      <c r="AF2850" s="20">
        <v>47385.56</v>
      </c>
      <c r="AG2850" s="20">
        <v>55501.33</v>
      </c>
      <c r="AH2850" s="20">
        <v>63617.08</v>
      </c>
      <c r="AI2850" s="20">
        <v>71471.05</v>
      </c>
      <c r="AJ2850" s="20">
        <v>79586.8</v>
      </c>
      <c r="AK2850" s="20">
        <v>87440.77</v>
      </c>
      <c r="AL2850" s="20">
        <v>95556.53</v>
      </c>
      <c r="AM2850" s="20">
        <v>8115.76</v>
      </c>
      <c r="AN2850" s="20">
        <v>15446.12</v>
      </c>
      <c r="AO2850" s="20">
        <v>23561.89</v>
      </c>
    </row>
    <row r="2851" spans="1:41" s="15" customFormat="1" ht="14.25" x14ac:dyDescent="0.2">
      <c r="A2851" s="18" t="s">
        <v>1728</v>
      </c>
      <c r="B2851" s="19" t="s">
        <v>1729</v>
      </c>
      <c r="C2851" s="20">
        <v>509.38</v>
      </c>
      <c r="D2851" s="20">
        <v>969.47</v>
      </c>
      <c r="E2851" s="20">
        <v>1478.85</v>
      </c>
      <c r="F2851" s="20">
        <v>1971.8</v>
      </c>
      <c r="G2851" s="20">
        <v>2481.1799999999998</v>
      </c>
      <c r="H2851" s="20">
        <v>2974.13</v>
      </c>
      <c r="I2851" s="20">
        <v>3483.51</v>
      </c>
      <c r="J2851" s="20">
        <v>3992.89</v>
      </c>
      <c r="K2851" s="20">
        <v>4485.84</v>
      </c>
      <c r="L2851" s="20">
        <v>4995.22</v>
      </c>
      <c r="M2851" s="20">
        <v>5504.6</v>
      </c>
      <c r="N2851" s="20">
        <v>6013.98</v>
      </c>
      <c r="O2851" s="20">
        <v>492.95</v>
      </c>
      <c r="P2851" s="20">
        <v>969.47</v>
      </c>
      <c r="Q2851" s="20">
        <v>1478.85</v>
      </c>
      <c r="R2851" s="20">
        <v>1971.8</v>
      </c>
      <c r="S2851" s="20">
        <v>2481.1799999999998</v>
      </c>
      <c r="T2851" s="20">
        <v>2974.13</v>
      </c>
      <c r="U2851" s="20">
        <v>3483.51</v>
      </c>
      <c r="V2851" s="20">
        <v>3992.89</v>
      </c>
      <c r="W2851" s="20">
        <v>4485.84</v>
      </c>
      <c r="X2851" s="20">
        <v>4485.84</v>
      </c>
      <c r="Y2851" s="20">
        <v>4485.84</v>
      </c>
      <c r="Z2851" s="20">
        <v>5997.56</v>
      </c>
      <c r="AA2851" s="20"/>
      <c r="AB2851" s="20"/>
      <c r="AC2851" s="20">
        <v>1528.14</v>
      </c>
      <c r="AD2851" s="20">
        <v>1528.14</v>
      </c>
      <c r="AE2851" s="20">
        <v>1528.14</v>
      </c>
      <c r="AF2851" s="20">
        <v>2974.12</v>
      </c>
      <c r="AG2851" s="20">
        <v>3483.5</v>
      </c>
      <c r="AH2851" s="20">
        <v>3992.89</v>
      </c>
      <c r="AI2851" s="20">
        <v>4485.84</v>
      </c>
      <c r="AJ2851" s="20">
        <v>4995.22</v>
      </c>
      <c r="AK2851" s="20">
        <v>5488.17</v>
      </c>
      <c r="AL2851" s="20">
        <v>5997.55</v>
      </c>
      <c r="AM2851" s="20">
        <v>509.38</v>
      </c>
      <c r="AN2851" s="20">
        <v>969.46</v>
      </c>
      <c r="AO2851" s="20">
        <v>1478.84</v>
      </c>
    </row>
    <row r="2852" spans="1:41" s="15" customFormat="1" ht="14.25" x14ac:dyDescent="0.2">
      <c r="A2852" s="18" t="s">
        <v>1730</v>
      </c>
      <c r="B2852" s="19" t="s">
        <v>1731</v>
      </c>
      <c r="C2852" s="20">
        <v>2330.94</v>
      </c>
      <c r="D2852" s="20">
        <v>2862.71</v>
      </c>
      <c r="E2852" s="20">
        <v>3451.45</v>
      </c>
      <c r="F2852" s="20">
        <v>-2910.78</v>
      </c>
      <c r="G2852" s="20">
        <v>-2322.04</v>
      </c>
      <c r="H2852" s="20">
        <v>-1752.29</v>
      </c>
      <c r="I2852" s="20">
        <v>-1163.54</v>
      </c>
      <c r="J2852" s="20">
        <v>-574.79999999999995</v>
      </c>
      <c r="K2852" s="20">
        <v>-5.05</v>
      </c>
      <c r="L2852" s="20">
        <v>588.74</v>
      </c>
      <c r="M2852" s="20">
        <v>1182.53</v>
      </c>
      <c r="N2852" s="20">
        <v>1776.32</v>
      </c>
      <c r="O2852" s="20">
        <v>554.62</v>
      </c>
      <c r="P2852" s="20">
        <v>1105.3800000000001</v>
      </c>
      <c r="Q2852" s="20">
        <v>1694.13</v>
      </c>
      <c r="R2852" s="20">
        <v>2263.88</v>
      </c>
      <c r="S2852" s="20">
        <v>2852.62</v>
      </c>
      <c r="T2852" s="20">
        <v>3422.38</v>
      </c>
      <c r="U2852" s="20">
        <v>4011.12</v>
      </c>
      <c r="V2852" s="20">
        <v>4599.8599999999997</v>
      </c>
      <c r="W2852" s="20">
        <v>5169.62</v>
      </c>
      <c r="X2852" s="20">
        <v>5169.62</v>
      </c>
      <c r="Y2852" s="20">
        <v>5169.62</v>
      </c>
      <c r="Z2852" s="20">
        <v>6916.86</v>
      </c>
      <c r="AA2852" s="20"/>
      <c r="AB2852" s="20"/>
      <c r="AC2852" s="20">
        <v>1766.25</v>
      </c>
      <c r="AD2852" s="20">
        <v>1766.25</v>
      </c>
      <c r="AE2852" s="20">
        <v>1766.25</v>
      </c>
      <c r="AF2852" s="20">
        <v>3437.51</v>
      </c>
      <c r="AG2852" s="20">
        <v>4026.25</v>
      </c>
      <c r="AH2852" s="20">
        <v>4614.99</v>
      </c>
      <c r="AI2852" s="20">
        <v>5184.75</v>
      </c>
      <c r="AJ2852" s="20">
        <v>5773.49</v>
      </c>
      <c r="AK2852" s="20">
        <v>6343.24</v>
      </c>
      <c r="AL2852" s="20">
        <v>6931.99</v>
      </c>
      <c r="AM2852" s="20">
        <v>588.74</v>
      </c>
      <c r="AN2852" s="20">
        <v>1120.51</v>
      </c>
      <c r="AO2852" s="20">
        <v>1709.26</v>
      </c>
    </row>
    <row r="2853" spans="1:41" s="15" customFormat="1" ht="14.25" x14ac:dyDescent="0.2">
      <c r="A2853" s="18" t="s">
        <v>1732</v>
      </c>
      <c r="B2853" s="19" t="s">
        <v>1733</v>
      </c>
      <c r="C2853" s="20">
        <v>536.16</v>
      </c>
      <c r="D2853" s="20">
        <v>1020.44</v>
      </c>
      <c r="E2853" s="20">
        <v>1556.61</v>
      </c>
      <c r="F2853" s="20">
        <v>2075.48</v>
      </c>
      <c r="G2853" s="20">
        <v>2611.65</v>
      </c>
      <c r="H2853" s="20">
        <v>3130.52</v>
      </c>
      <c r="I2853" s="20">
        <v>3666.69</v>
      </c>
      <c r="J2853" s="20">
        <v>4202.8599999999997</v>
      </c>
      <c r="K2853" s="20">
        <v>4721.7299999999996</v>
      </c>
      <c r="L2853" s="20">
        <v>5252.85</v>
      </c>
      <c r="M2853" s="20">
        <v>5783.97</v>
      </c>
      <c r="N2853" s="20">
        <v>6315.09</v>
      </c>
      <c r="O2853" s="20">
        <v>534.02</v>
      </c>
      <c r="P2853" s="20">
        <v>1035.5899999999999</v>
      </c>
      <c r="Q2853" s="20">
        <v>1571.76</v>
      </c>
      <c r="R2853" s="20">
        <v>2090.63</v>
      </c>
      <c r="S2853" s="20">
        <v>2626.8</v>
      </c>
      <c r="T2853" s="20">
        <v>3145.67</v>
      </c>
      <c r="U2853" s="20">
        <v>3681.84</v>
      </c>
      <c r="V2853" s="20">
        <v>4218.01</v>
      </c>
      <c r="W2853" s="20">
        <v>4736.88</v>
      </c>
      <c r="X2853" s="20">
        <v>4736.88</v>
      </c>
      <c r="Y2853" s="20">
        <v>4736.88</v>
      </c>
      <c r="Z2853" s="20">
        <v>6328.09</v>
      </c>
      <c r="AA2853" s="20"/>
      <c r="AB2853" s="20"/>
      <c r="AC2853" s="20">
        <v>1608.51</v>
      </c>
      <c r="AD2853" s="20">
        <v>1608.51</v>
      </c>
      <c r="AE2853" s="20">
        <v>1608.51</v>
      </c>
      <c r="AF2853" s="20">
        <v>3130.53</v>
      </c>
      <c r="AG2853" s="20">
        <v>3666.7</v>
      </c>
      <c r="AH2853" s="20">
        <v>4202.8599999999997</v>
      </c>
      <c r="AI2853" s="20">
        <v>4721.74</v>
      </c>
      <c r="AJ2853" s="20">
        <v>5257.9</v>
      </c>
      <c r="AK2853" s="20">
        <v>5776.78</v>
      </c>
      <c r="AL2853" s="20">
        <v>6312.94</v>
      </c>
      <c r="AM2853" s="20">
        <v>536.16999999999996</v>
      </c>
      <c r="AN2853" s="20">
        <v>1020.45</v>
      </c>
      <c r="AO2853" s="20">
        <v>1556.62</v>
      </c>
    </row>
    <row r="2854" spans="1:41" s="15" customFormat="1" ht="14.25" x14ac:dyDescent="0.2">
      <c r="A2854" s="18" t="s">
        <v>1734</v>
      </c>
      <c r="B2854" s="19" t="s">
        <v>1735</v>
      </c>
      <c r="C2854" s="20">
        <v>925.57</v>
      </c>
      <c r="D2854" s="20">
        <v>1761.57</v>
      </c>
      <c r="E2854" s="20">
        <v>2687.15</v>
      </c>
      <c r="F2854" s="20">
        <v>3582.86</v>
      </c>
      <c r="G2854" s="20">
        <v>4508.4399999999996</v>
      </c>
      <c r="H2854" s="20">
        <v>5404.15</v>
      </c>
      <c r="I2854" s="20">
        <v>6329.72</v>
      </c>
      <c r="J2854" s="20">
        <v>7255.3</v>
      </c>
      <c r="K2854" s="20">
        <v>8151.01</v>
      </c>
      <c r="L2854" s="20">
        <v>9076.59</v>
      </c>
      <c r="M2854" s="20">
        <v>10002.17</v>
      </c>
      <c r="N2854" s="20">
        <v>10927.75</v>
      </c>
      <c r="O2854" s="20">
        <v>895.7</v>
      </c>
      <c r="P2854" s="20">
        <v>1761.56</v>
      </c>
      <c r="Q2854" s="20">
        <v>2687.13</v>
      </c>
      <c r="R2854" s="20">
        <v>3582.84</v>
      </c>
      <c r="S2854" s="20">
        <v>4508.42</v>
      </c>
      <c r="T2854" s="20">
        <v>5404.13</v>
      </c>
      <c r="U2854" s="20">
        <v>6329.71</v>
      </c>
      <c r="V2854" s="20">
        <v>7255.29</v>
      </c>
      <c r="W2854" s="20">
        <v>8151</v>
      </c>
      <c r="X2854" s="20">
        <v>8151</v>
      </c>
      <c r="Y2854" s="20">
        <v>8151</v>
      </c>
      <c r="Z2854" s="20">
        <v>10897.86</v>
      </c>
      <c r="AA2854" s="20"/>
      <c r="AB2854" s="20"/>
      <c r="AC2854" s="20">
        <v>2776.71</v>
      </c>
      <c r="AD2854" s="20">
        <v>2776.71</v>
      </c>
      <c r="AE2854" s="20">
        <v>2776.71</v>
      </c>
      <c r="AF2854" s="20">
        <v>5404.15</v>
      </c>
      <c r="AG2854" s="20">
        <v>6329.72</v>
      </c>
      <c r="AH2854" s="20">
        <v>7255.29</v>
      </c>
      <c r="AI2854" s="20">
        <v>8151.01</v>
      </c>
      <c r="AJ2854" s="20">
        <v>9076.58</v>
      </c>
      <c r="AK2854" s="20">
        <v>9972.2999999999993</v>
      </c>
      <c r="AL2854" s="20">
        <v>10897.87</v>
      </c>
      <c r="AM2854" s="20">
        <v>925.57</v>
      </c>
      <c r="AN2854" s="20">
        <v>1761.57</v>
      </c>
      <c r="AO2854" s="20">
        <v>2687.15</v>
      </c>
    </row>
    <row r="2855" spans="1:41" s="15" customFormat="1" ht="14.25" x14ac:dyDescent="0.2">
      <c r="A2855" s="18" t="s">
        <v>1736</v>
      </c>
      <c r="B2855" s="19" t="s">
        <v>1737</v>
      </c>
      <c r="C2855" s="20">
        <v>909.72</v>
      </c>
      <c r="D2855" s="20">
        <v>1731.4</v>
      </c>
      <c r="E2855" s="20">
        <v>2641.13</v>
      </c>
      <c r="F2855" s="20">
        <v>3521.51</v>
      </c>
      <c r="G2855" s="20">
        <v>4431.2299999999996</v>
      </c>
      <c r="H2855" s="20">
        <v>5311.61</v>
      </c>
      <c r="I2855" s="20">
        <v>6221.33</v>
      </c>
      <c r="J2855" s="20">
        <v>7131.06</v>
      </c>
      <c r="K2855" s="20">
        <v>8011.43</v>
      </c>
      <c r="L2855" s="20">
        <v>8921.15</v>
      </c>
      <c r="M2855" s="20">
        <v>9830.8700000000008</v>
      </c>
      <c r="N2855" s="20">
        <v>10740.59</v>
      </c>
      <c r="O2855" s="20">
        <v>880.39</v>
      </c>
      <c r="P2855" s="20">
        <v>1731.42</v>
      </c>
      <c r="Q2855" s="20">
        <v>2641.15</v>
      </c>
      <c r="R2855" s="20">
        <v>3521.53</v>
      </c>
      <c r="S2855" s="20">
        <v>4431.25</v>
      </c>
      <c r="T2855" s="20">
        <v>5311.63</v>
      </c>
      <c r="U2855" s="20">
        <v>6221.35</v>
      </c>
      <c r="V2855" s="20">
        <v>7131.07</v>
      </c>
      <c r="W2855" s="20">
        <v>8011.45</v>
      </c>
      <c r="X2855" s="20">
        <v>8011.45</v>
      </c>
      <c r="Y2855" s="20">
        <v>8011.45</v>
      </c>
      <c r="Z2855" s="20">
        <v>10711.28</v>
      </c>
      <c r="AA2855" s="20"/>
      <c r="AB2855" s="20"/>
      <c r="AC2855" s="20">
        <v>2729.19</v>
      </c>
      <c r="AD2855" s="20">
        <v>2729.19</v>
      </c>
      <c r="AE2855" s="20">
        <v>2729.19</v>
      </c>
      <c r="AF2855" s="20">
        <v>5311.6</v>
      </c>
      <c r="AG2855" s="20">
        <v>6221.33</v>
      </c>
      <c r="AH2855" s="20">
        <v>7131.04</v>
      </c>
      <c r="AI2855" s="20">
        <v>8011.43</v>
      </c>
      <c r="AJ2855" s="20">
        <v>8921.15</v>
      </c>
      <c r="AK2855" s="20">
        <v>9801.5300000000007</v>
      </c>
      <c r="AL2855" s="20">
        <v>10711.26</v>
      </c>
      <c r="AM2855" s="20">
        <v>909.73</v>
      </c>
      <c r="AN2855" s="20">
        <v>1731.4</v>
      </c>
      <c r="AO2855" s="20">
        <v>2641.13</v>
      </c>
    </row>
    <row r="2856" spans="1:41" s="15" customFormat="1" ht="14.25" x14ac:dyDescent="0.2">
      <c r="A2856" s="18" t="s">
        <v>1738</v>
      </c>
      <c r="B2856" s="19" t="s">
        <v>1739</v>
      </c>
      <c r="C2856" s="20">
        <v>1045.19</v>
      </c>
      <c r="D2856" s="20">
        <v>1989.24</v>
      </c>
      <c r="E2856" s="20">
        <v>3034.43</v>
      </c>
      <c r="F2856" s="20">
        <v>4045.91</v>
      </c>
      <c r="G2856" s="20">
        <v>5091.1000000000004</v>
      </c>
      <c r="H2856" s="20">
        <v>6102.57</v>
      </c>
      <c r="I2856" s="20">
        <v>7147.78</v>
      </c>
      <c r="J2856" s="20">
        <v>8192.9599999999991</v>
      </c>
      <c r="K2856" s="20">
        <v>9204.43</v>
      </c>
      <c r="L2856" s="20">
        <v>10249.64</v>
      </c>
      <c r="M2856" s="20">
        <v>11294.85</v>
      </c>
      <c r="N2856" s="20">
        <v>12340.06</v>
      </c>
      <c r="O2856" s="20">
        <v>530.78</v>
      </c>
      <c r="P2856" s="20">
        <v>587.41</v>
      </c>
      <c r="Q2856" s="20">
        <v>647.97</v>
      </c>
      <c r="R2856" s="20">
        <v>706.55</v>
      </c>
      <c r="S2856" s="20">
        <v>767.1</v>
      </c>
      <c r="T2856" s="20">
        <v>825.69</v>
      </c>
      <c r="U2856" s="20">
        <v>886.24</v>
      </c>
      <c r="V2856" s="20">
        <v>946.79</v>
      </c>
      <c r="W2856" s="20">
        <v>1005.38</v>
      </c>
      <c r="X2856" s="20">
        <v>1005.38</v>
      </c>
      <c r="Y2856" s="20">
        <v>1005.38</v>
      </c>
      <c r="Z2856" s="20">
        <v>1185.05</v>
      </c>
      <c r="AA2856" s="20"/>
      <c r="AB2856" s="20"/>
      <c r="AC2856" s="20">
        <v>181.68</v>
      </c>
      <c r="AD2856" s="20">
        <v>181.68</v>
      </c>
      <c r="AE2856" s="20">
        <v>181.68</v>
      </c>
      <c r="AF2856" s="20">
        <v>210.6</v>
      </c>
      <c r="AG2856" s="20">
        <v>210.6</v>
      </c>
      <c r="AH2856" s="20">
        <v>210.6</v>
      </c>
      <c r="AI2856" s="20">
        <v>210.6</v>
      </c>
      <c r="AJ2856" s="20">
        <v>210.6</v>
      </c>
      <c r="AK2856" s="20">
        <v>210.6</v>
      </c>
      <c r="AL2856" s="20">
        <v>210.6</v>
      </c>
      <c r="AM2856" s="20"/>
      <c r="AN2856" s="20"/>
      <c r="AO2856" s="20"/>
    </row>
    <row r="2857" spans="1:41" s="15" customFormat="1" ht="14.25" x14ac:dyDescent="0.2">
      <c r="A2857" s="18" t="s">
        <v>1740</v>
      </c>
      <c r="B2857" s="19" t="s">
        <v>1741</v>
      </c>
      <c r="C2857" s="20">
        <v>1041.3399999999999</v>
      </c>
      <c r="D2857" s="20">
        <v>1981.91</v>
      </c>
      <c r="E2857" s="20">
        <v>3023.24</v>
      </c>
      <c r="F2857" s="20">
        <v>4031.01</v>
      </c>
      <c r="G2857" s="20">
        <v>5072.3599999999997</v>
      </c>
      <c r="H2857" s="20">
        <v>6080.11</v>
      </c>
      <c r="I2857" s="20">
        <v>7121.44</v>
      </c>
      <c r="J2857" s="20">
        <v>8162.8</v>
      </c>
      <c r="K2857" s="20">
        <v>9170.56</v>
      </c>
      <c r="L2857" s="20">
        <v>10211.92</v>
      </c>
      <c r="M2857" s="20">
        <v>11253.28</v>
      </c>
      <c r="N2857" s="20">
        <v>12294.64</v>
      </c>
      <c r="O2857" s="20">
        <v>7584.23</v>
      </c>
      <c r="P2857" s="20">
        <v>8281.3799999999992</v>
      </c>
      <c r="Q2857" s="20">
        <v>9026.61</v>
      </c>
      <c r="R2857" s="20">
        <v>9747.81</v>
      </c>
      <c r="S2857" s="20">
        <v>10493.05</v>
      </c>
      <c r="T2857" s="20">
        <v>11214.24</v>
      </c>
      <c r="U2857" s="20">
        <v>11959.48</v>
      </c>
      <c r="V2857" s="20">
        <v>12704.72</v>
      </c>
      <c r="W2857" s="20">
        <v>13425.91</v>
      </c>
      <c r="X2857" s="20">
        <v>13425.91</v>
      </c>
      <c r="Y2857" s="20">
        <v>13425.91</v>
      </c>
      <c r="Z2857" s="20">
        <v>15637.55</v>
      </c>
      <c r="AA2857" s="20"/>
      <c r="AB2857" s="20"/>
      <c r="AC2857" s="20">
        <v>2235.69</v>
      </c>
      <c r="AD2857" s="20">
        <v>2235.69</v>
      </c>
      <c r="AE2857" s="20">
        <v>2235.69</v>
      </c>
      <c r="AF2857" s="20">
        <v>1944.96</v>
      </c>
      <c r="AG2857" s="20">
        <v>2194.4899999999998</v>
      </c>
      <c r="AH2857" s="20">
        <v>2444.0300000000002</v>
      </c>
      <c r="AI2857" s="20">
        <v>2685.51</v>
      </c>
      <c r="AJ2857" s="20">
        <v>2935.03</v>
      </c>
      <c r="AK2857" s="20">
        <v>3176.52</v>
      </c>
      <c r="AL2857" s="20">
        <v>3426.05</v>
      </c>
      <c r="AM2857" s="20">
        <v>249.53</v>
      </c>
      <c r="AN2857" s="20">
        <v>474.92</v>
      </c>
      <c r="AO2857" s="20">
        <v>724.44</v>
      </c>
    </row>
    <row r="2858" spans="1:41" ht="14.25" x14ac:dyDescent="0.2">
      <c r="A2858" s="2">
        <v>440103</v>
      </c>
      <c r="B2858" s="3" t="s">
        <v>778</v>
      </c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9"/>
      <c r="AL2858" s="9"/>
      <c r="AM2858" s="9"/>
      <c r="AN2858" s="9"/>
      <c r="AO2858" s="9"/>
    </row>
    <row r="2859" spans="1:41" s="15" customFormat="1" ht="14.25" x14ac:dyDescent="0.2">
      <c r="A2859" s="18" t="s">
        <v>1742</v>
      </c>
      <c r="B2859" s="19" t="s">
        <v>1743</v>
      </c>
      <c r="C2859" s="20">
        <v>6132.92</v>
      </c>
      <c r="D2859" s="20">
        <v>11672.35</v>
      </c>
      <c r="E2859" s="20">
        <v>17805.34</v>
      </c>
      <c r="F2859" s="20">
        <v>23740.639999999999</v>
      </c>
      <c r="G2859" s="20">
        <v>29875.7</v>
      </c>
      <c r="H2859" s="20">
        <v>35812.839999999997</v>
      </c>
      <c r="I2859" s="20">
        <v>41954.16</v>
      </c>
      <c r="J2859" s="20">
        <v>48101.06</v>
      </c>
      <c r="K2859" s="20">
        <v>54061.98</v>
      </c>
      <c r="L2859" s="20">
        <v>60226.27</v>
      </c>
      <c r="M2859" s="20">
        <v>66390.559999999998</v>
      </c>
      <c r="N2859" s="20">
        <v>72554.850000000006</v>
      </c>
      <c r="O2859" s="20"/>
      <c r="P2859" s="20">
        <v>938.83</v>
      </c>
      <c r="Q2859" s="20">
        <v>1946.33</v>
      </c>
      <c r="R2859" s="20">
        <v>2921.3</v>
      </c>
      <c r="S2859" s="20">
        <v>3928.77</v>
      </c>
      <c r="T2859" s="20">
        <v>4903.72</v>
      </c>
      <c r="U2859" s="20">
        <v>5911.19</v>
      </c>
      <c r="V2859" s="20">
        <v>6918.66</v>
      </c>
      <c r="W2859" s="20">
        <v>7893.61</v>
      </c>
      <c r="X2859" s="20">
        <v>7893.61</v>
      </c>
      <c r="Y2859" s="20">
        <v>7893.61</v>
      </c>
      <c r="Z2859" s="20">
        <v>8106.07</v>
      </c>
      <c r="AA2859" s="20"/>
      <c r="AB2859" s="20"/>
      <c r="AC2859" s="20">
        <v>3022.5</v>
      </c>
      <c r="AD2859" s="20">
        <v>3022.5</v>
      </c>
      <c r="AE2859" s="20">
        <v>3022.5</v>
      </c>
      <c r="AF2859" s="20">
        <v>6206.13</v>
      </c>
      <c r="AG2859" s="20">
        <v>7274.25</v>
      </c>
      <c r="AH2859" s="20">
        <v>8347.41</v>
      </c>
      <c r="AI2859" s="20">
        <v>9385.99</v>
      </c>
      <c r="AJ2859" s="20">
        <v>10469.86</v>
      </c>
      <c r="AK2859" s="20">
        <v>11541.27</v>
      </c>
      <c r="AL2859" s="20">
        <v>12658</v>
      </c>
      <c r="AM2859" s="20">
        <v>1126.31</v>
      </c>
      <c r="AN2859" s="20">
        <v>2143.62</v>
      </c>
      <c r="AO2859" s="20">
        <v>3269.97</v>
      </c>
    </row>
    <row r="2860" spans="1:41" s="15" customFormat="1" ht="14.25" x14ac:dyDescent="0.2">
      <c r="A2860" s="18" t="s">
        <v>1744</v>
      </c>
      <c r="B2860" s="19" t="s">
        <v>1745</v>
      </c>
      <c r="C2860" s="20">
        <v>2977.91</v>
      </c>
      <c r="D2860" s="20">
        <v>5447.98</v>
      </c>
      <c r="E2860" s="20">
        <v>8182.24</v>
      </c>
      <c r="F2860" s="20">
        <v>11018.69</v>
      </c>
      <c r="G2860" s="20">
        <v>13975</v>
      </c>
      <c r="H2860" s="20">
        <v>16921.509999999998</v>
      </c>
      <c r="I2860" s="20">
        <v>20002.62</v>
      </c>
      <c r="J2860" s="20">
        <v>23083.72</v>
      </c>
      <c r="K2860" s="20">
        <v>26065.47</v>
      </c>
      <c r="L2860" s="20">
        <v>29143.62</v>
      </c>
      <c r="M2860" s="20">
        <v>32221.77</v>
      </c>
      <c r="N2860" s="20">
        <v>35299.919999999998</v>
      </c>
      <c r="O2860" s="20">
        <v>2596.7199999999998</v>
      </c>
      <c r="P2860" s="20">
        <v>5454.04</v>
      </c>
      <c r="Q2860" s="20">
        <v>8569.66</v>
      </c>
      <c r="R2860" s="20">
        <v>11518.47</v>
      </c>
      <c r="S2860" s="20">
        <v>14580.42</v>
      </c>
      <c r="T2860" s="20">
        <v>17543.650000000001</v>
      </c>
      <c r="U2860" s="20">
        <v>20605.599999999999</v>
      </c>
      <c r="V2860" s="20">
        <v>23667.55</v>
      </c>
      <c r="W2860" s="20">
        <v>26630.78</v>
      </c>
      <c r="X2860" s="20">
        <v>26630.78</v>
      </c>
      <c r="Y2860" s="20">
        <v>26630.78</v>
      </c>
      <c r="Z2860" s="20">
        <v>38422.639999999999</v>
      </c>
      <c r="AA2860" s="20"/>
      <c r="AB2860" s="20"/>
      <c r="AC2860" s="20">
        <v>9346.86</v>
      </c>
      <c r="AD2860" s="20">
        <v>9346.86</v>
      </c>
      <c r="AE2860" s="20">
        <v>9346.86</v>
      </c>
      <c r="AF2860" s="20">
        <v>15939.8</v>
      </c>
      <c r="AG2860" s="20">
        <v>18453.46</v>
      </c>
      <c r="AH2860" s="20">
        <v>20950.86</v>
      </c>
      <c r="AI2860" s="20">
        <v>23279.95</v>
      </c>
      <c r="AJ2860" s="20">
        <v>26347.55</v>
      </c>
      <c r="AK2860" s="20">
        <v>29567.040000000001</v>
      </c>
      <c r="AL2860" s="20">
        <v>32858.559999999998</v>
      </c>
      <c r="AM2860" s="20">
        <v>3232.97</v>
      </c>
      <c r="AN2860" s="20">
        <v>6102.91</v>
      </c>
      <c r="AO2860" s="20">
        <v>9187.6</v>
      </c>
    </row>
    <row r="2861" spans="1:41" s="15" customFormat="1" ht="14.25" x14ac:dyDescent="0.2">
      <c r="A2861" s="18" t="s">
        <v>1746</v>
      </c>
      <c r="B2861" s="19" t="s">
        <v>1747</v>
      </c>
      <c r="C2861" s="20">
        <v>506.07</v>
      </c>
      <c r="D2861" s="20">
        <v>963.14</v>
      </c>
      <c r="E2861" s="20">
        <v>1471.56</v>
      </c>
      <c r="F2861" s="20">
        <v>2030.76</v>
      </c>
      <c r="G2861" s="20">
        <v>2608.66</v>
      </c>
      <c r="H2861" s="20">
        <v>3167.89</v>
      </c>
      <c r="I2861" s="20">
        <v>3745.78</v>
      </c>
      <c r="J2861" s="20">
        <v>4323.66</v>
      </c>
      <c r="K2861" s="20">
        <v>4882.8999999999996</v>
      </c>
      <c r="L2861" s="20">
        <v>5460.78</v>
      </c>
      <c r="M2861" s="20">
        <v>6038.66</v>
      </c>
      <c r="N2861" s="20">
        <v>6616.54</v>
      </c>
      <c r="O2861" s="20">
        <v>564.88</v>
      </c>
      <c r="P2861" s="20">
        <v>564.88</v>
      </c>
      <c r="Q2861" s="20">
        <v>564.88</v>
      </c>
      <c r="R2861" s="20">
        <v>564.88</v>
      </c>
      <c r="S2861" s="20">
        <v>564.88</v>
      </c>
      <c r="T2861" s="20">
        <v>1126.4000000000001</v>
      </c>
      <c r="U2861" s="20">
        <v>1126.4000000000001</v>
      </c>
      <c r="V2861" s="20">
        <v>1126.4000000000001</v>
      </c>
      <c r="W2861" s="20">
        <v>1687.92</v>
      </c>
      <c r="X2861" s="20">
        <v>1687.92</v>
      </c>
      <c r="Y2861" s="20">
        <v>1687.92</v>
      </c>
      <c r="Z2861" s="20">
        <v>3651.26</v>
      </c>
      <c r="AA2861" s="20"/>
      <c r="AB2861" s="20"/>
      <c r="AC2861" s="20"/>
      <c r="AD2861" s="20"/>
      <c r="AE2861" s="20"/>
      <c r="AF2861" s="20">
        <v>1435.59</v>
      </c>
      <c r="AG2861" s="20">
        <v>1905.57</v>
      </c>
      <c r="AH2861" s="20">
        <v>2375.58</v>
      </c>
      <c r="AI2861" s="20">
        <v>2830.42</v>
      </c>
      <c r="AJ2861" s="20">
        <v>3300.42</v>
      </c>
      <c r="AK2861" s="20">
        <v>3755.28</v>
      </c>
      <c r="AL2861" s="20">
        <v>4198.6499999999996</v>
      </c>
      <c r="AM2861" s="20">
        <v>432.51</v>
      </c>
      <c r="AN2861" s="20">
        <v>823.14</v>
      </c>
      <c r="AO2861" s="20">
        <v>1255.6300000000001</v>
      </c>
    </row>
    <row r="2862" spans="1:41" s="15" customFormat="1" ht="14.25" x14ac:dyDescent="0.2">
      <c r="A2862" s="18" t="s">
        <v>1748</v>
      </c>
      <c r="B2862" s="19" t="s">
        <v>1749</v>
      </c>
      <c r="C2862" s="20">
        <v>44022.58</v>
      </c>
      <c r="D2862" s="20">
        <v>47797.11</v>
      </c>
      <c r="E2862" s="20">
        <v>51976.03</v>
      </c>
      <c r="F2862" s="20">
        <v>56020.13</v>
      </c>
      <c r="G2862" s="20">
        <v>60199.040000000001</v>
      </c>
      <c r="H2862" s="20">
        <v>64243.16</v>
      </c>
      <c r="I2862" s="20">
        <v>68422.080000000002</v>
      </c>
      <c r="J2862" s="20">
        <v>72601</v>
      </c>
      <c r="K2862" s="20">
        <v>76645.100000000006</v>
      </c>
      <c r="L2862" s="20">
        <v>80824.03</v>
      </c>
      <c r="M2862" s="20">
        <v>85002.96</v>
      </c>
      <c r="N2862" s="20">
        <v>89181.89</v>
      </c>
      <c r="O2862" s="20"/>
      <c r="P2862" s="20">
        <v>253.45</v>
      </c>
      <c r="Q2862" s="20">
        <v>366.06</v>
      </c>
      <c r="R2862" s="20">
        <v>421.76</v>
      </c>
      <c r="S2862" s="20">
        <v>479.31</v>
      </c>
      <c r="T2862" s="20">
        <v>535.01</v>
      </c>
      <c r="U2862" s="20">
        <v>592.55999999999995</v>
      </c>
      <c r="V2862" s="20">
        <v>650.11</v>
      </c>
      <c r="W2862" s="20">
        <v>705.81</v>
      </c>
      <c r="X2862" s="20">
        <v>705.81</v>
      </c>
      <c r="Y2862" s="20">
        <v>705.81</v>
      </c>
      <c r="Z2862" s="20">
        <v>876.62</v>
      </c>
      <c r="AA2862" s="20"/>
      <c r="AB2862" s="20"/>
      <c r="AC2862" s="20">
        <v>337.83</v>
      </c>
      <c r="AD2862" s="20">
        <v>337.83</v>
      </c>
      <c r="AE2862" s="20">
        <v>337.83</v>
      </c>
      <c r="AF2862" s="20">
        <v>215.52</v>
      </c>
      <c r="AG2862" s="20">
        <v>240.3</v>
      </c>
      <c r="AH2862" s="20">
        <v>265.08999999999997</v>
      </c>
      <c r="AI2862" s="20">
        <v>289.07</v>
      </c>
      <c r="AJ2862" s="20">
        <v>318.83999999999997</v>
      </c>
      <c r="AK2862" s="20">
        <v>349.22</v>
      </c>
      <c r="AL2862" s="20">
        <v>377.39</v>
      </c>
      <c r="AM2862" s="20">
        <v>28.17</v>
      </c>
      <c r="AN2862" s="20">
        <v>53.63</v>
      </c>
      <c r="AO2862" s="20">
        <v>81.790000000000006</v>
      </c>
    </row>
    <row r="2863" spans="1:41" s="15" customFormat="1" ht="14.25" x14ac:dyDescent="0.2">
      <c r="A2863" s="18" t="s">
        <v>1750</v>
      </c>
      <c r="B2863" s="19" t="s">
        <v>1747</v>
      </c>
      <c r="C2863" s="20">
        <v>1320.89</v>
      </c>
      <c r="D2863" s="20">
        <v>2514.0100000000002</v>
      </c>
      <c r="E2863" s="20">
        <v>3834.92</v>
      </c>
      <c r="F2863" s="20">
        <v>3834.92</v>
      </c>
      <c r="G2863" s="20">
        <v>3834.92</v>
      </c>
      <c r="H2863" s="20">
        <v>3834.92</v>
      </c>
      <c r="I2863" s="20">
        <v>3834.92</v>
      </c>
      <c r="J2863" s="20">
        <v>3834.92</v>
      </c>
      <c r="K2863" s="20">
        <v>3834.92</v>
      </c>
      <c r="L2863" s="20">
        <v>5160.04</v>
      </c>
      <c r="M2863" s="20">
        <v>6485.16</v>
      </c>
      <c r="N2863" s="20">
        <v>7810.28</v>
      </c>
      <c r="O2863" s="20"/>
      <c r="P2863" s="20">
        <v>542.79</v>
      </c>
      <c r="Q2863" s="20">
        <v>1123.02</v>
      </c>
      <c r="R2863" s="20">
        <v>1684.54</v>
      </c>
      <c r="S2863" s="20">
        <v>2264.73</v>
      </c>
      <c r="T2863" s="20">
        <v>2264.73</v>
      </c>
      <c r="U2863" s="20">
        <v>2844.92</v>
      </c>
      <c r="V2863" s="20">
        <v>3425.11</v>
      </c>
      <c r="W2863" s="20">
        <v>3425.11</v>
      </c>
      <c r="X2863" s="20">
        <v>3425.11</v>
      </c>
      <c r="Y2863" s="20">
        <v>3425.11</v>
      </c>
      <c r="Z2863" s="20">
        <v>3425.11</v>
      </c>
      <c r="AA2863" s="20"/>
      <c r="AB2863" s="20"/>
      <c r="AC2863" s="20">
        <v>1740.69</v>
      </c>
      <c r="AD2863" s="20">
        <v>1740.69</v>
      </c>
      <c r="AE2863" s="20">
        <v>1740.69</v>
      </c>
      <c r="AF2863" s="20">
        <v>1740.69</v>
      </c>
      <c r="AG2863" s="20">
        <v>1740.69</v>
      </c>
      <c r="AH2863" s="20">
        <v>1740.69</v>
      </c>
      <c r="AI2863" s="20">
        <v>1740.69</v>
      </c>
      <c r="AJ2863" s="20">
        <v>1740.69</v>
      </c>
      <c r="AK2863" s="20">
        <v>1740.69</v>
      </c>
      <c r="AL2863" s="20">
        <v>1740.69</v>
      </c>
      <c r="AM2863" s="20"/>
      <c r="AN2863" s="20"/>
      <c r="AO2863" s="20"/>
    </row>
    <row r="2864" spans="1:41" s="15" customFormat="1" ht="14.25" x14ac:dyDescent="0.2">
      <c r="A2864" s="18" t="s">
        <v>1751</v>
      </c>
      <c r="B2864" s="19" t="s">
        <v>1752</v>
      </c>
      <c r="C2864" s="20">
        <v>2987.03</v>
      </c>
      <c r="D2864" s="20">
        <v>5689.26</v>
      </c>
      <c r="E2864" s="20">
        <v>8687.42</v>
      </c>
      <c r="F2864" s="20">
        <v>9966.91</v>
      </c>
      <c r="G2864" s="20">
        <v>11292</v>
      </c>
      <c r="H2864" s="20">
        <v>12574.34</v>
      </c>
      <c r="I2864" s="20">
        <v>13899.42</v>
      </c>
      <c r="J2864" s="20">
        <v>15224.49</v>
      </c>
      <c r="K2864" s="20">
        <v>16506.8</v>
      </c>
      <c r="L2864" s="20">
        <v>19614.52</v>
      </c>
      <c r="M2864" s="20">
        <v>22722.240000000002</v>
      </c>
      <c r="N2864" s="20">
        <v>25829.96</v>
      </c>
      <c r="O2864" s="20">
        <v>185.22</v>
      </c>
      <c r="P2864" s="20">
        <v>1041.56</v>
      </c>
      <c r="Q2864" s="20">
        <v>1956.93</v>
      </c>
      <c r="R2864" s="20">
        <v>2842.81</v>
      </c>
      <c r="S2864" s="20">
        <v>3754.27</v>
      </c>
      <c r="T2864" s="20">
        <v>4632.8500000000004</v>
      </c>
      <c r="U2864" s="20">
        <v>5544.31</v>
      </c>
      <c r="V2864" s="20">
        <v>6455.77</v>
      </c>
      <c r="W2864" s="20">
        <v>7334.35</v>
      </c>
      <c r="X2864" s="20">
        <v>7334.35</v>
      </c>
      <c r="Y2864" s="20">
        <v>7334.35</v>
      </c>
      <c r="Z2864" s="20">
        <v>10021.44</v>
      </c>
      <c r="AA2864" s="20"/>
      <c r="AB2864" s="20"/>
      <c r="AC2864" s="20">
        <v>2746.11</v>
      </c>
      <c r="AD2864" s="20">
        <v>2746.11</v>
      </c>
      <c r="AE2864" s="20">
        <v>2746.11</v>
      </c>
      <c r="AF2864" s="20">
        <v>5158.95</v>
      </c>
      <c r="AG2864" s="20">
        <v>5942.6</v>
      </c>
      <c r="AH2864" s="20">
        <v>6697.46</v>
      </c>
      <c r="AI2864" s="20">
        <v>7420.79</v>
      </c>
      <c r="AJ2864" s="20">
        <v>8162.56</v>
      </c>
      <c r="AK2864" s="20">
        <v>8834.33</v>
      </c>
      <c r="AL2864" s="20">
        <v>9511.2099999999991</v>
      </c>
      <c r="AM2864" s="20">
        <v>676.83</v>
      </c>
      <c r="AN2864" s="20">
        <v>1288.2</v>
      </c>
      <c r="AO2864" s="20">
        <v>1965.05</v>
      </c>
    </row>
    <row r="2865" spans="1:41" s="15" customFormat="1" ht="14.25" x14ac:dyDescent="0.2">
      <c r="A2865" s="18" t="s">
        <v>1753</v>
      </c>
      <c r="B2865" s="19" t="s">
        <v>1754</v>
      </c>
      <c r="C2865" s="20"/>
      <c r="D2865" s="20"/>
      <c r="E2865" s="20"/>
      <c r="F2865" s="20">
        <v>2918.19</v>
      </c>
      <c r="G2865" s="20">
        <v>5987.68</v>
      </c>
      <c r="H2865" s="20">
        <v>8989.18</v>
      </c>
      <c r="I2865" s="20">
        <v>12092.93</v>
      </c>
      <c r="J2865" s="20">
        <v>15196.66</v>
      </c>
      <c r="K2865" s="20">
        <v>18204.23</v>
      </c>
      <c r="L2865" s="20">
        <v>19324.64</v>
      </c>
      <c r="M2865" s="20">
        <v>20445.05</v>
      </c>
      <c r="N2865" s="20">
        <v>21565.46</v>
      </c>
      <c r="O2865" s="20">
        <v>3010.22</v>
      </c>
      <c r="P2865" s="20">
        <v>5927.93</v>
      </c>
      <c r="Q2865" s="20">
        <v>9069.51</v>
      </c>
      <c r="R2865" s="20">
        <v>12109.76</v>
      </c>
      <c r="S2865" s="20">
        <v>15258.3</v>
      </c>
      <c r="T2865" s="20">
        <v>18317.37</v>
      </c>
      <c r="U2865" s="20">
        <v>21465.91</v>
      </c>
      <c r="V2865" s="20">
        <v>24614.45</v>
      </c>
      <c r="W2865" s="20">
        <v>27673.52</v>
      </c>
      <c r="X2865" s="20">
        <v>27673.52</v>
      </c>
      <c r="Y2865" s="20">
        <v>27673.52</v>
      </c>
      <c r="Z2865" s="20">
        <v>37210.019999999997</v>
      </c>
      <c r="AA2865" s="20"/>
      <c r="AB2865" s="20"/>
      <c r="AC2865" s="20">
        <v>9424.74</v>
      </c>
      <c r="AD2865" s="20">
        <v>9424.74</v>
      </c>
      <c r="AE2865" s="20">
        <v>9424.74</v>
      </c>
      <c r="AF2865" s="20">
        <v>19046.45</v>
      </c>
      <c r="AG2865" s="20">
        <v>22256.82</v>
      </c>
      <c r="AH2865" s="20">
        <v>25433.39</v>
      </c>
      <c r="AI2865" s="20">
        <v>28487.79</v>
      </c>
      <c r="AJ2865" s="20">
        <v>31648.45</v>
      </c>
      <c r="AK2865" s="20">
        <v>34710.18</v>
      </c>
      <c r="AL2865" s="20">
        <v>37843.65</v>
      </c>
      <c r="AM2865" s="20">
        <v>3113.99</v>
      </c>
      <c r="AN2865" s="20">
        <v>5926.59</v>
      </c>
      <c r="AO2865" s="20">
        <v>8949.93</v>
      </c>
    </row>
    <row r="2866" spans="1:41" s="15" customFormat="1" ht="14.25" x14ac:dyDescent="0.2">
      <c r="A2866" s="18" t="s">
        <v>1755</v>
      </c>
      <c r="B2866" s="19" t="s">
        <v>1756</v>
      </c>
      <c r="C2866" s="20">
        <v>1114.94</v>
      </c>
      <c r="D2866" s="20">
        <v>2122.0100000000002</v>
      </c>
      <c r="E2866" s="20">
        <v>3236.96</v>
      </c>
      <c r="F2866" s="20">
        <v>4315.93</v>
      </c>
      <c r="G2866" s="20">
        <v>5430.89</v>
      </c>
      <c r="H2866" s="20">
        <v>6513.03</v>
      </c>
      <c r="I2866" s="20">
        <v>7633.45</v>
      </c>
      <c r="J2866" s="20">
        <v>8753.8799999999992</v>
      </c>
      <c r="K2866" s="20">
        <v>9838.16</v>
      </c>
      <c r="L2866" s="20">
        <v>9874.48</v>
      </c>
      <c r="M2866" s="20">
        <v>9910.7999999999993</v>
      </c>
      <c r="N2866" s="20">
        <v>9947.1200000000008</v>
      </c>
      <c r="O2866" s="20">
        <v>1084.3</v>
      </c>
      <c r="P2866" s="20">
        <v>2132.4499999999998</v>
      </c>
      <c r="Q2866" s="20">
        <v>3252.86</v>
      </c>
      <c r="R2866" s="20">
        <v>4337.1499999999996</v>
      </c>
      <c r="S2866" s="20">
        <v>5457.57</v>
      </c>
      <c r="T2866" s="20">
        <v>6541.84</v>
      </c>
      <c r="U2866" s="20">
        <v>7662.26</v>
      </c>
      <c r="V2866" s="20">
        <v>8782.68</v>
      </c>
      <c r="W2866" s="20">
        <v>9866.9500000000007</v>
      </c>
      <c r="X2866" s="20">
        <v>9866.9500000000007</v>
      </c>
      <c r="Y2866" s="20">
        <v>9866.9500000000007</v>
      </c>
      <c r="Z2866" s="20">
        <v>13192.05</v>
      </c>
      <c r="AA2866" s="20"/>
      <c r="AB2866" s="20"/>
      <c r="AC2866" s="20">
        <v>3361.23</v>
      </c>
      <c r="AD2866" s="20">
        <v>3361.23</v>
      </c>
      <c r="AE2866" s="20">
        <v>3361.23</v>
      </c>
      <c r="AF2866" s="20">
        <v>6603.19</v>
      </c>
      <c r="AG2866" s="20">
        <v>7804.61</v>
      </c>
      <c r="AH2866" s="20">
        <v>9006.0499999999993</v>
      </c>
      <c r="AI2866" s="20">
        <v>10168.74</v>
      </c>
      <c r="AJ2866" s="20">
        <v>11214.29</v>
      </c>
      <c r="AK2866" s="20">
        <v>12173.7</v>
      </c>
      <c r="AL2866" s="20">
        <v>13101.16</v>
      </c>
      <c r="AM2866" s="20">
        <v>905.22</v>
      </c>
      <c r="AN2866" s="20">
        <v>1722.85</v>
      </c>
      <c r="AO2866" s="20">
        <v>2628.08</v>
      </c>
    </row>
    <row r="2867" spans="1:41" s="15" customFormat="1" ht="14.25" x14ac:dyDescent="0.2">
      <c r="A2867" s="18" t="s">
        <v>1757</v>
      </c>
      <c r="B2867" s="19" t="s">
        <v>1758</v>
      </c>
      <c r="C2867" s="20"/>
      <c r="D2867" s="20"/>
      <c r="E2867" s="20"/>
      <c r="F2867" s="20">
        <v>35.14</v>
      </c>
      <c r="G2867" s="20">
        <v>71.45</v>
      </c>
      <c r="H2867" s="20">
        <v>106.6</v>
      </c>
      <c r="I2867" s="20">
        <v>142.91999999999999</v>
      </c>
      <c r="J2867" s="20">
        <v>179.24</v>
      </c>
      <c r="K2867" s="20">
        <v>214.38</v>
      </c>
      <c r="L2867" s="20">
        <v>390.11</v>
      </c>
      <c r="M2867" s="20">
        <v>565.84</v>
      </c>
      <c r="N2867" s="20">
        <v>741.57</v>
      </c>
      <c r="O2867" s="20">
        <v>35.15</v>
      </c>
      <c r="P2867" s="20">
        <v>69.13</v>
      </c>
      <c r="Q2867" s="20">
        <v>105.45</v>
      </c>
      <c r="R2867" s="20">
        <v>146.12</v>
      </c>
      <c r="S2867" s="20">
        <v>196.67</v>
      </c>
      <c r="T2867" s="20">
        <v>245.58</v>
      </c>
      <c r="U2867" s="20">
        <v>296.13</v>
      </c>
      <c r="V2867" s="20">
        <v>346.68</v>
      </c>
      <c r="W2867" s="20">
        <v>395.59</v>
      </c>
      <c r="X2867" s="20">
        <v>395.59</v>
      </c>
      <c r="Y2867" s="20">
        <v>395.59</v>
      </c>
      <c r="Z2867" s="20">
        <v>545.62</v>
      </c>
      <c r="AA2867" s="20"/>
      <c r="AB2867" s="20"/>
      <c r="AC2867" s="20">
        <v>108.96</v>
      </c>
      <c r="AD2867" s="20">
        <v>108.96</v>
      </c>
      <c r="AE2867" s="20">
        <v>108.96</v>
      </c>
      <c r="AF2867" s="20">
        <v>295.14999999999998</v>
      </c>
      <c r="AG2867" s="20">
        <v>345.7</v>
      </c>
      <c r="AH2867" s="20">
        <v>396.24</v>
      </c>
      <c r="AI2867" s="20">
        <v>445.16</v>
      </c>
      <c r="AJ2867" s="20">
        <v>495.72</v>
      </c>
      <c r="AK2867" s="20">
        <v>544.64</v>
      </c>
      <c r="AL2867" s="20">
        <v>595.19000000000005</v>
      </c>
      <c r="AM2867" s="20">
        <v>50.53</v>
      </c>
      <c r="AN2867" s="20">
        <v>96.21</v>
      </c>
      <c r="AO2867" s="20">
        <v>150.59</v>
      </c>
    </row>
    <row r="2868" spans="1:41" s="15" customFormat="1" ht="14.25" x14ac:dyDescent="0.2">
      <c r="A2868" s="18" t="s">
        <v>1759</v>
      </c>
      <c r="B2868" s="19" t="s">
        <v>1760</v>
      </c>
      <c r="C2868" s="20">
        <v>170.62</v>
      </c>
      <c r="D2868" s="20">
        <v>324.74</v>
      </c>
      <c r="E2868" s="20">
        <v>495.36</v>
      </c>
      <c r="F2868" s="20">
        <v>662.63</v>
      </c>
      <c r="G2868" s="20">
        <v>838.35</v>
      </c>
      <c r="H2868" s="20">
        <v>1008.4</v>
      </c>
      <c r="I2868" s="20">
        <v>1184.1300000000001</v>
      </c>
      <c r="J2868" s="20">
        <v>1359.86</v>
      </c>
      <c r="K2868" s="20">
        <v>1529.91</v>
      </c>
      <c r="L2868" s="20">
        <v>1529.91</v>
      </c>
      <c r="M2868" s="20">
        <v>1529.91</v>
      </c>
      <c r="N2868" s="20">
        <v>1529.91</v>
      </c>
      <c r="O2868" s="20">
        <v>170.01</v>
      </c>
      <c r="P2868" s="20">
        <v>334.42</v>
      </c>
      <c r="Q2868" s="20">
        <v>510.14</v>
      </c>
      <c r="R2868" s="20">
        <v>680.19</v>
      </c>
      <c r="S2868" s="20">
        <v>855.91</v>
      </c>
      <c r="T2868" s="20">
        <v>1025.97</v>
      </c>
      <c r="U2868" s="20">
        <v>1201.69</v>
      </c>
      <c r="V2868" s="20">
        <v>1377.41</v>
      </c>
      <c r="W2868" s="20">
        <v>1547.47</v>
      </c>
      <c r="X2868" s="20">
        <v>1547.47</v>
      </c>
      <c r="Y2868" s="20">
        <v>1547.47</v>
      </c>
      <c r="Z2868" s="20">
        <v>2069</v>
      </c>
      <c r="AA2868" s="20"/>
      <c r="AB2868" s="20"/>
      <c r="AC2868" s="20">
        <v>527.16</v>
      </c>
      <c r="AD2868" s="20">
        <v>527.16</v>
      </c>
      <c r="AE2868" s="20">
        <v>527.16</v>
      </c>
      <c r="AF2868" s="20">
        <v>1179.76</v>
      </c>
      <c r="AG2868" s="20">
        <v>1373.51</v>
      </c>
      <c r="AH2868" s="20">
        <v>1560.94</v>
      </c>
      <c r="AI2868" s="20">
        <v>1742.32</v>
      </c>
      <c r="AJ2868" s="20">
        <v>1929.73</v>
      </c>
      <c r="AK2868" s="20">
        <v>2111.1</v>
      </c>
      <c r="AL2868" s="20">
        <v>2298.52</v>
      </c>
      <c r="AM2868" s="20">
        <v>187.41</v>
      </c>
      <c r="AN2868" s="20">
        <v>356.69</v>
      </c>
      <c r="AO2868" s="20">
        <v>544.1</v>
      </c>
    </row>
    <row r="2869" spans="1:41" ht="14.25" x14ac:dyDescent="0.2">
      <c r="A2869" s="2">
        <v>440104</v>
      </c>
      <c r="B2869" s="3" t="s">
        <v>779</v>
      </c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  <c r="AO2869" s="9"/>
    </row>
    <row r="2870" spans="1:41" s="15" customFormat="1" ht="14.25" x14ac:dyDescent="0.2">
      <c r="A2870" s="18" t="s">
        <v>1763</v>
      </c>
      <c r="B2870" s="19" t="s">
        <v>1764</v>
      </c>
      <c r="C2870" s="20">
        <v>1</v>
      </c>
      <c r="D2870" s="20">
        <v>1</v>
      </c>
      <c r="E2870" s="20">
        <v>1</v>
      </c>
      <c r="F2870" s="20">
        <v>1</v>
      </c>
      <c r="G2870" s="20">
        <v>1</v>
      </c>
      <c r="H2870" s="20">
        <v>1</v>
      </c>
      <c r="I2870" s="20">
        <v>1</v>
      </c>
      <c r="J2870" s="20">
        <v>1</v>
      </c>
      <c r="K2870" s="20">
        <v>1</v>
      </c>
      <c r="L2870" s="20">
        <v>1</v>
      </c>
      <c r="M2870" s="20">
        <v>1</v>
      </c>
      <c r="N2870" s="20">
        <v>1</v>
      </c>
      <c r="O2870" s="20"/>
      <c r="P2870" s="20"/>
      <c r="Q2870" s="20"/>
      <c r="R2870" s="20"/>
      <c r="S2870" s="20"/>
      <c r="T2870" s="20"/>
      <c r="U2870" s="20"/>
      <c r="V2870" s="20"/>
      <c r="W2870" s="20"/>
      <c r="X2870" s="20"/>
      <c r="Y2870" s="20"/>
      <c r="Z2870" s="20"/>
      <c r="AA2870" s="20"/>
      <c r="AB2870" s="20"/>
      <c r="AC2870" s="20"/>
      <c r="AD2870" s="20"/>
      <c r="AE2870" s="20"/>
      <c r="AF2870" s="20"/>
      <c r="AG2870" s="20"/>
      <c r="AH2870" s="20"/>
      <c r="AI2870" s="20"/>
      <c r="AJ2870" s="20"/>
      <c r="AK2870" s="20"/>
      <c r="AL2870" s="20"/>
      <c r="AM2870" s="20"/>
      <c r="AN2870" s="20"/>
      <c r="AO2870" s="20"/>
    </row>
    <row r="2871" spans="1:41" ht="14.25" x14ac:dyDescent="0.2">
      <c r="A2871" s="2">
        <v>440105</v>
      </c>
      <c r="B2871" s="3" t="s">
        <v>780</v>
      </c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9"/>
      <c r="AL2871" s="9"/>
      <c r="AM2871" s="9"/>
      <c r="AN2871" s="9"/>
      <c r="AO2871" s="9"/>
    </row>
    <row r="2872" spans="1:41" ht="14.25" x14ac:dyDescent="0.2">
      <c r="A2872" s="2">
        <v>440107</v>
      </c>
      <c r="B2872" s="3" t="s">
        <v>781</v>
      </c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  <c r="AK2872" s="9"/>
      <c r="AL2872" s="9"/>
      <c r="AM2872" s="9"/>
      <c r="AN2872" s="9"/>
      <c r="AO2872" s="9"/>
    </row>
    <row r="2873" spans="1:41" ht="14.25" x14ac:dyDescent="0.2">
      <c r="A2873" s="2">
        <v>4403</v>
      </c>
      <c r="B2873" s="3" t="s">
        <v>782</v>
      </c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  <c r="AO2873" s="9"/>
    </row>
    <row r="2874" spans="1:41" s="15" customFormat="1" ht="14.25" x14ac:dyDescent="0.2">
      <c r="A2874" s="18" t="s">
        <v>1761</v>
      </c>
      <c r="B2874" s="19" t="s">
        <v>1762</v>
      </c>
      <c r="C2874" s="20"/>
      <c r="D2874" s="20"/>
      <c r="E2874" s="20"/>
      <c r="F2874" s="20"/>
      <c r="G2874" s="20"/>
      <c r="H2874" s="20"/>
      <c r="I2874" s="20"/>
      <c r="J2874" s="20"/>
      <c r="K2874" s="20"/>
      <c r="L2874" s="20"/>
      <c r="M2874" s="20"/>
      <c r="N2874" s="20"/>
      <c r="O2874" s="20">
        <v>355.36</v>
      </c>
      <c r="P2874" s="20">
        <v>710.72</v>
      </c>
      <c r="Q2874" s="20">
        <v>1066.08</v>
      </c>
      <c r="R2874" s="20">
        <v>1387.05</v>
      </c>
      <c r="S2874" s="20">
        <v>1742.4</v>
      </c>
      <c r="T2874" s="20">
        <v>2086.3000000000002</v>
      </c>
      <c r="U2874" s="20">
        <v>2441.65</v>
      </c>
      <c r="V2874" s="20">
        <v>2797</v>
      </c>
      <c r="W2874" s="20">
        <v>3140.9</v>
      </c>
      <c r="X2874" s="20">
        <v>3140.9</v>
      </c>
      <c r="Y2874" s="20">
        <v>3140.9</v>
      </c>
      <c r="Z2874" s="20">
        <v>4195.53</v>
      </c>
      <c r="AA2874" s="20"/>
      <c r="AB2874" s="20"/>
      <c r="AC2874" s="20">
        <v>1066.08</v>
      </c>
      <c r="AD2874" s="20">
        <v>1066.08</v>
      </c>
      <c r="AE2874" s="20">
        <v>1066.08</v>
      </c>
      <c r="AF2874" s="20">
        <v>2074.84</v>
      </c>
      <c r="AG2874" s="20">
        <v>2430.1999999999998</v>
      </c>
      <c r="AH2874" s="20">
        <v>2785.56</v>
      </c>
      <c r="AI2874" s="20">
        <v>3129.45</v>
      </c>
      <c r="AJ2874" s="20">
        <v>3484.81</v>
      </c>
      <c r="AK2874" s="20">
        <v>3828.71</v>
      </c>
      <c r="AL2874" s="20">
        <v>4184.07</v>
      </c>
      <c r="AM2874" s="20">
        <v>355.36</v>
      </c>
      <c r="AN2874" s="20">
        <v>676.33</v>
      </c>
      <c r="AO2874" s="20">
        <v>1031.69</v>
      </c>
    </row>
    <row r="2875" spans="1:41" ht="14.25" x14ac:dyDescent="0.2">
      <c r="A2875" s="2">
        <v>440304</v>
      </c>
      <c r="B2875" s="3" t="s">
        <v>783</v>
      </c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  <c r="AO2875" s="9"/>
    </row>
    <row r="2876" spans="1:41" ht="14.25" x14ac:dyDescent="0.2">
      <c r="A2876" s="2">
        <v>440307</v>
      </c>
      <c r="B2876" s="3" t="s">
        <v>784</v>
      </c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9"/>
      <c r="AL2876" s="9"/>
      <c r="AM2876" s="9"/>
      <c r="AN2876" s="9"/>
      <c r="AO2876" s="9"/>
    </row>
    <row r="2877" spans="1:41" ht="14.25" x14ac:dyDescent="0.2">
      <c r="A2877" s="2">
        <v>4404</v>
      </c>
      <c r="B2877" s="3" t="s">
        <v>785</v>
      </c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9"/>
      <c r="AL2877" s="9"/>
      <c r="AM2877" s="9"/>
      <c r="AN2877" s="9"/>
      <c r="AO2877" s="9"/>
    </row>
    <row r="2878" spans="1:41" s="15" customFormat="1" ht="14.25" x14ac:dyDescent="0.2">
      <c r="A2878" s="18" t="s">
        <v>1765</v>
      </c>
      <c r="B2878" s="19" t="s">
        <v>1766</v>
      </c>
      <c r="C2878" s="20">
        <v>1525.43</v>
      </c>
      <c r="D2878" s="20">
        <v>1525.43</v>
      </c>
      <c r="E2878" s="20">
        <v>1525.43</v>
      </c>
      <c r="F2878" s="20">
        <v>1525.43</v>
      </c>
      <c r="G2878" s="20">
        <v>1525.43</v>
      </c>
      <c r="H2878" s="20">
        <v>1525.43</v>
      </c>
      <c r="I2878" s="20">
        <v>1525.43</v>
      </c>
      <c r="J2878" s="20">
        <v>1525.43</v>
      </c>
      <c r="K2878" s="20">
        <v>1525.43</v>
      </c>
      <c r="L2878" s="20">
        <v>1525.43</v>
      </c>
      <c r="M2878" s="20">
        <v>1525.43</v>
      </c>
      <c r="N2878" s="20">
        <v>1525.43</v>
      </c>
      <c r="O2878" s="20"/>
      <c r="P2878" s="20"/>
      <c r="Q2878" s="20"/>
      <c r="R2878" s="20"/>
      <c r="S2878" s="20"/>
      <c r="T2878" s="20"/>
      <c r="U2878" s="20"/>
      <c r="V2878" s="20"/>
      <c r="W2878" s="20"/>
      <c r="X2878" s="20"/>
      <c r="Y2878" s="20"/>
      <c r="Z2878" s="20"/>
      <c r="AA2878" s="20"/>
      <c r="AB2878" s="20"/>
      <c r="AC2878" s="20"/>
      <c r="AD2878" s="20"/>
      <c r="AE2878" s="20"/>
      <c r="AF2878" s="20"/>
      <c r="AG2878" s="20"/>
      <c r="AH2878" s="20"/>
      <c r="AI2878" s="20"/>
      <c r="AJ2878" s="20"/>
      <c r="AK2878" s="20"/>
      <c r="AL2878" s="20"/>
      <c r="AM2878" s="20"/>
      <c r="AN2878" s="20"/>
      <c r="AO2878" s="20"/>
    </row>
    <row r="2879" spans="1:41" ht="14.25" x14ac:dyDescent="0.2">
      <c r="A2879" s="2">
        <v>440402</v>
      </c>
      <c r="B2879" s="3" t="s">
        <v>786</v>
      </c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  <c r="AO2879" s="9"/>
    </row>
    <row r="2880" spans="1:41" ht="14.25" x14ac:dyDescent="0.2">
      <c r="A2880" s="2">
        <v>440403</v>
      </c>
      <c r="B2880" s="3" t="s">
        <v>787</v>
      </c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  <c r="AO2880" s="9"/>
    </row>
    <row r="2881" spans="1:41" ht="14.25" x14ac:dyDescent="0.2">
      <c r="A2881" s="2">
        <v>440404</v>
      </c>
      <c r="B2881" s="3" t="s">
        <v>788</v>
      </c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  <c r="AO2881" s="9"/>
    </row>
    <row r="2882" spans="1:41" ht="14.25" x14ac:dyDescent="0.2">
      <c r="A2882" s="2">
        <v>440405</v>
      </c>
      <c r="B2882" s="3" t="s">
        <v>789</v>
      </c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9"/>
      <c r="AL2882" s="9"/>
      <c r="AM2882" s="9"/>
      <c r="AN2882" s="9"/>
      <c r="AO2882" s="9"/>
    </row>
    <row r="2883" spans="1:41" ht="14.25" x14ac:dyDescent="0.2">
      <c r="A2883" s="2">
        <v>440407</v>
      </c>
      <c r="B2883" s="3" t="s">
        <v>790</v>
      </c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9"/>
      <c r="AL2883" s="9"/>
      <c r="AM2883" s="9"/>
      <c r="AN2883" s="9"/>
      <c r="AO2883" s="9"/>
    </row>
    <row r="2884" spans="1:41" ht="14.25" x14ac:dyDescent="0.2">
      <c r="A2884" s="2">
        <v>4405</v>
      </c>
      <c r="B2884" s="3" t="s">
        <v>791</v>
      </c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9"/>
      <c r="AH2884" s="9"/>
      <c r="AI2884" s="9"/>
      <c r="AJ2884" s="9"/>
      <c r="AK2884" s="9"/>
      <c r="AL2884" s="9"/>
      <c r="AM2884" s="9"/>
      <c r="AN2884" s="9"/>
      <c r="AO2884" s="9"/>
    </row>
    <row r="2885" spans="1:41" ht="14.25" x14ac:dyDescent="0.2">
      <c r="A2885" s="2">
        <v>440503</v>
      </c>
      <c r="B2885" s="3" t="s">
        <v>792</v>
      </c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9"/>
      <c r="AN2885" s="9"/>
      <c r="AO2885" s="9"/>
    </row>
    <row r="2886" spans="1:41" ht="14.25" x14ac:dyDescent="0.2">
      <c r="A2886" s="2">
        <v>440504</v>
      </c>
      <c r="B2886" s="3" t="s">
        <v>793</v>
      </c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9"/>
    </row>
    <row r="2887" spans="1:41" ht="14.25" x14ac:dyDescent="0.2">
      <c r="A2887" s="2">
        <v>440507</v>
      </c>
      <c r="B2887" s="3" t="s">
        <v>794</v>
      </c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9"/>
      <c r="AN2887" s="9"/>
      <c r="AO2887" s="9"/>
    </row>
    <row r="2888" spans="1:41" ht="14.25" x14ac:dyDescent="0.2">
      <c r="A2888" s="2">
        <v>45</v>
      </c>
      <c r="B2888" s="3" t="s">
        <v>795</v>
      </c>
      <c r="C2888" s="20">
        <f>+C2889+C2927+C2960+C3082+C3101</f>
        <v>559801.80000000005</v>
      </c>
      <c r="D2888" s="20">
        <f t="shared" ref="D2888:AO2888" si="89">+D2889+D2927+D2960+D3082+D3101</f>
        <v>1207653.81</v>
      </c>
      <c r="E2888" s="20">
        <f t="shared" si="89"/>
        <v>1994795.25</v>
      </c>
      <c r="F2888" s="20">
        <f t="shared" si="89"/>
        <v>2519969.61</v>
      </c>
      <c r="G2888" s="20">
        <f t="shared" si="89"/>
        <v>3198105.83</v>
      </c>
      <c r="H2888" s="20">
        <f t="shared" si="89"/>
        <v>3903930.25</v>
      </c>
      <c r="I2888" s="20">
        <f t="shared" si="89"/>
        <v>4613456.540000001</v>
      </c>
      <c r="J2888" s="20">
        <f t="shared" si="89"/>
        <v>5292077.7299999995</v>
      </c>
      <c r="K2888" s="20">
        <f t="shared" si="89"/>
        <v>6065455.6700000009</v>
      </c>
      <c r="L2888" s="20">
        <f t="shared" si="89"/>
        <v>6591209.2599999998</v>
      </c>
      <c r="M2888" s="20">
        <f t="shared" si="89"/>
        <v>7243057.4700000007</v>
      </c>
      <c r="N2888" s="20">
        <f t="shared" si="89"/>
        <v>7801359.2600000026</v>
      </c>
      <c r="O2888" s="20">
        <f t="shared" si="89"/>
        <v>634700.78</v>
      </c>
      <c r="P2888" s="20">
        <f t="shared" si="89"/>
        <v>1352518.0399999998</v>
      </c>
      <c r="Q2888" s="20">
        <f t="shared" si="89"/>
        <v>2362912.52</v>
      </c>
      <c r="R2888" s="20">
        <f t="shared" si="89"/>
        <v>3120816.0700000003</v>
      </c>
      <c r="S2888" s="20">
        <f t="shared" si="89"/>
        <v>3772053.8400000003</v>
      </c>
      <c r="T2888" s="20">
        <f t="shared" si="89"/>
        <v>4347876.8800000008</v>
      </c>
      <c r="U2888" s="20">
        <f t="shared" si="89"/>
        <v>4798797.43</v>
      </c>
      <c r="V2888" s="20">
        <f t="shared" si="89"/>
        <v>5366904.4800000004</v>
      </c>
      <c r="W2888" s="20">
        <f t="shared" si="89"/>
        <v>6001202.5800000001</v>
      </c>
      <c r="X2888" s="20">
        <f t="shared" si="89"/>
        <v>6514822.0200000014</v>
      </c>
      <c r="Y2888" s="20">
        <f t="shared" si="89"/>
        <v>7156102.2200000007</v>
      </c>
      <c r="Z2888" s="20">
        <f t="shared" si="89"/>
        <v>7840231.5999999996</v>
      </c>
      <c r="AA2888" s="20">
        <f t="shared" si="89"/>
        <v>579971.32999999996</v>
      </c>
      <c r="AB2888" s="20">
        <f t="shared" si="89"/>
        <v>1176493.5799999998</v>
      </c>
      <c r="AC2888" s="20">
        <f t="shared" si="89"/>
        <v>2036177.1299999997</v>
      </c>
      <c r="AD2888" s="20">
        <f t="shared" si="89"/>
        <v>2716202.13</v>
      </c>
      <c r="AE2888" s="20">
        <f t="shared" si="89"/>
        <v>3378828.6399999992</v>
      </c>
      <c r="AF2888" s="20">
        <f t="shared" si="89"/>
        <v>4025197.1</v>
      </c>
      <c r="AG2888" s="20">
        <f t="shared" si="89"/>
        <v>4646570.71</v>
      </c>
      <c r="AH2888" s="20">
        <f t="shared" si="89"/>
        <v>5258490.3600000003</v>
      </c>
      <c r="AI2888" s="20">
        <f t="shared" si="89"/>
        <v>6023848.21</v>
      </c>
      <c r="AJ2888" s="20">
        <f t="shared" si="89"/>
        <v>6625302.3599999994</v>
      </c>
      <c r="AK2888" s="20">
        <f t="shared" si="89"/>
        <v>7178999.6400000006</v>
      </c>
      <c r="AL2888" s="20">
        <f t="shared" si="89"/>
        <v>7638523.1300000008</v>
      </c>
      <c r="AM2888" s="20">
        <f t="shared" si="89"/>
        <v>501830.34</v>
      </c>
      <c r="AN2888" s="20">
        <f t="shared" si="89"/>
        <v>1105449.0300000003</v>
      </c>
      <c r="AO2888" s="20">
        <f t="shared" si="89"/>
        <v>1844456.52</v>
      </c>
    </row>
    <row r="2889" spans="1:41" ht="14.25" x14ac:dyDescent="0.2">
      <c r="A2889" s="2">
        <v>4501</v>
      </c>
      <c r="B2889" s="3" t="s">
        <v>796</v>
      </c>
      <c r="C2889" s="20">
        <f>SUM(C2891:C2926)</f>
        <v>209248.13999999996</v>
      </c>
      <c r="D2889" s="20">
        <f t="shared" ref="D2889:AO2889" si="90">SUM(D2891:D2926)</f>
        <v>435753.04</v>
      </c>
      <c r="E2889" s="20">
        <f t="shared" si="90"/>
        <v>645695.01</v>
      </c>
      <c r="F2889" s="20">
        <f t="shared" si="90"/>
        <v>896121.1</v>
      </c>
      <c r="G2889" s="20">
        <f t="shared" si="90"/>
        <v>1154776.6300000001</v>
      </c>
      <c r="H2889" s="20">
        <f t="shared" si="90"/>
        <v>1432907.9400000002</v>
      </c>
      <c r="I2889" s="20">
        <f t="shared" si="90"/>
        <v>1748753.8499999999</v>
      </c>
      <c r="J2889" s="20">
        <f t="shared" si="90"/>
        <v>2004036.8699999999</v>
      </c>
      <c r="K2889" s="20">
        <f t="shared" si="90"/>
        <v>2286903.92</v>
      </c>
      <c r="L2889" s="20">
        <f t="shared" si="90"/>
        <v>2487217.96</v>
      </c>
      <c r="M2889" s="20">
        <f t="shared" si="90"/>
        <v>2704267.9200000004</v>
      </c>
      <c r="N2889" s="20">
        <f t="shared" si="90"/>
        <v>2874719.8600000003</v>
      </c>
      <c r="O2889" s="20">
        <f t="shared" si="90"/>
        <v>240439.16</v>
      </c>
      <c r="P2889" s="20">
        <f t="shared" si="90"/>
        <v>464181.6999999999</v>
      </c>
      <c r="Q2889" s="20">
        <f t="shared" si="90"/>
        <v>708531.67999999982</v>
      </c>
      <c r="R2889" s="20">
        <f t="shared" si="90"/>
        <v>931241.36</v>
      </c>
      <c r="S2889" s="20">
        <f t="shared" si="90"/>
        <v>1167832.6399999999</v>
      </c>
      <c r="T2889" s="20">
        <f t="shared" si="90"/>
        <v>1406207.7600000005</v>
      </c>
      <c r="U2889" s="20">
        <f t="shared" si="90"/>
        <v>1650535.2400000002</v>
      </c>
      <c r="V2889" s="20">
        <f t="shared" si="90"/>
        <v>1885694.71</v>
      </c>
      <c r="W2889" s="20">
        <f t="shared" si="90"/>
        <v>2120818.56</v>
      </c>
      <c r="X2889" s="20">
        <f t="shared" si="90"/>
        <v>2329587.0600000005</v>
      </c>
      <c r="Y2889" s="20">
        <f t="shared" si="90"/>
        <v>2572331.8500000006</v>
      </c>
      <c r="Z2889" s="20">
        <f t="shared" si="90"/>
        <v>2919898.97</v>
      </c>
      <c r="AA2889" s="20">
        <f t="shared" si="90"/>
        <v>258137.53</v>
      </c>
      <c r="AB2889" s="20">
        <f t="shared" si="90"/>
        <v>517095.74000000005</v>
      </c>
      <c r="AC2889" s="20">
        <f t="shared" si="90"/>
        <v>782636.54999999981</v>
      </c>
      <c r="AD2889" s="20">
        <f t="shared" si="90"/>
        <v>1031641.2100000001</v>
      </c>
      <c r="AE2889" s="20">
        <f t="shared" si="90"/>
        <v>1301600.4899999995</v>
      </c>
      <c r="AF2889" s="20">
        <f t="shared" si="90"/>
        <v>1598361.7299999997</v>
      </c>
      <c r="AG2889" s="20">
        <f t="shared" si="90"/>
        <v>1929065.83</v>
      </c>
      <c r="AH2889" s="20">
        <f t="shared" si="90"/>
        <v>2192401.44</v>
      </c>
      <c r="AI2889" s="20">
        <f t="shared" si="90"/>
        <v>2463245.19</v>
      </c>
      <c r="AJ2889" s="20">
        <f t="shared" si="90"/>
        <v>2733752.56</v>
      </c>
      <c r="AK2889" s="20">
        <f t="shared" si="90"/>
        <v>2985735.0099999993</v>
      </c>
      <c r="AL2889" s="20">
        <f t="shared" si="90"/>
        <v>3160459.62</v>
      </c>
      <c r="AM2889" s="20">
        <f t="shared" si="90"/>
        <v>246870.55000000002</v>
      </c>
      <c r="AN2889" s="20">
        <f t="shared" si="90"/>
        <v>507148.89</v>
      </c>
      <c r="AO2889" s="20">
        <f t="shared" si="90"/>
        <v>754238.85000000021</v>
      </c>
    </row>
    <row r="2890" spans="1:41" ht="14.25" x14ac:dyDescent="0.2">
      <c r="A2890" s="2">
        <v>450101</v>
      </c>
      <c r="B2890" s="3" t="s">
        <v>797</v>
      </c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  <c r="AO2890" s="9"/>
    </row>
    <row r="2891" spans="1:41" s="15" customFormat="1" ht="14.25" x14ac:dyDescent="0.2">
      <c r="A2891" s="18" t="s">
        <v>1767</v>
      </c>
      <c r="B2891" s="19" t="s">
        <v>1768</v>
      </c>
      <c r="C2891" s="20">
        <v>134498.32999999999</v>
      </c>
      <c r="D2891" s="20">
        <v>268830</v>
      </c>
      <c r="E2891" s="20">
        <v>404555</v>
      </c>
      <c r="F2891" s="20">
        <v>547880</v>
      </c>
      <c r="G2891" s="20">
        <v>694905</v>
      </c>
      <c r="H2891" s="20">
        <v>842430</v>
      </c>
      <c r="I2891" s="20">
        <v>985165.42</v>
      </c>
      <c r="J2891" s="20">
        <v>1125974.17</v>
      </c>
      <c r="K2891" s="20">
        <v>1267357.92</v>
      </c>
      <c r="L2891" s="20">
        <v>1409201.67</v>
      </c>
      <c r="M2891" s="20">
        <v>1552485.42</v>
      </c>
      <c r="N2891" s="20">
        <v>1698009.17</v>
      </c>
      <c r="O2891" s="20">
        <v>137513.75</v>
      </c>
      <c r="P2891" s="20">
        <v>279897.5</v>
      </c>
      <c r="Q2891" s="20">
        <v>420767.92</v>
      </c>
      <c r="R2891" s="20">
        <v>557268.34</v>
      </c>
      <c r="S2891" s="20">
        <v>700503.7</v>
      </c>
      <c r="T2891" s="20">
        <v>846574.12</v>
      </c>
      <c r="U2891" s="20">
        <v>991924.54</v>
      </c>
      <c r="V2891" s="20">
        <v>1135424.42</v>
      </c>
      <c r="W2891" s="20">
        <v>1281908.17</v>
      </c>
      <c r="X2891" s="20">
        <v>1429311.92</v>
      </c>
      <c r="Y2891" s="20">
        <v>1580895.67</v>
      </c>
      <c r="Z2891" s="20">
        <v>1732479.42</v>
      </c>
      <c r="AA2891" s="20">
        <v>155408.82999999999</v>
      </c>
      <c r="AB2891" s="20">
        <v>313384.33</v>
      </c>
      <c r="AC2891" s="20">
        <v>472323.17</v>
      </c>
      <c r="AD2891" s="20">
        <v>631485.67000000004</v>
      </c>
      <c r="AE2891" s="20">
        <v>797320.34</v>
      </c>
      <c r="AF2891" s="20">
        <v>964408.34</v>
      </c>
      <c r="AG2891" s="20">
        <v>1115839.67</v>
      </c>
      <c r="AH2891" s="20">
        <v>1269160.47</v>
      </c>
      <c r="AI2891" s="20">
        <v>1425798.47</v>
      </c>
      <c r="AJ2891" s="20">
        <v>1582149.47</v>
      </c>
      <c r="AK2891" s="20">
        <v>1740000.47</v>
      </c>
      <c r="AL2891" s="20">
        <v>1898722.32</v>
      </c>
      <c r="AM2891" s="20">
        <v>129899.02</v>
      </c>
      <c r="AN2891" s="20">
        <v>261649.91</v>
      </c>
      <c r="AO2891" s="20">
        <v>399380.91</v>
      </c>
    </row>
    <row r="2892" spans="1:41" s="15" customFormat="1" ht="14.25" x14ac:dyDescent="0.2">
      <c r="A2892" s="18">
        <v>45010102</v>
      </c>
      <c r="B2892" s="19" t="s">
        <v>798</v>
      </c>
      <c r="C2892" s="20"/>
      <c r="D2892" s="20"/>
      <c r="E2892" s="20"/>
      <c r="F2892" s="20"/>
      <c r="G2892" s="20"/>
      <c r="H2892" s="20"/>
      <c r="I2892" s="20"/>
      <c r="J2892" s="20"/>
      <c r="K2892" s="20"/>
      <c r="L2892" s="20"/>
      <c r="M2892" s="20"/>
      <c r="N2892" s="20"/>
      <c r="O2892" s="20"/>
      <c r="P2892" s="20"/>
      <c r="Q2892" s="20"/>
      <c r="R2892" s="20"/>
      <c r="S2892" s="20"/>
      <c r="T2892" s="20"/>
      <c r="U2892" s="20"/>
      <c r="V2892" s="20"/>
      <c r="W2892" s="20"/>
      <c r="X2892" s="20"/>
      <c r="Y2892" s="20"/>
      <c r="Z2892" s="20"/>
      <c r="AA2892" s="20"/>
      <c r="AB2892" s="20"/>
      <c r="AC2892" s="20"/>
      <c r="AD2892" s="20"/>
      <c r="AE2892" s="20"/>
      <c r="AF2892" s="20"/>
      <c r="AG2892" s="20"/>
      <c r="AH2892" s="20"/>
      <c r="AI2892" s="20"/>
      <c r="AJ2892" s="20"/>
      <c r="AK2892" s="20"/>
      <c r="AL2892" s="20"/>
      <c r="AM2892" s="20"/>
      <c r="AN2892" s="20"/>
      <c r="AO2892" s="20"/>
    </row>
    <row r="2893" spans="1:41" s="15" customFormat="1" ht="14.25" x14ac:dyDescent="0.2">
      <c r="A2893" s="18" t="s">
        <v>1769</v>
      </c>
      <c r="B2893" s="19" t="s">
        <v>1770</v>
      </c>
      <c r="C2893" s="20">
        <v>11700</v>
      </c>
      <c r="D2893" s="20">
        <v>23400</v>
      </c>
      <c r="E2893" s="20">
        <v>35100</v>
      </c>
      <c r="F2893" s="20">
        <v>46800</v>
      </c>
      <c r="G2893" s="20">
        <v>58100</v>
      </c>
      <c r="H2893" s="20">
        <v>70100</v>
      </c>
      <c r="I2893" s="20">
        <v>81900</v>
      </c>
      <c r="J2893" s="20">
        <v>93000</v>
      </c>
      <c r="K2893" s="20">
        <v>103700</v>
      </c>
      <c r="L2893" s="20">
        <v>112700</v>
      </c>
      <c r="M2893" s="20">
        <v>121700</v>
      </c>
      <c r="N2893" s="20">
        <v>131000</v>
      </c>
      <c r="O2893" s="20">
        <v>10200</v>
      </c>
      <c r="P2893" s="20">
        <v>20400</v>
      </c>
      <c r="Q2893" s="20">
        <v>30600</v>
      </c>
      <c r="R2893" s="20">
        <v>41600</v>
      </c>
      <c r="S2893" s="20">
        <v>51900</v>
      </c>
      <c r="T2893" s="20">
        <v>62900</v>
      </c>
      <c r="U2893" s="20">
        <v>73900</v>
      </c>
      <c r="V2893" s="20">
        <v>85100</v>
      </c>
      <c r="W2893" s="20">
        <v>96300</v>
      </c>
      <c r="X2893" s="20">
        <v>108700</v>
      </c>
      <c r="Y2893" s="20">
        <v>121100</v>
      </c>
      <c r="Z2893" s="20">
        <v>133500</v>
      </c>
      <c r="AA2893" s="20">
        <v>12700</v>
      </c>
      <c r="AB2893" s="20">
        <v>25300</v>
      </c>
      <c r="AC2893" s="20">
        <v>37900</v>
      </c>
      <c r="AD2893" s="20">
        <v>50500</v>
      </c>
      <c r="AE2893" s="20">
        <v>62600</v>
      </c>
      <c r="AF2893" s="20">
        <v>75900</v>
      </c>
      <c r="AG2893" s="20">
        <v>88800</v>
      </c>
      <c r="AH2893" s="20">
        <v>103800</v>
      </c>
      <c r="AI2893" s="20">
        <v>119200</v>
      </c>
      <c r="AJ2893" s="20">
        <v>134400</v>
      </c>
      <c r="AK2893" s="20">
        <v>149600</v>
      </c>
      <c r="AL2893" s="20">
        <v>164800</v>
      </c>
      <c r="AM2893" s="20">
        <v>15026.67</v>
      </c>
      <c r="AN2893" s="20">
        <v>30126.67</v>
      </c>
      <c r="AO2893" s="20">
        <v>45226.67</v>
      </c>
    </row>
    <row r="2894" spans="1:41" s="15" customFormat="1" ht="14.25" x14ac:dyDescent="0.2">
      <c r="A2894" s="18" t="s">
        <v>1771</v>
      </c>
      <c r="B2894" s="19" t="s">
        <v>1772</v>
      </c>
      <c r="C2894" s="20">
        <v>700</v>
      </c>
      <c r="D2894" s="20">
        <v>1400</v>
      </c>
      <c r="E2894" s="20">
        <v>2100</v>
      </c>
      <c r="F2894" s="20">
        <v>2800</v>
      </c>
      <c r="G2894" s="20">
        <v>3600</v>
      </c>
      <c r="H2894" s="20">
        <v>4400</v>
      </c>
      <c r="I2894" s="20">
        <v>5200</v>
      </c>
      <c r="J2894" s="20">
        <v>6000</v>
      </c>
      <c r="K2894" s="20">
        <v>6800</v>
      </c>
      <c r="L2894" s="20">
        <v>7600</v>
      </c>
      <c r="M2894" s="20">
        <v>8400</v>
      </c>
      <c r="N2894" s="20">
        <v>9200</v>
      </c>
      <c r="O2894" s="20">
        <v>800</v>
      </c>
      <c r="P2894" s="20">
        <v>1600</v>
      </c>
      <c r="Q2894" s="20">
        <v>2400</v>
      </c>
      <c r="R2894" s="20">
        <v>3600</v>
      </c>
      <c r="S2894" s="20">
        <v>4800</v>
      </c>
      <c r="T2894" s="20">
        <v>6000</v>
      </c>
      <c r="U2894" s="20">
        <v>6993.33</v>
      </c>
      <c r="V2894" s="20">
        <v>7993.33</v>
      </c>
      <c r="W2894" s="20">
        <v>8993.33</v>
      </c>
      <c r="X2894" s="20">
        <v>9993.33</v>
      </c>
      <c r="Y2894" s="20">
        <v>10993.33</v>
      </c>
      <c r="Z2894" s="20">
        <v>11993.33</v>
      </c>
      <c r="AA2894" s="20">
        <v>1200</v>
      </c>
      <c r="AB2894" s="20">
        <v>2400</v>
      </c>
      <c r="AC2894" s="20">
        <v>3600</v>
      </c>
      <c r="AD2894" s="20">
        <v>4800</v>
      </c>
      <c r="AE2894" s="20">
        <v>6000</v>
      </c>
      <c r="AF2894" s="20">
        <v>7200</v>
      </c>
      <c r="AG2894" s="20">
        <v>8400</v>
      </c>
      <c r="AH2894" s="20">
        <v>9600</v>
      </c>
      <c r="AI2894" s="20">
        <v>10800</v>
      </c>
      <c r="AJ2894" s="20">
        <v>12000</v>
      </c>
      <c r="AK2894" s="20">
        <v>13200</v>
      </c>
      <c r="AL2894" s="20">
        <v>14400</v>
      </c>
      <c r="AM2894" s="20">
        <v>1200</v>
      </c>
      <c r="AN2894" s="20">
        <v>2400</v>
      </c>
      <c r="AO2894" s="20">
        <v>3600</v>
      </c>
    </row>
    <row r="2895" spans="1:41" s="15" customFormat="1" ht="14.25" x14ac:dyDescent="0.2">
      <c r="A2895" s="18" t="s">
        <v>1773</v>
      </c>
      <c r="B2895" s="19" t="s">
        <v>1774</v>
      </c>
      <c r="C2895" s="20">
        <v>2127.7399999999998</v>
      </c>
      <c r="D2895" s="20">
        <v>4300.58</v>
      </c>
      <c r="E2895" s="20">
        <v>6603.82</v>
      </c>
      <c r="F2895" s="20">
        <v>8821.7099999999991</v>
      </c>
      <c r="G2895" s="20">
        <v>11234.64</v>
      </c>
      <c r="H2895" s="20">
        <v>16225.6</v>
      </c>
      <c r="I2895" s="20">
        <v>20397.71</v>
      </c>
      <c r="J2895" s="20">
        <v>24467.82</v>
      </c>
      <c r="K2895" s="20">
        <v>28875.65</v>
      </c>
      <c r="L2895" s="20">
        <v>28875.65</v>
      </c>
      <c r="M2895" s="20">
        <v>31142.86</v>
      </c>
      <c r="N2895" s="20">
        <v>31142.86</v>
      </c>
      <c r="O2895" s="20"/>
      <c r="P2895" s="20"/>
      <c r="Q2895" s="20"/>
      <c r="R2895" s="20"/>
      <c r="S2895" s="20"/>
      <c r="T2895" s="20">
        <v>2431.8000000000002</v>
      </c>
      <c r="U2895" s="20">
        <v>4523.05</v>
      </c>
      <c r="V2895" s="20">
        <v>6614.3</v>
      </c>
      <c r="W2895" s="20">
        <v>8705.5499999999993</v>
      </c>
      <c r="X2895" s="20">
        <v>8705.5499999999993</v>
      </c>
      <c r="Y2895" s="20">
        <v>8705.5499999999993</v>
      </c>
      <c r="Z2895" s="20">
        <v>8705.5499999999993</v>
      </c>
      <c r="AA2895" s="20"/>
      <c r="AB2895" s="20"/>
      <c r="AC2895" s="20">
        <v>597.79999999999995</v>
      </c>
      <c r="AD2895" s="20">
        <v>597.79999999999995</v>
      </c>
      <c r="AE2895" s="20">
        <v>765</v>
      </c>
      <c r="AF2895" s="20">
        <v>2842.04</v>
      </c>
      <c r="AG2895" s="20">
        <v>2878.24</v>
      </c>
      <c r="AH2895" s="20">
        <v>2941.24</v>
      </c>
      <c r="AI2895" s="20">
        <v>3464.84</v>
      </c>
      <c r="AJ2895" s="20">
        <v>3538.34</v>
      </c>
      <c r="AK2895" s="20">
        <v>3538.34</v>
      </c>
      <c r="AL2895" s="20">
        <v>3538.34</v>
      </c>
      <c r="AM2895" s="20">
        <v>35.79</v>
      </c>
      <c r="AN2895" s="20">
        <v>35.79</v>
      </c>
      <c r="AO2895" s="20">
        <v>35.79</v>
      </c>
    </row>
    <row r="2896" spans="1:41" s="15" customFormat="1" ht="14.25" x14ac:dyDescent="0.2">
      <c r="A2896" s="18" t="s">
        <v>1775</v>
      </c>
      <c r="B2896" s="19" t="s">
        <v>1776</v>
      </c>
      <c r="C2896" s="20">
        <v>1298.8</v>
      </c>
      <c r="D2896" s="20">
        <v>2028.8</v>
      </c>
      <c r="E2896" s="20">
        <v>2758.8</v>
      </c>
      <c r="F2896" s="20">
        <v>3988.8</v>
      </c>
      <c r="G2896" s="20">
        <v>6386.3</v>
      </c>
      <c r="H2896" s="20">
        <v>7316.3</v>
      </c>
      <c r="I2896" s="20">
        <v>7896.3</v>
      </c>
      <c r="J2896" s="20">
        <v>8476.2999999999993</v>
      </c>
      <c r="K2896" s="20">
        <v>9256.2999999999993</v>
      </c>
      <c r="L2896" s="20">
        <v>10036.299999999999</v>
      </c>
      <c r="M2896" s="20">
        <v>10816.3</v>
      </c>
      <c r="N2896" s="20">
        <v>11596.3</v>
      </c>
      <c r="O2896" s="20">
        <v>580</v>
      </c>
      <c r="P2896" s="20">
        <v>1160</v>
      </c>
      <c r="Q2896" s="20">
        <v>1740</v>
      </c>
      <c r="R2896" s="20">
        <v>2320</v>
      </c>
      <c r="S2896" s="20">
        <v>7100</v>
      </c>
      <c r="T2896" s="20">
        <v>7680</v>
      </c>
      <c r="U2896" s="20">
        <v>8260</v>
      </c>
      <c r="V2896" s="20">
        <v>8840</v>
      </c>
      <c r="W2896" s="20">
        <v>9420</v>
      </c>
      <c r="X2896" s="20">
        <v>10200</v>
      </c>
      <c r="Y2896" s="20">
        <v>10980</v>
      </c>
      <c r="Z2896" s="20">
        <v>11760</v>
      </c>
      <c r="AA2896" s="20">
        <v>580</v>
      </c>
      <c r="AB2896" s="20">
        <v>1247</v>
      </c>
      <c r="AC2896" s="20">
        <v>1914</v>
      </c>
      <c r="AD2896" s="20">
        <v>2494</v>
      </c>
      <c r="AE2896" s="20">
        <v>3074</v>
      </c>
      <c r="AF2896" s="20">
        <v>3654</v>
      </c>
      <c r="AG2896" s="20">
        <v>4234</v>
      </c>
      <c r="AH2896" s="20">
        <v>4814</v>
      </c>
      <c r="AI2896" s="20">
        <v>5394</v>
      </c>
      <c r="AJ2896" s="20">
        <v>6174</v>
      </c>
      <c r="AK2896" s="20">
        <v>6954</v>
      </c>
      <c r="AL2896" s="20">
        <v>7734</v>
      </c>
      <c r="AM2896" s="20">
        <v>600</v>
      </c>
      <c r="AN2896" s="20">
        <v>1200</v>
      </c>
      <c r="AO2896" s="20">
        <v>1800</v>
      </c>
    </row>
    <row r="2897" spans="1:41" s="15" customFormat="1" ht="14.25" x14ac:dyDescent="0.2">
      <c r="A2897" s="18">
        <v>45010103</v>
      </c>
      <c r="B2897" s="19" t="s">
        <v>799</v>
      </c>
      <c r="C2897" s="20"/>
      <c r="D2897" s="20"/>
      <c r="E2897" s="20"/>
      <c r="F2897" s="20"/>
      <c r="G2897" s="20"/>
      <c r="H2897" s="20"/>
      <c r="I2897" s="20"/>
      <c r="J2897" s="20"/>
      <c r="K2897" s="20"/>
      <c r="L2897" s="20"/>
      <c r="M2897" s="20"/>
      <c r="N2897" s="20"/>
      <c r="O2897" s="20"/>
      <c r="P2897" s="20"/>
      <c r="Q2897" s="20"/>
      <c r="R2897" s="20"/>
      <c r="S2897" s="20"/>
      <c r="T2897" s="20"/>
      <c r="U2897" s="20"/>
      <c r="V2897" s="20"/>
      <c r="W2897" s="20"/>
      <c r="X2897" s="20"/>
      <c r="Y2897" s="20"/>
      <c r="Z2897" s="20"/>
      <c r="AA2897" s="20"/>
      <c r="AB2897" s="20"/>
      <c r="AC2897" s="20"/>
      <c r="AD2897" s="20"/>
      <c r="AE2897" s="20"/>
      <c r="AF2897" s="20"/>
      <c r="AG2897" s="20"/>
      <c r="AH2897" s="20"/>
      <c r="AI2897" s="20"/>
      <c r="AJ2897" s="20"/>
      <c r="AK2897" s="20"/>
      <c r="AL2897" s="20"/>
      <c r="AM2897" s="20"/>
      <c r="AN2897" s="20"/>
      <c r="AO2897" s="20"/>
    </row>
    <row r="2898" spans="1:41" s="15" customFormat="1" ht="14.25" x14ac:dyDescent="0.2">
      <c r="A2898" s="18" t="s">
        <v>1777</v>
      </c>
      <c r="B2898" s="19" t="s">
        <v>1778</v>
      </c>
      <c r="C2898" s="20">
        <v>23641.51</v>
      </c>
      <c r="D2898" s="20">
        <v>47283.02</v>
      </c>
      <c r="E2898" s="20">
        <v>70924.53</v>
      </c>
      <c r="F2898" s="20">
        <v>94566.04</v>
      </c>
      <c r="G2898" s="20">
        <v>118207.55</v>
      </c>
      <c r="H2898" s="20">
        <v>163430.99</v>
      </c>
      <c r="I2898" s="20">
        <v>208654.43</v>
      </c>
      <c r="J2898" s="20">
        <v>253877.87</v>
      </c>
      <c r="K2898" s="20">
        <v>299101.31</v>
      </c>
      <c r="L2898" s="20">
        <v>299101.31</v>
      </c>
      <c r="M2898" s="20">
        <v>323125.90999999997</v>
      </c>
      <c r="N2898" s="20">
        <v>323125.90999999997</v>
      </c>
      <c r="O2898" s="20">
        <v>27728.36</v>
      </c>
      <c r="P2898" s="20">
        <v>56406.21</v>
      </c>
      <c r="Q2898" s="20">
        <v>85025.89</v>
      </c>
      <c r="R2898" s="20">
        <v>115520.69</v>
      </c>
      <c r="S2898" s="20">
        <v>145310.16</v>
      </c>
      <c r="T2898" s="20">
        <v>164495.95000000001</v>
      </c>
      <c r="U2898" s="20">
        <v>183681.74</v>
      </c>
      <c r="V2898" s="20">
        <v>202867.53</v>
      </c>
      <c r="W2898" s="20">
        <v>222053.32</v>
      </c>
      <c r="X2898" s="20">
        <v>222053.32</v>
      </c>
      <c r="Y2898" s="20">
        <v>222053.32</v>
      </c>
      <c r="Z2898" s="20">
        <v>348727.72</v>
      </c>
      <c r="AA2898" s="20">
        <v>29049.31</v>
      </c>
      <c r="AB2898" s="20">
        <v>58098.62</v>
      </c>
      <c r="AC2898" s="20">
        <v>87147.93</v>
      </c>
      <c r="AD2898" s="20">
        <v>116197.24</v>
      </c>
      <c r="AE2898" s="20">
        <v>145246.54999999999</v>
      </c>
      <c r="AF2898" s="20">
        <v>201986.2</v>
      </c>
      <c r="AG2898" s="20">
        <v>229071.44</v>
      </c>
      <c r="AH2898" s="20">
        <v>260342.72</v>
      </c>
      <c r="AI2898" s="20">
        <v>298637.7</v>
      </c>
      <c r="AJ2898" s="20">
        <v>330605.76</v>
      </c>
      <c r="AK2898" s="20">
        <v>363323.55</v>
      </c>
      <c r="AL2898" s="20">
        <v>399474.75</v>
      </c>
      <c r="AM2898" s="20">
        <v>25633.56</v>
      </c>
      <c r="AN2898" s="20">
        <v>53658.62</v>
      </c>
      <c r="AO2898" s="20">
        <v>83020.63</v>
      </c>
    </row>
    <row r="2899" spans="1:41" s="15" customFormat="1" ht="14.25" x14ac:dyDescent="0.2">
      <c r="A2899" s="18">
        <v>45010104</v>
      </c>
      <c r="B2899" s="19" t="s">
        <v>800</v>
      </c>
      <c r="C2899" s="20"/>
      <c r="D2899" s="20"/>
      <c r="E2899" s="20"/>
      <c r="F2899" s="20"/>
      <c r="G2899" s="20"/>
      <c r="H2899" s="20"/>
      <c r="I2899" s="20"/>
      <c r="J2899" s="20"/>
      <c r="K2899" s="20"/>
      <c r="L2899" s="20"/>
      <c r="M2899" s="20"/>
      <c r="N2899" s="20"/>
      <c r="O2899" s="20"/>
      <c r="P2899" s="20"/>
      <c r="Q2899" s="20"/>
      <c r="R2899" s="20"/>
      <c r="S2899" s="20"/>
      <c r="T2899" s="20"/>
      <c r="U2899" s="20"/>
      <c r="V2899" s="20"/>
      <c r="W2899" s="20"/>
      <c r="X2899" s="20"/>
      <c r="Y2899" s="20"/>
      <c r="Z2899" s="20"/>
      <c r="AA2899" s="20"/>
      <c r="AB2899" s="20"/>
      <c r="AC2899" s="20"/>
      <c r="AD2899" s="20"/>
      <c r="AE2899" s="20"/>
      <c r="AF2899" s="20"/>
      <c r="AG2899" s="20"/>
      <c r="AH2899" s="20"/>
      <c r="AI2899" s="20"/>
      <c r="AJ2899" s="20"/>
      <c r="AK2899" s="20"/>
      <c r="AL2899" s="20"/>
      <c r="AM2899" s="20"/>
      <c r="AN2899" s="20"/>
      <c r="AO2899" s="20"/>
    </row>
    <row r="2900" spans="1:41" s="15" customFormat="1" ht="14.25" x14ac:dyDescent="0.2">
      <c r="A2900" s="18" t="s">
        <v>1779</v>
      </c>
      <c r="B2900" s="19" t="s">
        <v>1780</v>
      </c>
      <c r="C2900" s="20">
        <v>3895</v>
      </c>
      <c r="D2900" s="20">
        <v>7892.5</v>
      </c>
      <c r="E2900" s="20">
        <v>11890</v>
      </c>
      <c r="F2900" s="20">
        <v>15990</v>
      </c>
      <c r="G2900" s="20">
        <v>20295</v>
      </c>
      <c r="H2900" s="20">
        <v>24497.5</v>
      </c>
      <c r="I2900" s="20">
        <v>28700</v>
      </c>
      <c r="J2900" s="20">
        <v>33005</v>
      </c>
      <c r="K2900" s="20">
        <v>37310</v>
      </c>
      <c r="L2900" s="20">
        <v>41512.5</v>
      </c>
      <c r="M2900" s="20">
        <v>45715</v>
      </c>
      <c r="N2900" s="20">
        <v>49917.5</v>
      </c>
      <c r="O2900" s="20">
        <v>3690</v>
      </c>
      <c r="P2900" s="20">
        <v>7482.5</v>
      </c>
      <c r="Q2900" s="20">
        <v>11172.5</v>
      </c>
      <c r="R2900" s="20">
        <v>14965</v>
      </c>
      <c r="S2900" s="20">
        <v>18860</v>
      </c>
      <c r="T2900" s="20">
        <v>22960</v>
      </c>
      <c r="U2900" s="20">
        <v>27162.5</v>
      </c>
      <c r="V2900" s="20">
        <v>31160</v>
      </c>
      <c r="W2900" s="20">
        <v>35362.5</v>
      </c>
      <c r="X2900" s="20">
        <v>39257.5</v>
      </c>
      <c r="Y2900" s="20">
        <v>43255</v>
      </c>
      <c r="Z2900" s="20">
        <v>47252.5</v>
      </c>
      <c r="AA2900" s="20">
        <v>4407</v>
      </c>
      <c r="AB2900" s="20">
        <v>9040</v>
      </c>
      <c r="AC2900" s="20">
        <v>13673</v>
      </c>
      <c r="AD2900" s="20">
        <v>18306</v>
      </c>
      <c r="AE2900" s="20">
        <v>23278</v>
      </c>
      <c r="AF2900" s="20">
        <v>28250</v>
      </c>
      <c r="AG2900" s="20">
        <v>32318</v>
      </c>
      <c r="AH2900" s="20">
        <v>36386</v>
      </c>
      <c r="AI2900" s="20">
        <v>40454</v>
      </c>
      <c r="AJ2900" s="20">
        <v>44522</v>
      </c>
      <c r="AK2900" s="20">
        <v>48590</v>
      </c>
      <c r="AL2900" s="20">
        <v>52658</v>
      </c>
      <c r="AM2900" s="20">
        <v>3164</v>
      </c>
      <c r="AN2900" s="20">
        <v>6667</v>
      </c>
      <c r="AO2900" s="20">
        <v>10509</v>
      </c>
    </row>
    <row r="2901" spans="1:41" s="15" customFormat="1" ht="14.25" x14ac:dyDescent="0.2">
      <c r="A2901" s="18" t="s">
        <v>1781</v>
      </c>
      <c r="B2901" s="19" t="s">
        <v>1782</v>
      </c>
      <c r="C2901" s="20">
        <v>2196.66</v>
      </c>
      <c r="D2901" s="20">
        <v>4140.1099999999997</v>
      </c>
      <c r="E2901" s="20">
        <v>5882.95</v>
      </c>
      <c r="F2901" s="20">
        <v>8363.08</v>
      </c>
      <c r="G2901" s="20">
        <v>10758.13</v>
      </c>
      <c r="H2901" s="20">
        <v>13613.83</v>
      </c>
      <c r="I2901" s="20">
        <v>17387</v>
      </c>
      <c r="J2901" s="20">
        <v>20294.03</v>
      </c>
      <c r="K2901" s="20">
        <v>22257.61</v>
      </c>
      <c r="L2901" s="20">
        <v>24522.69</v>
      </c>
      <c r="M2901" s="20">
        <v>27356.26</v>
      </c>
      <c r="N2901" s="20">
        <v>31081.13</v>
      </c>
      <c r="O2901" s="20">
        <v>2185.41</v>
      </c>
      <c r="P2901" s="20">
        <v>3736.99</v>
      </c>
      <c r="Q2901" s="20">
        <v>7091.23</v>
      </c>
      <c r="R2901" s="20">
        <v>9278.98</v>
      </c>
      <c r="S2901" s="20">
        <v>11763.58</v>
      </c>
      <c r="T2901" s="20">
        <v>14812.33</v>
      </c>
      <c r="U2901" s="20">
        <v>19245.419999999998</v>
      </c>
      <c r="V2901" s="20">
        <v>23606.79</v>
      </c>
      <c r="W2901" s="20">
        <v>25814.53</v>
      </c>
      <c r="X2901" s="20">
        <v>28907.46</v>
      </c>
      <c r="Y2901" s="20">
        <v>32162.86</v>
      </c>
      <c r="Z2901" s="20">
        <v>35907.96</v>
      </c>
      <c r="AA2901" s="20">
        <v>2221.9499999999998</v>
      </c>
      <c r="AB2901" s="20">
        <v>4116.21</v>
      </c>
      <c r="AC2901" s="20">
        <v>5916.47</v>
      </c>
      <c r="AD2901" s="20">
        <v>10034.66</v>
      </c>
      <c r="AE2901" s="20">
        <v>11971.15</v>
      </c>
      <c r="AF2901" s="20">
        <v>15886.43</v>
      </c>
      <c r="AG2901" s="20">
        <v>21543.96</v>
      </c>
      <c r="AH2901" s="20">
        <v>26672.97</v>
      </c>
      <c r="AI2901" s="20">
        <v>29036.67</v>
      </c>
      <c r="AJ2901" s="20">
        <v>32577.8</v>
      </c>
      <c r="AK2901" s="20">
        <v>35056.629999999997</v>
      </c>
      <c r="AL2901" s="20">
        <v>42535.01</v>
      </c>
      <c r="AM2901" s="20">
        <v>1690.85</v>
      </c>
      <c r="AN2901" s="20">
        <v>3467.96</v>
      </c>
      <c r="AO2901" s="20">
        <v>4585.25</v>
      </c>
    </row>
    <row r="2902" spans="1:41" s="15" customFormat="1" ht="14.25" x14ac:dyDescent="0.2">
      <c r="A2902" s="18">
        <v>45010106</v>
      </c>
      <c r="B2902" s="19" t="s">
        <v>801</v>
      </c>
      <c r="C2902" s="20"/>
      <c r="D2902" s="20"/>
      <c r="E2902" s="20"/>
      <c r="F2902" s="20"/>
      <c r="G2902" s="20"/>
      <c r="H2902" s="20"/>
      <c r="I2902" s="20"/>
      <c r="J2902" s="20"/>
      <c r="K2902" s="20"/>
      <c r="L2902" s="20"/>
      <c r="M2902" s="20"/>
      <c r="N2902" s="20"/>
      <c r="O2902" s="20"/>
      <c r="P2902" s="20"/>
      <c r="Q2902" s="20"/>
      <c r="R2902" s="20"/>
      <c r="S2902" s="20"/>
      <c r="T2902" s="20"/>
      <c r="U2902" s="20"/>
      <c r="V2902" s="20"/>
      <c r="W2902" s="20"/>
      <c r="X2902" s="20"/>
      <c r="Y2902" s="20"/>
      <c r="Z2902" s="20"/>
      <c r="AA2902" s="20"/>
      <c r="AB2902" s="20"/>
      <c r="AC2902" s="20"/>
      <c r="AD2902" s="20"/>
      <c r="AE2902" s="20"/>
      <c r="AF2902" s="20"/>
      <c r="AG2902" s="20"/>
      <c r="AH2902" s="20"/>
      <c r="AI2902" s="20"/>
      <c r="AJ2902" s="20"/>
      <c r="AK2902" s="20"/>
      <c r="AL2902" s="20"/>
      <c r="AM2902" s="20"/>
      <c r="AN2902" s="20"/>
      <c r="AO2902" s="20"/>
    </row>
    <row r="2903" spans="1:41" ht="14.25" x14ac:dyDescent="0.2">
      <c r="A2903" s="2">
        <v>450102</v>
      </c>
      <c r="B2903" s="3" t="s">
        <v>802</v>
      </c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9"/>
      <c r="AI2903" s="9"/>
      <c r="AJ2903" s="9"/>
      <c r="AK2903" s="9"/>
      <c r="AL2903" s="9"/>
      <c r="AM2903" s="9"/>
      <c r="AN2903" s="9"/>
      <c r="AO2903" s="9"/>
    </row>
    <row r="2904" spans="1:41" s="15" customFormat="1" ht="14.25" x14ac:dyDescent="0.2">
      <c r="A2904" s="18" t="s">
        <v>1783</v>
      </c>
      <c r="B2904" s="19" t="s">
        <v>1784</v>
      </c>
      <c r="C2904" s="20">
        <v>12884.62</v>
      </c>
      <c r="D2904" s="20">
        <v>25769.24</v>
      </c>
      <c r="E2904" s="20">
        <v>38653.86</v>
      </c>
      <c r="F2904" s="20">
        <v>69138.48</v>
      </c>
      <c r="G2904" s="20">
        <v>82023.100000000006</v>
      </c>
      <c r="H2904" s="20">
        <v>94907.72</v>
      </c>
      <c r="I2904" s="20">
        <v>107792.34</v>
      </c>
      <c r="J2904" s="20">
        <v>121528.21</v>
      </c>
      <c r="K2904" s="20">
        <v>134412.82999999999</v>
      </c>
      <c r="L2904" s="20">
        <v>134412.82999999999</v>
      </c>
      <c r="M2904" s="20">
        <v>134412.82999999999</v>
      </c>
      <c r="N2904" s="20">
        <v>83572.86</v>
      </c>
      <c r="O2904" s="20">
        <v>10100</v>
      </c>
      <c r="P2904" s="20">
        <v>12527.23</v>
      </c>
      <c r="Q2904" s="20">
        <v>23783.96</v>
      </c>
      <c r="R2904" s="20">
        <v>26483.96</v>
      </c>
      <c r="S2904" s="20">
        <v>27773.599999999999</v>
      </c>
      <c r="T2904" s="20">
        <v>32890.54</v>
      </c>
      <c r="U2904" s="20">
        <v>34745.480000000003</v>
      </c>
      <c r="V2904" s="20">
        <v>34870.69</v>
      </c>
      <c r="W2904" s="20">
        <v>45474.02</v>
      </c>
      <c r="X2904" s="20">
        <v>45474.02</v>
      </c>
      <c r="Y2904" s="20">
        <v>51927.77</v>
      </c>
      <c r="Z2904" s="20">
        <v>58644.53</v>
      </c>
      <c r="AA2904" s="20">
        <v>14641.32</v>
      </c>
      <c r="AB2904" s="20">
        <v>29165.97</v>
      </c>
      <c r="AC2904" s="20">
        <v>50998.39</v>
      </c>
      <c r="AD2904" s="20">
        <v>50998.39</v>
      </c>
      <c r="AE2904" s="20">
        <v>51927.28</v>
      </c>
      <c r="AF2904" s="20">
        <v>51927.28</v>
      </c>
      <c r="AG2904" s="20">
        <v>111725.88</v>
      </c>
      <c r="AH2904" s="20">
        <v>126250.53</v>
      </c>
      <c r="AI2904" s="20">
        <v>140775.18</v>
      </c>
      <c r="AJ2904" s="20">
        <v>155299.82999999999</v>
      </c>
      <c r="AK2904" s="20">
        <v>169824.48</v>
      </c>
      <c r="AL2904" s="20">
        <v>59603.89</v>
      </c>
      <c r="AM2904" s="20">
        <v>23090.19</v>
      </c>
      <c r="AN2904" s="20">
        <v>65711.55</v>
      </c>
      <c r="AO2904" s="20">
        <v>79140.289999999994</v>
      </c>
    </row>
    <row r="2905" spans="1:41" ht="14.25" x14ac:dyDescent="0.2">
      <c r="A2905" s="2">
        <v>450103</v>
      </c>
      <c r="B2905" s="3" t="s">
        <v>803</v>
      </c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9"/>
      <c r="AL2905" s="9"/>
      <c r="AM2905" s="9"/>
      <c r="AN2905" s="9"/>
      <c r="AO2905" s="9"/>
    </row>
    <row r="2906" spans="1:41" s="15" customFormat="1" ht="14.25" x14ac:dyDescent="0.2">
      <c r="A2906" s="18" t="s">
        <v>1785</v>
      </c>
      <c r="B2906" s="19" t="s">
        <v>1786</v>
      </c>
      <c r="C2906" s="20"/>
      <c r="D2906" s="20"/>
      <c r="E2906" s="20"/>
      <c r="F2906" s="20"/>
      <c r="G2906" s="20"/>
      <c r="H2906" s="20"/>
      <c r="I2906" s="20">
        <v>8434.39</v>
      </c>
      <c r="J2906" s="20">
        <v>8434.39</v>
      </c>
      <c r="K2906" s="20">
        <v>8434.39</v>
      </c>
      <c r="L2906" s="20">
        <v>8434.39</v>
      </c>
      <c r="M2906" s="20">
        <v>8434.39</v>
      </c>
      <c r="N2906" s="20">
        <v>8434.39</v>
      </c>
      <c r="O2906" s="20"/>
      <c r="P2906" s="20"/>
      <c r="Q2906" s="20"/>
      <c r="R2906" s="20"/>
      <c r="S2906" s="20"/>
      <c r="T2906" s="20"/>
      <c r="U2906" s="20">
        <v>8735.58</v>
      </c>
      <c r="V2906" s="20">
        <v>8735.58</v>
      </c>
      <c r="W2906" s="20">
        <v>8735.58</v>
      </c>
      <c r="X2906" s="20">
        <v>8735.58</v>
      </c>
      <c r="Y2906" s="20">
        <v>8735.58</v>
      </c>
      <c r="Z2906" s="20">
        <v>8735.58</v>
      </c>
      <c r="AA2906" s="20"/>
      <c r="AB2906" s="20"/>
      <c r="AC2906" s="20"/>
      <c r="AD2906" s="20"/>
      <c r="AE2906" s="20"/>
      <c r="AF2906" s="20"/>
      <c r="AG2906" s="20">
        <v>9196.08</v>
      </c>
      <c r="AH2906" s="20">
        <v>9196.08</v>
      </c>
      <c r="AI2906" s="20">
        <v>9196.08</v>
      </c>
      <c r="AJ2906" s="20">
        <v>9196.08</v>
      </c>
      <c r="AK2906" s="20">
        <v>9196.08</v>
      </c>
      <c r="AL2906" s="20">
        <v>9196.08</v>
      </c>
      <c r="AM2906" s="20"/>
      <c r="AN2906" s="20"/>
      <c r="AO2906" s="20"/>
    </row>
    <row r="2907" spans="1:41" ht="14.25" x14ac:dyDescent="0.2">
      <c r="A2907" s="2">
        <v>450104</v>
      </c>
      <c r="B2907" s="3" t="s">
        <v>804</v>
      </c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  <c r="AO2907" s="9"/>
    </row>
    <row r="2908" spans="1:41" s="15" customFormat="1" ht="14.25" x14ac:dyDescent="0.2">
      <c r="A2908" s="18" t="s">
        <v>1787</v>
      </c>
      <c r="B2908" s="19" t="s">
        <v>1626</v>
      </c>
      <c r="C2908" s="20">
        <v>13909.37</v>
      </c>
      <c r="D2908" s="20">
        <v>29773.279999999999</v>
      </c>
      <c r="E2908" s="20">
        <v>44163.47</v>
      </c>
      <c r="F2908" s="20">
        <v>60567.23</v>
      </c>
      <c r="G2908" s="20">
        <v>76496.19</v>
      </c>
      <c r="H2908" s="20">
        <v>92414.09</v>
      </c>
      <c r="I2908" s="20">
        <v>107844.42</v>
      </c>
      <c r="J2908" s="20">
        <v>122289.69</v>
      </c>
      <c r="K2908" s="20">
        <v>137460.19</v>
      </c>
      <c r="L2908" s="20">
        <v>151760.6</v>
      </c>
      <c r="M2908" s="20">
        <v>166361.10999999999</v>
      </c>
      <c r="N2908" s="20">
        <v>182617.88</v>
      </c>
      <c r="O2908" s="20">
        <v>14858.46</v>
      </c>
      <c r="P2908" s="20">
        <v>29417.360000000001</v>
      </c>
      <c r="Q2908" s="20">
        <v>44663.64</v>
      </c>
      <c r="R2908" s="20">
        <v>59033.26</v>
      </c>
      <c r="S2908" s="20">
        <v>73702.05</v>
      </c>
      <c r="T2908" s="20">
        <v>88875.36</v>
      </c>
      <c r="U2908" s="20">
        <v>104032.82</v>
      </c>
      <c r="V2908" s="20">
        <v>118861.75</v>
      </c>
      <c r="W2908" s="20">
        <v>134284.9</v>
      </c>
      <c r="X2908" s="20">
        <v>149456.53</v>
      </c>
      <c r="Y2908" s="20">
        <v>165028.22</v>
      </c>
      <c r="Z2908" s="20">
        <v>182227.9</v>
      </c>
      <c r="AA2908" s="20">
        <v>15916</v>
      </c>
      <c r="AB2908" s="20">
        <v>32023.27</v>
      </c>
      <c r="AC2908" s="20">
        <v>48890.09</v>
      </c>
      <c r="AD2908" s="20">
        <v>65296.54</v>
      </c>
      <c r="AE2908" s="20">
        <v>82176.23</v>
      </c>
      <c r="AF2908" s="20">
        <v>101078.18</v>
      </c>
      <c r="AG2908" s="20">
        <v>117091.7</v>
      </c>
      <c r="AH2908" s="20">
        <v>133449.01999999999</v>
      </c>
      <c r="AI2908" s="20">
        <v>150573.41</v>
      </c>
      <c r="AJ2908" s="20">
        <v>166923.28</v>
      </c>
      <c r="AK2908" s="20">
        <v>183265.29</v>
      </c>
      <c r="AL2908" s="20">
        <v>200253.24</v>
      </c>
      <c r="AM2908" s="20">
        <v>13617.84</v>
      </c>
      <c r="AN2908" s="20">
        <v>27475.25</v>
      </c>
      <c r="AO2908" s="20">
        <v>41820.379999999997</v>
      </c>
    </row>
    <row r="2909" spans="1:41" s="15" customFormat="1" ht="14.25" x14ac:dyDescent="0.2">
      <c r="A2909" s="18" t="s">
        <v>1788</v>
      </c>
      <c r="B2909" s="19" t="s">
        <v>1789</v>
      </c>
      <c r="C2909" s="20"/>
      <c r="D2909" s="20"/>
      <c r="E2909" s="20"/>
      <c r="F2909" s="20"/>
      <c r="G2909" s="20"/>
      <c r="H2909" s="20">
        <v>41.17</v>
      </c>
      <c r="I2909" s="20">
        <v>41.17</v>
      </c>
      <c r="J2909" s="20">
        <v>41.17</v>
      </c>
      <c r="K2909" s="20">
        <v>41.17</v>
      </c>
      <c r="L2909" s="20">
        <v>41.17</v>
      </c>
      <c r="M2909" s="20">
        <v>41.17</v>
      </c>
      <c r="N2909" s="20">
        <v>41.17</v>
      </c>
      <c r="O2909" s="20"/>
      <c r="P2909" s="20"/>
      <c r="Q2909" s="20"/>
      <c r="R2909" s="20"/>
      <c r="S2909" s="20"/>
      <c r="T2909" s="20">
        <v>242.08</v>
      </c>
      <c r="U2909" s="20">
        <v>242.08</v>
      </c>
      <c r="V2909" s="20">
        <v>242.08</v>
      </c>
      <c r="W2909" s="20">
        <v>242.08</v>
      </c>
      <c r="X2909" s="20">
        <v>242.08</v>
      </c>
      <c r="Y2909" s="20">
        <v>242.08</v>
      </c>
      <c r="Z2909" s="20">
        <v>242.08</v>
      </c>
      <c r="AA2909" s="20"/>
      <c r="AB2909" s="20"/>
      <c r="AC2909" s="20"/>
      <c r="AD2909" s="20"/>
      <c r="AE2909" s="20"/>
      <c r="AF2909" s="20"/>
      <c r="AG2909" s="20"/>
      <c r="AH2909" s="20"/>
      <c r="AI2909" s="20"/>
      <c r="AJ2909" s="20"/>
      <c r="AK2909" s="20"/>
      <c r="AL2909" s="20"/>
      <c r="AM2909" s="20"/>
      <c r="AN2909" s="20"/>
      <c r="AO2909" s="20"/>
    </row>
    <row r="2910" spans="1:41" ht="14.25" x14ac:dyDescent="0.2">
      <c r="A2910" s="2">
        <v>450105</v>
      </c>
      <c r="B2910" s="3" t="s">
        <v>517</v>
      </c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  <c r="AO2910" s="9"/>
    </row>
    <row r="2911" spans="1:41" s="15" customFormat="1" ht="14.25" x14ac:dyDescent="0.2">
      <c r="A2911" s="18" t="s">
        <v>1790</v>
      </c>
      <c r="B2911" s="19" t="s">
        <v>1791</v>
      </c>
      <c r="C2911" s="20"/>
      <c r="D2911" s="20"/>
      <c r="E2911" s="20"/>
      <c r="F2911" s="20">
        <v>5208.1899999999996</v>
      </c>
      <c r="G2911" s="20">
        <v>19272.66</v>
      </c>
      <c r="H2911" s="20">
        <v>33337.129999999997</v>
      </c>
      <c r="I2911" s="20">
        <v>47401.599999999999</v>
      </c>
      <c r="J2911" s="20">
        <v>61466.07</v>
      </c>
      <c r="K2911" s="20">
        <v>75530.539999999994</v>
      </c>
      <c r="L2911" s="20">
        <v>100020.88</v>
      </c>
      <c r="M2911" s="20">
        <v>115060.52</v>
      </c>
      <c r="N2911" s="20">
        <v>130330.71</v>
      </c>
      <c r="O2911" s="20">
        <v>16288.89</v>
      </c>
      <c r="P2911" s="20">
        <v>30517.35</v>
      </c>
      <c r="Q2911" s="20">
        <v>45510.04</v>
      </c>
      <c r="R2911" s="20">
        <v>61933.85</v>
      </c>
      <c r="S2911" s="20">
        <v>77226.720000000001</v>
      </c>
      <c r="T2911" s="20">
        <v>92432.36</v>
      </c>
      <c r="U2911" s="20">
        <v>107638</v>
      </c>
      <c r="V2911" s="20">
        <v>122843.64</v>
      </c>
      <c r="W2911" s="20">
        <v>138049.28</v>
      </c>
      <c r="X2911" s="20">
        <v>153254.92000000001</v>
      </c>
      <c r="Y2911" s="20">
        <v>168460.56</v>
      </c>
      <c r="Z2911" s="20">
        <v>168460.56</v>
      </c>
      <c r="AA2911" s="20">
        <v>14524.65</v>
      </c>
      <c r="AB2911" s="20">
        <v>29049.3</v>
      </c>
      <c r="AC2911" s="20">
        <v>43573.95</v>
      </c>
      <c r="AD2911" s="20">
        <v>58098.6</v>
      </c>
      <c r="AE2911" s="20">
        <v>93729.64</v>
      </c>
      <c r="AF2911" s="20">
        <v>108254.29</v>
      </c>
      <c r="AG2911" s="20">
        <v>147800.03</v>
      </c>
      <c r="AH2911" s="20">
        <v>164196.66</v>
      </c>
      <c r="AI2911" s="20">
        <v>180573.66</v>
      </c>
      <c r="AJ2911" s="20">
        <v>196655.22</v>
      </c>
      <c r="AK2911" s="20">
        <v>199449.05</v>
      </c>
      <c r="AL2911" s="20">
        <v>216601.33</v>
      </c>
      <c r="AM2911" s="20">
        <v>27522.03</v>
      </c>
      <c r="AN2911" s="20">
        <v>44853.760000000002</v>
      </c>
      <c r="AO2911" s="20">
        <v>60184</v>
      </c>
    </row>
    <row r="2912" spans="1:41" s="15" customFormat="1" ht="14.25" x14ac:dyDescent="0.2">
      <c r="A2912" s="18">
        <v>450106</v>
      </c>
      <c r="B2912" s="19" t="s">
        <v>531</v>
      </c>
      <c r="C2912" s="20"/>
      <c r="D2912" s="20"/>
      <c r="E2912" s="20"/>
      <c r="F2912" s="20"/>
      <c r="G2912" s="20"/>
      <c r="H2912" s="20"/>
      <c r="I2912" s="20"/>
      <c r="J2912" s="20"/>
      <c r="K2912" s="20"/>
      <c r="L2912" s="20"/>
      <c r="M2912" s="20"/>
      <c r="N2912" s="20"/>
      <c r="O2912" s="20"/>
      <c r="P2912" s="20"/>
      <c r="Q2912" s="20"/>
      <c r="R2912" s="20"/>
      <c r="S2912" s="20"/>
      <c r="T2912" s="20"/>
      <c r="U2912" s="20"/>
      <c r="V2912" s="20"/>
      <c r="W2912" s="20"/>
      <c r="X2912" s="20"/>
      <c r="Y2912" s="20"/>
      <c r="Z2912" s="20"/>
      <c r="AA2912" s="20"/>
      <c r="AB2912" s="20"/>
      <c r="AC2912" s="20"/>
      <c r="AD2912" s="20"/>
      <c r="AE2912" s="20"/>
      <c r="AF2912" s="20"/>
      <c r="AG2912" s="20"/>
      <c r="AH2912" s="20"/>
      <c r="AI2912" s="20"/>
      <c r="AJ2912" s="20"/>
      <c r="AK2912" s="20"/>
      <c r="AL2912" s="20"/>
      <c r="AM2912" s="20"/>
      <c r="AN2912" s="20"/>
      <c r="AO2912" s="20"/>
    </row>
    <row r="2913" spans="1:41" s="15" customFormat="1" ht="14.25" x14ac:dyDescent="0.2">
      <c r="A2913" s="18">
        <v>450107</v>
      </c>
      <c r="B2913" s="19" t="s">
        <v>805</v>
      </c>
      <c r="C2913" s="20"/>
      <c r="D2913" s="20"/>
      <c r="E2913" s="20"/>
      <c r="F2913" s="20"/>
      <c r="G2913" s="20"/>
      <c r="H2913" s="20"/>
      <c r="I2913" s="20"/>
      <c r="J2913" s="20"/>
      <c r="K2913" s="20"/>
      <c r="L2913" s="20"/>
      <c r="M2913" s="20"/>
      <c r="N2913" s="20"/>
      <c r="O2913" s="20"/>
      <c r="P2913" s="20"/>
      <c r="Q2913" s="20"/>
      <c r="R2913" s="20"/>
      <c r="S2913" s="20"/>
      <c r="T2913" s="20"/>
      <c r="U2913" s="20"/>
      <c r="V2913" s="20"/>
      <c r="W2913" s="20"/>
      <c r="X2913" s="20"/>
      <c r="Y2913" s="20"/>
      <c r="Z2913" s="20"/>
      <c r="AA2913" s="20"/>
      <c r="AB2913" s="20"/>
      <c r="AC2913" s="20"/>
      <c r="AD2913" s="20"/>
      <c r="AE2913" s="20"/>
      <c r="AF2913" s="20"/>
      <c r="AG2913" s="20"/>
      <c r="AH2913" s="20"/>
      <c r="AI2913" s="20"/>
      <c r="AJ2913" s="20"/>
      <c r="AK2913" s="20"/>
      <c r="AL2913" s="20"/>
      <c r="AM2913" s="20"/>
      <c r="AN2913" s="20"/>
      <c r="AO2913" s="20"/>
    </row>
    <row r="2914" spans="1:41" s="15" customFormat="1" ht="14.25" x14ac:dyDescent="0.2">
      <c r="A2914" s="18">
        <v>450109</v>
      </c>
      <c r="B2914" s="19" t="s">
        <v>521</v>
      </c>
      <c r="C2914" s="20"/>
      <c r="D2914" s="20"/>
      <c r="E2914" s="20"/>
      <c r="F2914" s="20"/>
      <c r="G2914" s="20"/>
      <c r="H2914" s="20"/>
      <c r="I2914" s="20"/>
      <c r="J2914" s="20"/>
      <c r="K2914" s="20"/>
      <c r="L2914" s="20"/>
      <c r="M2914" s="20"/>
      <c r="N2914" s="20"/>
      <c r="O2914" s="20"/>
      <c r="P2914" s="20"/>
      <c r="Q2914" s="20"/>
      <c r="R2914" s="20"/>
      <c r="S2914" s="20"/>
      <c r="T2914" s="20"/>
      <c r="U2914" s="20"/>
      <c r="V2914" s="20"/>
      <c r="W2914" s="20"/>
      <c r="X2914" s="20"/>
      <c r="Y2914" s="20"/>
      <c r="Z2914" s="20"/>
      <c r="AA2914" s="20"/>
      <c r="AB2914" s="20"/>
      <c r="AC2914" s="20"/>
      <c r="AD2914" s="20"/>
      <c r="AE2914" s="20"/>
      <c r="AF2914" s="20"/>
      <c r="AG2914" s="20"/>
      <c r="AH2914" s="20"/>
      <c r="AI2914" s="20"/>
      <c r="AJ2914" s="20"/>
      <c r="AK2914" s="20"/>
      <c r="AL2914" s="20"/>
      <c r="AM2914" s="20"/>
      <c r="AN2914" s="20"/>
      <c r="AO2914" s="20"/>
    </row>
    <row r="2915" spans="1:41" s="15" customFormat="1" ht="14.25" x14ac:dyDescent="0.2">
      <c r="A2915" s="18" t="s">
        <v>1792</v>
      </c>
      <c r="B2915" s="19" t="s">
        <v>1793</v>
      </c>
      <c r="C2915" s="20">
        <v>332.33</v>
      </c>
      <c r="D2915" s="20">
        <v>459.23</v>
      </c>
      <c r="E2915" s="20">
        <v>1266.3</v>
      </c>
      <c r="F2915" s="20">
        <v>1401.29</v>
      </c>
      <c r="G2915" s="20">
        <v>1652.54</v>
      </c>
      <c r="H2915" s="20">
        <v>2365.7800000000002</v>
      </c>
      <c r="I2915" s="20">
        <v>2602.34</v>
      </c>
      <c r="J2915" s="20">
        <v>2945.42</v>
      </c>
      <c r="K2915" s="20">
        <v>3033.6</v>
      </c>
      <c r="L2915" s="20">
        <v>3224.71</v>
      </c>
      <c r="M2915" s="20">
        <v>3442.89</v>
      </c>
      <c r="N2915" s="20">
        <v>3581.97</v>
      </c>
      <c r="O2915" s="20">
        <v>1965.2</v>
      </c>
      <c r="P2915" s="20">
        <v>2612.4699999999998</v>
      </c>
      <c r="Q2915" s="20">
        <v>2729.95</v>
      </c>
      <c r="R2915" s="20">
        <v>3333.31</v>
      </c>
      <c r="S2915" s="20">
        <v>3768.43</v>
      </c>
      <c r="T2915" s="20">
        <v>4287.18</v>
      </c>
      <c r="U2915" s="20">
        <v>7390.29</v>
      </c>
      <c r="V2915" s="20">
        <v>12813.08</v>
      </c>
      <c r="W2915" s="20">
        <v>16839.82</v>
      </c>
      <c r="X2915" s="20">
        <v>21297.03</v>
      </c>
      <c r="Y2915" s="20">
        <v>25375.46</v>
      </c>
      <c r="Z2915" s="20">
        <v>28458.85</v>
      </c>
      <c r="AA2915" s="20">
        <v>2726.48</v>
      </c>
      <c r="AB2915" s="20">
        <v>5916.09</v>
      </c>
      <c r="AC2915" s="20">
        <v>7376.8</v>
      </c>
      <c r="AD2915" s="20">
        <v>8196.42</v>
      </c>
      <c r="AE2915" s="20">
        <v>8630.67</v>
      </c>
      <c r="AF2915" s="20">
        <v>9484.8700000000008</v>
      </c>
      <c r="AG2915" s="20">
        <v>10174.61</v>
      </c>
      <c r="AH2915" s="20">
        <v>10421.209999999999</v>
      </c>
      <c r="AI2915" s="20">
        <v>11528.83</v>
      </c>
      <c r="AJ2915" s="20">
        <v>15796.66</v>
      </c>
      <c r="AK2915" s="20">
        <v>15888.27</v>
      </c>
      <c r="AL2915" s="20">
        <v>16579.740000000002</v>
      </c>
      <c r="AM2915" s="20">
        <v>243.94</v>
      </c>
      <c r="AN2915" s="20">
        <v>243.94</v>
      </c>
      <c r="AO2915" s="20">
        <v>955.06</v>
      </c>
    </row>
    <row r="2916" spans="1:41" s="15" customFormat="1" ht="14.25" x14ac:dyDescent="0.2">
      <c r="A2916" s="18" t="s">
        <v>1794</v>
      </c>
      <c r="B2916" s="19" t="s">
        <v>1795</v>
      </c>
      <c r="C2916" s="20"/>
      <c r="D2916" s="20"/>
      <c r="E2916" s="20"/>
      <c r="F2916" s="20"/>
      <c r="G2916" s="20">
        <v>825</v>
      </c>
      <c r="H2916" s="20">
        <v>825</v>
      </c>
      <c r="I2916" s="20">
        <v>2033.9</v>
      </c>
      <c r="J2916" s="20">
        <v>2033.9</v>
      </c>
      <c r="K2916" s="20">
        <v>17959.830000000002</v>
      </c>
      <c r="L2916" s="20">
        <v>18610.68</v>
      </c>
      <c r="M2916" s="20">
        <v>18610.68</v>
      </c>
      <c r="N2916" s="20">
        <v>18610.68</v>
      </c>
      <c r="O2916" s="20"/>
      <c r="P2916" s="20"/>
      <c r="Q2916" s="20"/>
      <c r="R2916" s="20"/>
      <c r="S2916" s="20"/>
      <c r="T2916" s="20"/>
      <c r="U2916" s="20"/>
      <c r="V2916" s="20"/>
      <c r="W2916" s="20"/>
      <c r="X2916" s="20">
        <v>1374</v>
      </c>
      <c r="Y2916" s="20">
        <v>1374</v>
      </c>
      <c r="Z2916" s="20">
        <v>1374</v>
      </c>
      <c r="AA2916" s="20"/>
      <c r="AB2916" s="20"/>
      <c r="AC2916" s="20"/>
      <c r="AD2916" s="20">
        <v>3101.69</v>
      </c>
      <c r="AE2916" s="20">
        <v>3101.69</v>
      </c>
      <c r="AF2916" s="20">
        <v>3101.69</v>
      </c>
      <c r="AG2916" s="20">
        <v>3101.69</v>
      </c>
      <c r="AH2916" s="20">
        <v>3101.69</v>
      </c>
      <c r="AI2916" s="20">
        <v>3101.69</v>
      </c>
      <c r="AJ2916" s="20">
        <v>3101.69</v>
      </c>
      <c r="AK2916" s="20">
        <v>3101.69</v>
      </c>
      <c r="AL2916" s="20">
        <v>3101.69</v>
      </c>
      <c r="AM2916" s="20"/>
      <c r="AN2916" s="20"/>
      <c r="AO2916" s="20"/>
    </row>
    <row r="2917" spans="1:41" s="15" customFormat="1" ht="14.25" x14ac:dyDescent="0.2">
      <c r="A2917" s="18" t="s">
        <v>1796</v>
      </c>
      <c r="B2917" s="19" t="s">
        <v>1797</v>
      </c>
      <c r="C2917" s="20"/>
      <c r="D2917" s="20"/>
      <c r="E2917" s="20"/>
      <c r="F2917" s="20"/>
      <c r="G2917" s="20"/>
      <c r="H2917" s="20"/>
      <c r="I2917" s="20"/>
      <c r="J2917" s="20"/>
      <c r="K2917" s="20"/>
      <c r="L2917" s="20"/>
      <c r="M2917" s="20"/>
      <c r="N2917" s="20"/>
      <c r="O2917" s="20"/>
      <c r="P2917" s="20"/>
      <c r="Q2917" s="20">
        <v>6383.48</v>
      </c>
      <c r="R2917" s="20">
        <v>6383.48</v>
      </c>
      <c r="S2917" s="20">
        <v>6383.48</v>
      </c>
      <c r="T2917" s="20">
        <v>6383.48</v>
      </c>
      <c r="U2917" s="20">
        <v>6383.48</v>
      </c>
      <c r="V2917" s="20">
        <v>6383.48</v>
      </c>
      <c r="W2917" s="20">
        <v>6383.48</v>
      </c>
      <c r="X2917" s="20">
        <v>6383.48</v>
      </c>
      <c r="Y2917" s="20">
        <v>8848.48</v>
      </c>
      <c r="Z2917" s="20">
        <v>8870.58</v>
      </c>
      <c r="AA2917" s="20"/>
      <c r="AB2917" s="20"/>
      <c r="AC2917" s="20"/>
      <c r="AD2917" s="20"/>
      <c r="AE2917" s="20"/>
      <c r="AF2917" s="20"/>
      <c r="AG2917" s="20"/>
      <c r="AH2917" s="20"/>
      <c r="AI2917" s="20"/>
      <c r="AJ2917" s="20">
        <v>90.5</v>
      </c>
      <c r="AK2917" s="20">
        <v>90.5</v>
      </c>
      <c r="AL2917" s="20">
        <v>90.5</v>
      </c>
      <c r="AM2917" s="20"/>
      <c r="AN2917" s="20"/>
      <c r="AO2917" s="20"/>
    </row>
    <row r="2918" spans="1:41" s="15" customFormat="1" ht="14.25" x14ac:dyDescent="0.2">
      <c r="A2918" s="18">
        <v>45010905</v>
      </c>
      <c r="B2918" s="19" t="s">
        <v>806</v>
      </c>
      <c r="C2918" s="20"/>
      <c r="D2918" s="20"/>
      <c r="E2918" s="20"/>
      <c r="F2918" s="20"/>
      <c r="G2918" s="20"/>
      <c r="H2918" s="20"/>
      <c r="I2918" s="20"/>
      <c r="J2918" s="20"/>
      <c r="K2918" s="20"/>
      <c r="L2918" s="20"/>
      <c r="M2918" s="20"/>
      <c r="N2918" s="20"/>
      <c r="O2918" s="20"/>
      <c r="P2918" s="20"/>
      <c r="Q2918" s="20"/>
      <c r="R2918" s="20"/>
      <c r="S2918" s="20"/>
      <c r="T2918" s="20"/>
      <c r="U2918" s="20"/>
      <c r="V2918" s="20"/>
      <c r="W2918" s="20"/>
      <c r="X2918" s="20"/>
      <c r="Y2918" s="20"/>
      <c r="Z2918" s="20"/>
      <c r="AA2918" s="20"/>
      <c r="AB2918" s="20"/>
      <c r="AC2918" s="20"/>
      <c r="AD2918" s="20"/>
      <c r="AE2918" s="20"/>
      <c r="AF2918" s="20"/>
      <c r="AG2918" s="20"/>
      <c r="AH2918" s="20"/>
      <c r="AI2918" s="20"/>
      <c r="AJ2918" s="20"/>
      <c r="AK2918" s="20"/>
      <c r="AL2918" s="20"/>
      <c r="AM2918" s="20"/>
      <c r="AN2918" s="20"/>
      <c r="AO2918" s="20"/>
    </row>
    <row r="2919" spans="1:41" s="15" customFormat="1" ht="14.25" x14ac:dyDescent="0.2">
      <c r="A2919" s="18" t="s">
        <v>1798</v>
      </c>
      <c r="B2919" s="19" t="s">
        <v>1799</v>
      </c>
      <c r="C2919" s="20">
        <v>652.16999999999996</v>
      </c>
      <c r="D2919" s="20">
        <v>652.16999999999996</v>
      </c>
      <c r="E2919" s="20">
        <v>1972.17</v>
      </c>
      <c r="F2919" s="20">
        <v>1972.17</v>
      </c>
      <c r="G2919" s="20">
        <v>3546.41</v>
      </c>
      <c r="H2919" s="20">
        <v>3946.41</v>
      </c>
      <c r="I2919" s="20">
        <v>5846.41</v>
      </c>
      <c r="J2919" s="20">
        <v>5846.41</v>
      </c>
      <c r="K2919" s="20">
        <v>7096.41</v>
      </c>
      <c r="L2919" s="20">
        <v>7096.41</v>
      </c>
      <c r="M2919" s="20">
        <v>7096.41</v>
      </c>
      <c r="N2919" s="20">
        <v>7096.41</v>
      </c>
      <c r="O2919" s="20">
        <v>211.86</v>
      </c>
      <c r="P2919" s="20">
        <v>1581.86</v>
      </c>
      <c r="Q2919" s="20">
        <v>3820.84</v>
      </c>
      <c r="R2919" s="20">
        <v>3820.84</v>
      </c>
      <c r="S2919" s="20">
        <v>11917.13</v>
      </c>
      <c r="T2919" s="20">
        <v>23729.34</v>
      </c>
      <c r="U2919" s="20">
        <v>30219.34</v>
      </c>
      <c r="V2919" s="20">
        <v>36536.730000000003</v>
      </c>
      <c r="W2919" s="20">
        <v>37290.97</v>
      </c>
      <c r="X2919" s="20">
        <v>39190.97</v>
      </c>
      <c r="Y2919" s="20">
        <v>41802.83</v>
      </c>
      <c r="Z2919" s="20">
        <v>43779.1</v>
      </c>
      <c r="AA2919" s="20">
        <v>169.49</v>
      </c>
      <c r="AB2919" s="20">
        <v>1869.49</v>
      </c>
      <c r="AC2919" s="20">
        <v>3239.49</v>
      </c>
      <c r="AD2919" s="20">
        <v>3239.49</v>
      </c>
      <c r="AE2919" s="20">
        <v>3239.49</v>
      </c>
      <c r="AF2919" s="20">
        <v>4647.96</v>
      </c>
      <c r="AG2919" s="20">
        <v>5450.08</v>
      </c>
      <c r="AH2919" s="20">
        <v>9689.4</v>
      </c>
      <c r="AI2919" s="20">
        <v>10389.4</v>
      </c>
      <c r="AJ2919" s="20">
        <v>15373.4</v>
      </c>
      <c r="AK2919" s="20">
        <v>17773.400000000001</v>
      </c>
      <c r="AL2919" s="20">
        <v>18973.400000000001</v>
      </c>
      <c r="AM2919" s="20">
        <v>1200</v>
      </c>
      <c r="AN2919" s="20">
        <v>4498.4799999999996</v>
      </c>
      <c r="AO2919" s="20">
        <v>8208.31</v>
      </c>
    </row>
    <row r="2920" spans="1:41" s="15" customFormat="1" ht="14.25" x14ac:dyDescent="0.2">
      <c r="A2920" s="18" t="s">
        <v>1800</v>
      </c>
      <c r="B2920" s="19" t="s">
        <v>1801</v>
      </c>
      <c r="C2920" s="20">
        <v>1411.61</v>
      </c>
      <c r="D2920" s="20">
        <v>1411.61</v>
      </c>
      <c r="E2920" s="20">
        <v>1411.61</v>
      </c>
      <c r="F2920" s="20">
        <v>1411.61</v>
      </c>
      <c r="G2920" s="20">
        <v>1411.61</v>
      </c>
      <c r="H2920" s="20">
        <v>1750.59</v>
      </c>
      <c r="I2920" s="20">
        <v>1750.59</v>
      </c>
      <c r="J2920" s="20">
        <v>4650.59</v>
      </c>
      <c r="K2920" s="20">
        <v>9825.59</v>
      </c>
      <c r="L2920" s="20">
        <v>11615.59</v>
      </c>
      <c r="M2920" s="20">
        <v>11615.59</v>
      </c>
      <c r="N2920" s="20">
        <v>36910.339999999997</v>
      </c>
      <c r="O2920" s="20"/>
      <c r="P2920" s="20">
        <v>2525</v>
      </c>
      <c r="Q2920" s="20">
        <v>2525</v>
      </c>
      <c r="R2920" s="20">
        <v>5382.42</v>
      </c>
      <c r="S2920" s="20">
        <v>6506.56</v>
      </c>
      <c r="T2920" s="20">
        <v>9195.99</v>
      </c>
      <c r="U2920" s="20">
        <v>13911.17</v>
      </c>
      <c r="V2920" s="20">
        <v>19874.89</v>
      </c>
      <c r="W2920" s="20">
        <v>22034.61</v>
      </c>
      <c r="X2920" s="20">
        <v>24122.95</v>
      </c>
      <c r="Y2920" s="20">
        <v>37999.22</v>
      </c>
      <c r="Z2920" s="20">
        <v>53260.480000000003</v>
      </c>
      <c r="AA2920" s="20">
        <v>90</v>
      </c>
      <c r="AB2920" s="20">
        <v>982.96</v>
      </c>
      <c r="AC2920" s="20">
        <v>982.96</v>
      </c>
      <c r="AD2920" s="20">
        <v>982.96</v>
      </c>
      <c r="AE2920" s="20">
        <v>1228.7</v>
      </c>
      <c r="AF2920" s="20">
        <v>1228.7</v>
      </c>
      <c r="AG2920" s="20">
        <v>1228.7</v>
      </c>
      <c r="AH2920" s="20">
        <v>2167.6999999999998</v>
      </c>
      <c r="AI2920" s="20">
        <v>4109.51</v>
      </c>
      <c r="AJ2920" s="20">
        <v>5126.1899999999996</v>
      </c>
      <c r="AK2920" s="20">
        <v>6660.92</v>
      </c>
      <c r="AL2920" s="20">
        <v>31974.99</v>
      </c>
      <c r="AM2920" s="20">
        <v>3946.66</v>
      </c>
      <c r="AN2920" s="20">
        <v>5159.96</v>
      </c>
      <c r="AO2920" s="20">
        <v>15772.56</v>
      </c>
    </row>
    <row r="2921" spans="1:41" ht="14.25" x14ac:dyDescent="0.2">
      <c r="A2921" s="2">
        <v>45010907</v>
      </c>
      <c r="B2921" s="3" t="s">
        <v>807</v>
      </c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9"/>
      <c r="AE2921" s="9"/>
      <c r="AF2921" s="9"/>
      <c r="AG2921" s="9"/>
      <c r="AH2921" s="9"/>
      <c r="AI2921" s="9"/>
      <c r="AJ2921" s="9"/>
      <c r="AK2921" s="9"/>
      <c r="AL2921" s="9"/>
      <c r="AM2921" s="9"/>
      <c r="AN2921" s="9"/>
      <c r="AO2921" s="9"/>
    </row>
    <row r="2922" spans="1:41" ht="14.25" x14ac:dyDescent="0.2">
      <c r="A2922" s="2">
        <v>45010909</v>
      </c>
      <c r="B2922" s="3" t="s">
        <v>808</v>
      </c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9"/>
      <c r="AN2922" s="9"/>
      <c r="AO2922" s="9"/>
    </row>
    <row r="2923" spans="1:41" s="15" customFormat="1" ht="14.25" x14ac:dyDescent="0.2">
      <c r="A2923" s="18" t="s">
        <v>1802</v>
      </c>
      <c r="B2923" s="19" t="s">
        <v>1803</v>
      </c>
      <c r="C2923" s="20"/>
      <c r="D2923" s="20"/>
      <c r="E2923" s="20"/>
      <c r="F2923" s="20"/>
      <c r="G2923" s="20"/>
      <c r="H2923" s="20"/>
      <c r="I2923" s="20"/>
      <c r="J2923" s="20"/>
      <c r="K2923" s="20"/>
      <c r="L2923" s="20"/>
      <c r="M2923" s="20"/>
      <c r="N2923" s="20"/>
      <c r="O2923" s="20"/>
      <c r="P2923" s="20"/>
      <c r="Q2923" s="20"/>
      <c r="R2923" s="20"/>
      <c r="S2923" s="20"/>
      <c r="T2923" s="20"/>
      <c r="U2923" s="20">
        <v>1229.19</v>
      </c>
      <c r="V2923" s="20">
        <v>2609.19</v>
      </c>
      <c r="W2923" s="20">
        <v>2609.19</v>
      </c>
      <c r="X2923" s="20">
        <v>2609.19</v>
      </c>
      <c r="Y2923" s="20">
        <v>2609.19</v>
      </c>
      <c r="Z2923" s="20">
        <v>2936.1</v>
      </c>
      <c r="AA2923" s="20"/>
      <c r="AB2923" s="20"/>
      <c r="AC2923" s="20"/>
      <c r="AD2923" s="20"/>
      <c r="AE2923" s="20"/>
      <c r="AF2923" s="20"/>
      <c r="AG2923" s="20"/>
      <c r="AH2923" s="20"/>
      <c r="AI2923" s="20"/>
      <c r="AJ2923" s="20">
        <v>10.59</v>
      </c>
      <c r="AK2923" s="20">
        <v>10.59</v>
      </c>
      <c r="AL2923" s="20">
        <v>10.59</v>
      </c>
      <c r="AM2923" s="20"/>
      <c r="AN2923" s="20"/>
      <c r="AO2923" s="20"/>
    </row>
    <row r="2924" spans="1:41" s="15" customFormat="1" ht="14.25" x14ac:dyDescent="0.2">
      <c r="A2924" s="18" t="s">
        <v>1804</v>
      </c>
      <c r="B2924" s="19" t="s">
        <v>1805</v>
      </c>
      <c r="C2924" s="20"/>
      <c r="D2924" s="20"/>
      <c r="E2924" s="20"/>
      <c r="F2924" s="20"/>
      <c r="G2924" s="20"/>
      <c r="H2924" s="20"/>
      <c r="I2924" s="20"/>
      <c r="J2924" s="20"/>
      <c r="K2924" s="20"/>
      <c r="L2924" s="20"/>
      <c r="M2924" s="20"/>
      <c r="N2924" s="20"/>
      <c r="O2924" s="20">
        <v>14317.23</v>
      </c>
      <c r="P2924" s="20">
        <v>14317.23</v>
      </c>
      <c r="Q2924" s="20">
        <v>14317.23</v>
      </c>
      <c r="R2924" s="20">
        <v>14317.23</v>
      </c>
      <c r="S2924" s="20">
        <v>14317.23</v>
      </c>
      <c r="T2924" s="20">
        <v>14317.23</v>
      </c>
      <c r="U2924" s="20">
        <v>14317.23</v>
      </c>
      <c r="V2924" s="20">
        <v>14317.23</v>
      </c>
      <c r="W2924" s="20">
        <v>14317.23</v>
      </c>
      <c r="X2924" s="20">
        <v>14317.23</v>
      </c>
      <c r="Y2924" s="20">
        <v>14317.23</v>
      </c>
      <c r="Z2924" s="20">
        <v>14317.23</v>
      </c>
      <c r="AA2924" s="20"/>
      <c r="AB2924" s="20"/>
      <c r="AC2924" s="20"/>
      <c r="AD2924" s="20">
        <v>2809.25</v>
      </c>
      <c r="AE2924" s="20">
        <v>2809.25</v>
      </c>
      <c r="AF2924" s="20">
        <v>2809.25</v>
      </c>
      <c r="AG2924" s="20">
        <v>2809.25</v>
      </c>
      <c r="AH2924" s="20">
        <v>2809.25</v>
      </c>
      <c r="AI2924" s="20">
        <v>2809.25</v>
      </c>
      <c r="AJ2924" s="20">
        <v>2809.25</v>
      </c>
      <c r="AK2924" s="20">
        <v>2809.25</v>
      </c>
      <c r="AL2924" s="20">
        <v>2809.25</v>
      </c>
      <c r="AM2924" s="20"/>
      <c r="AN2924" s="20"/>
      <c r="AO2924" s="20"/>
    </row>
    <row r="2925" spans="1:41" s="15" customFormat="1" ht="14.25" x14ac:dyDescent="0.2">
      <c r="A2925" s="18" t="s">
        <v>1806</v>
      </c>
      <c r="B2925" s="19" t="s">
        <v>1807</v>
      </c>
      <c r="C2925" s="20"/>
      <c r="D2925" s="20">
        <v>18412.5</v>
      </c>
      <c r="E2925" s="20">
        <v>18412.5</v>
      </c>
      <c r="F2925" s="20">
        <v>27212.5</v>
      </c>
      <c r="G2925" s="20">
        <v>32212.5</v>
      </c>
      <c r="H2925" s="20">
        <v>38955.83</v>
      </c>
      <c r="I2925" s="20">
        <v>47355.83</v>
      </c>
      <c r="J2925" s="20">
        <v>47355.83</v>
      </c>
      <c r="K2925" s="20">
        <v>56100.58</v>
      </c>
      <c r="L2925" s="20">
        <v>56100.58</v>
      </c>
      <c r="M2925" s="20">
        <v>56100.58</v>
      </c>
      <c r="N2925" s="20">
        <v>56100.58</v>
      </c>
      <c r="O2925" s="20"/>
      <c r="P2925" s="20"/>
      <c r="Q2925" s="20">
        <v>6000</v>
      </c>
      <c r="R2925" s="20">
        <v>6000</v>
      </c>
      <c r="S2925" s="20">
        <v>6000</v>
      </c>
      <c r="T2925" s="20">
        <v>6000</v>
      </c>
      <c r="U2925" s="20">
        <v>6000</v>
      </c>
      <c r="V2925" s="20">
        <v>6000</v>
      </c>
      <c r="W2925" s="20">
        <v>6000</v>
      </c>
      <c r="X2925" s="20">
        <v>6000</v>
      </c>
      <c r="Y2925" s="20">
        <v>15465.5</v>
      </c>
      <c r="Z2925" s="20">
        <v>18265.5</v>
      </c>
      <c r="AA2925" s="20">
        <v>4502.5</v>
      </c>
      <c r="AB2925" s="20">
        <v>4502.5</v>
      </c>
      <c r="AC2925" s="20">
        <v>4502.5</v>
      </c>
      <c r="AD2925" s="20">
        <v>4502.5</v>
      </c>
      <c r="AE2925" s="20">
        <v>4502.5</v>
      </c>
      <c r="AF2925" s="20">
        <v>4502.5</v>
      </c>
      <c r="AG2925" s="20">
        <v>6202.5</v>
      </c>
      <c r="AH2925" s="20">
        <v>6202.5</v>
      </c>
      <c r="AI2925" s="20">
        <v>6202.5</v>
      </c>
      <c r="AJ2925" s="20">
        <v>6202.5</v>
      </c>
      <c r="AK2925" s="20">
        <v>6202.5</v>
      </c>
      <c r="AL2925" s="20">
        <v>6202.5</v>
      </c>
      <c r="AM2925" s="20"/>
      <c r="AN2925" s="20"/>
      <c r="AO2925" s="20"/>
    </row>
    <row r="2926" spans="1:41" s="15" customFormat="1" ht="14.25" x14ac:dyDescent="0.2">
      <c r="A2926" s="18" t="s">
        <v>1808</v>
      </c>
      <c r="B2926" s="19" t="s">
        <v>1809</v>
      </c>
      <c r="C2926" s="20"/>
      <c r="D2926" s="20"/>
      <c r="E2926" s="20"/>
      <c r="F2926" s="20"/>
      <c r="G2926" s="20">
        <v>13850</v>
      </c>
      <c r="H2926" s="20">
        <v>22350</v>
      </c>
      <c r="I2926" s="20">
        <v>62350</v>
      </c>
      <c r="J2926" s="20">
        <v>62350</v>
      </c>
      <c r="K2926" s="20">
        <v>62350</v>
      </c>
      <c r="L2926" s="20">
        <v>62350</v>
      </c>
      <c r="M2926" s="20">
        <v>62350</v>
      </c>
      <c r="N2926" s="20">
        <v>62350</v>
      </c>
      <c r="O2926" s="20"/>
      <c r="P2926" s="20"/>
      <c r="Q2926" s="20"/>
      <c r="R2926" s="20"/>
      <c r="S2926" s="20"/>
      <c r="T2926" s="20"/>
      <c r="U2926" s="20"/>
      <c r="V2926" s="20"/>
      <c r="W2926" s="20"/>
      <c r="X2926" s="20"/>
      <c r="Y2926" s="20"/>
      <c r="Z2926" s="20"/>
      <c r="AA2926" s="20"/>
      <c r="AB2926" s="20"/>
      <c r="AC2926" s="20"/>
      <c r="AD2926" s="20"/>
      <c r="AE2926" s="20"/>
      <c r="AF2926" s="20">
        <v>11200</v>
      </c>
      <c r="AG2926" s="20">
        <v>11200</v>
      </c>
      <c r="AH2926" s="20">
        <v>11200</v>
      </c>
      <c r="AI2926" s="20">
        <v>11200</v>
      </c>
      <c r="AJ2926" s="20">
        <v>11200</v>
      </c>
      <c r="AK2926" s="20">
        <v>11200</v>
      </c>
      <c r="AL2926" s="20">
        <v>11200</v>
      </c>
      <c r="AM2926" s="20"/>
      <c r="AN2926" s="20"/>
      <c r="AO2926" s="20"/>
    </row>
    <row r="2927" spans="1:41" ht="14.25" x14ac:dyDescent="0.2">
      <c r="A2927" s="2">
        <v>4502</v>
      </c>
      <c r="B2927" s="3" t="s">
        <v>809</v>
      </c>
      <c r="C2927" s="20">
        <f>SUM(C2928:C2959)</f>
        <v>21109.5</v>
      </c>
      <c r="D2927" s="20">
        <f t="shared" ref="D2927:AO2927" si="91">SUM(D2928:D2959)</f>
        <v>31505.05</v>
      </c>
      <c r="E2927" s="20">
        <f t="shared" si="91"/>
        <v>65503.49</v>
      </c>
      <c r="F2927" s="20">
        <f t="shared" si="91"/>
        <v>79003.040000000008</v>
      </c>
      <c r="G2927" s="20">
        <f t="shared" si="91"/>
        <v>97185.19</v>
      </c>
      <c r="H2927" s="20">
        <f t="shared" si="91"/>
        <v>116589.43</v>
      </c>
      <c r="I2927" s="20">
        <f t="shared" si="91"/>
        <v>129187.34999999999</v>
      </c>
      <c r="J2927" s="20">
        <f t="shared" si="91"/>
        <v>159820.84</v>
      </c>
      <c r="K2927" s="20">
        <f t="shared" si="91"/>
        <v>189673.38</v>
      </c>
      <c r="L2927" s="20">
        <f t="shared" si="91"/>
        <v>201523.37999999998</v>
      </c>
      <c r="M2927" s="20">
        <f t="shared" si="91"/>
        <v>229292.88</v>
      </c>
      <c r="N2927" s="20">
        <f t="shared" si="91"/>
        <v>244655.93000000002</v>
      </c>
      <c r="O2927" s="20">
        <f t="shared" si="91"/>
        <v>14351</v>
      </c>
      <c r="P2927" s="20">
        <f t="shared" si="91"/>
        <v>32989.71</v>
      </c>
      <c r="Q2927" s="20">
        <f t="shared" si="91"/>
        <v>57004.97</v>
      </c>
      <c r="R2927" s="20">
        <f t="shared" si="91"/>
        <v>87471.28</v>
      </c>
      <c r="S2927" s="20">
        <f t="shared" si="91"/>
        <v>107984.02</v>
      </c>
      <c r="T2927" s="20">
        <f t="shared" si="91"/>
        <v>130748.31</v>
      </c>
      <c r="U2927" s="20">
        <f t="shared" si="91"/>
        <v>137461.11000000002</v>
      </c>
      <c r="V2927" s="20">
        <f t="shared" si="91"/>
        <v>153375.39000000001</v>
      </c>
      <c r="W2927" s="20">
        <f t="shared" si="91"/>
        <v>191121</v>
      </c>
      <c r="X2927" s="20">
        <f t="shared" si="91"/>
        <v>209283.22</v>
      </c>
      <c r="Y2927" s="20">
        <f t="shared" si="91"/>
        <v>226603.47</v>
      </c>
      <c r="Z2927" s="20">
        <f t="shared" si="91"/>
        <v>243115.65</v>
      </c>
      <c r="AA2927" s="20">
        <f t="shared" si="91"/>
        <v>13069.49</v>
      </c>
      <c r="AB2927" s="20">
        <f t="shared" si="91"/>
        <v>27154.78</v>
      </c>
      <c r="AC2927" s="20">
        <f t="shared" si="91"/>
        <v>45754.78</v>
      </c>
      <c r="AD2927" s="20">
        <f t="shared" si="91"/>
        <v>59554.78</v>
      </c>
      <c r="AE2927" s="20">
        <f t="shared" si="91"/>
        <v>62002.84</v>
      </c>
      <c r="AF2927" s="20">
        <f t="shared" si="91"/>
        <v>88336.7</v>
      </c>
      <c r="AG2927" s="20">
        <f t="shared" si="91"/>
        <v>101040.94</v>
      </c>
      <c r="AH2927" s="20">
        <f t="shared" si="91"/>
        <v>104822.5</v>
      </c>
      <c r="AI2927" s="20">
        <f t="shared" si="91"/>
        <v>105073.41</v>
      </c>
      <c r="AJ2927" s="20">
        <f t="shared" si="91"/>
        <v>123346.6</v>
      </c>
      <c r="AK2927" s="20">
        <f t="shared" si="91"/>
        <v>127526.59999999999</v>
      </c>
      <c r="AL2927" s="20">
        <f t="shared" si="91"/>
        <v>127526.59999999999</v>
      </c>
      <c r="AM2927" s="20">
        <f t="shared" si="91"/>
        <v>0</v>
      </c>
      <c r="AN2927" s="20">
        <f t="shared" si="91"/>
        <v>0</v>
      </c>
      <c r="AO2927" s="20">
        <f t="shared" si="91"/>
        <v>0</v>
      </c>
    </row>
    <row r="2928" spans="1:41" ht="14.25" x14ac:dyDescent="0.2">
      <c r="A2928" s="2">
        <v>450201</v>
      </c>
      <c r="B2928" s="3" t="s">
        <v>810</v>
      </c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  <c r="AE2928" s="9"/>
      <c r="AF2928" s="9"/>
      <c r="AG2928" s="9"/>
      <c r="AH2928" s="9"/>
      <c r="AI2928" s="9"/>
      <c r="AJ2928" s="9"/>
      <c r="AK2928" s="9"/>
      <c r="AL2928" s="9"/>
      <c r="AM2928" s="9"/>
      <c r="AN2928" s="9"/>
      <c r="AO2928" s="9"/>
    </row>
    <row r="2929" spans="1:41" ht="14.25" x14ac:dyDescent="0.2">
      <c r="A2929" s="2">
        <v>45020101</v>
      </c>
      <c r="B2929" s="3" t="s">
        <v>811</v>
      </c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9"/>
      <c r="AH2929" s="9"/>
      <c r="AI2929" s="9"/>
      <c r="AJ2929" s="9"/>
      <c r="AK2929" s="9"/>
      <c r="AL2929" s="9"/>
      <c r="AM2929" s="9"/>
      <c r="AN2929" s="9"/>
      <c r="AO2929" s="9"/>
    </row>
    <row r="2930" spans="1:41" ht="14.25" x14ac:dyDescent="0.2">
      <c r="A2930" s="2">
        <v>45020102</v>
      </c>
      <c r="B2930" s="3" t="s">
        <v>812</v>
      </c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9"/>
      <c r="AL2930" s="9"/>
      <c r="AM2930" s="9"/>
      <c r="AN2930" s="9"/>
      <c r="AO2930" s="9"/>
    </row>
    <row r="2931" spans="1:41" ht="14.25" x14ac:dyDescent="0.2">
      <c r="A2931" s="2">
        <v>45020103</v>
      </c>
      <c r="B2931" s="3" t="s">
        <v>813</v>
      </c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9"/>
      <c r="AH2931" s="9"/>
      <c r="AI2931" s="9"/>
      <c r="AJ2931" s="9"/>
      <c r="AK2931" s="9"/>
      <c r="AL2931" s="9"/>
      <c r="AM2931" s="9"/>
      <c r="AN2931" s="9"/>
      <c r="AO2931" s="9"/>
    </row>
    <row r="2932" spans="1:41" ht="14.25" x14ac:dyDescent="0.2">
      <c r="A2932" s="2">
        <v>45020104</v>
      </c>
      <c r="B2932" s="3" t="s">
        <v>814</v>
      </c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  <c r="AK2932" s="9"/>
      <c r="AL2932" s="9"/>
      <c r="AM2932" s="9"/>
      <c r="AN2932" s="9"/>
      <c r="AO2932" s="9"/>
    </row>
    <row r="2933" spans="1:41" ht="14.25" x14ac:dyDescent="0.2">
      <c r="A2933" s="2">
        <v>450202</v>
      </c>
      <c r="B2933" s="3" t="s">
        <v>797</v>
      </c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  <c r="AK2933" s="9"/>
      <c r="AL2933" s="9"/>
      <c r="AM2933" s="9"/>
      <c r="AN2933" s="9"/>
      <c r="AO2933" s="9"/>
    </row>
    <row r="2934" spans="1:41" ht="14.25" x14ac:dyDescent="0.2">
      <c r="A2934" s="2">
        <v>450203</v>
      </c>
      <c r="B2934" s="3" t="s">
        <v>815</v>
      </c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9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  <c r="AO2934" s="9"/>
    </row>
    <row r="2935" spans="1:41" s="15" customFormat="1" ht="14.25" x14ac:dyDescent="0.2">
      <c r="A2935" s="18" t="s">
        <v>1810</v>
      </c>
      <c r="B2935" s="19" t="s">
        <v>1811</v>
      </c>
      <c r="C2935" s="20"/>
      <c r="D2935" s="20"/>
      <c r="E2935" s="20"/>
      <c r="F2935" s="20"/>
      <c r="G2935" s="20">
        <v>238</v>
      </c>
      <c r="H2935" s="20">
        <v>238</v>
      </c>
      <c r="I2935" s="20">
        <v>238</v>
      </c>
      <c r="J2935" s="20">
        <v>238</v>
      </c>
      <c r="K2935" s="20">
        <v>238</v>
      </c>
      <c r="L2935" s="20">
        <v>238</v>
      </c>
      <c r="M2935" s="20">
        <v>238</v>
      </c>
      <c r="N2935" s="20">
        <v>238</v>
      </c>
      <c r="O2935" s="20"/>
      <c r="P2935" s="20"/>
      <c r="Q2935" s="20"/>
      <c r="R2935" s="20"/>
      <c r="S2935" s="20"/>
      <c r="T2935" s="20"/>
      <c r="U2935" s="20"/>
      <c r="V2935" s="20"/>
      <c r="W2935" s="20"/>
      <c r="X2935" s="20">
        <v>42.37</v>
      </c>
      <c r="Y2935" s="20">
        <v>161.01</v>
      </c>
      <c r="Z2935" s="20">
        <v>588.61</v>
      </c>
      <c r="AA2935" s="20"/>
      <c r="AB2935" s="20"/>
      <c r="AC2935" s="20"/>
      <c r="AD2935" s="20"/>
      <c r="AE2935" s="20">
        <v>433.14</v>
      </c>
      <c r="AF2935" s="20">
        <v>433.14</v>
      </c>
      <c r="AG2935" s="20">
        <v>433.14</v>
      </c>
      <c r="AH2935" s="20">
        <v>433.14</v>
      </c>
      <c r="AI2935" s="20">
        <v>433.14</v>
      </c>
      <c r="AJ2935" s="20">
        <v>433.14</v>
      </c>
      <c r="AK2935" s="20">
        <v>433.14</v>
      </c>
      <c r="AL2935" s="20">
        <v>433.14</v>
      </c>
      <c r="AM2935" s="20"/>
      <c r="AN2935" s="20"/>
      <c r="AO2935" s="20"/>
    </row>
    <row r="2936" spans="1:41" s="15" customFormat="1" ht="14.25" x14ac:dyDescent="0.2">
      <c r="A2936" s="18" t="s">
        <v>1812</v>
      </c>
      <c r="B2936" s="19" t="s">
        <v>1813</v>
      </c>
      <c r="C2936" s="20"/>
      <c r="D2936" s="20"/>
      <c r="E2936" s="20"/>
      <c r="F2936" s="20"/>
      <c r="G2936" s="20"/>
      <c r="H2936" s="20"/>
      <c r="I2936" s="20"/>
      <c r="J2936" s="20"/>
      <c r="K2936" s="20"/>
      <c r="L2936" s="20"/>
      <c r="M2936" s="20"/>
      <c r="N2936" s="20"/>
      <c r="O2936" s="20"/>
      <c r="P2936" s="20"/>
      <c r="Q2936" s="20"/>
      <c r="R2936" s="20"/>
      <c r="S2936" s="20">
        <v>1266.21</v>
      </c>
      <c r="T2936" s="20">
        <v>1266.21</v>
      </c>
      <c r="U2936" s="20">
        <v>1266.21</v>
      </c>
      <c r="V2936" s="20">
        <v>2662.79</v>
      </c>
      <c r="W2936" s="20">
        <v>2662.79</v>
      </c>
      <c r="X2936" s="20">
        <v>2662.79</v>
      </c>
      <c r="Y2936" s="20">
        <v>2662.79</v>
      </c>
      <c r="Z2936" s="20">
        <v>2662.79</v>
      </c>
      <c r="AA2936" s="20"/>
      <c r="AB2936" s="20"/>
      <c r="AC2936" s="20"/>
      <c r="AD2936" s="20"/>
      <c r="AE2936" s="20"/>
      <c r="AF2936" s="20"/>
      <c r="AG2936" s="20"/>
      <c r="AH2936" s="20"/>
      <c r="AI2936" s="20"/>
      <c r="AJ2936" s="20"/>
      <c r="AK2936" s="20"/>
      <c r="AL2936" s="20"/>
      <c r="AM2936" s="20"/>
      <c r="AN2936" s="20"/>
      <c r="AO2936" s="20"/>
    </row>
    <row r="2937" spans="1:41" ht="14.25" x14ac:dyDescent="0.2">
      <c r="A2937" s="2">
        <v>450206</v>
      </c>
      <c r="B2937" s="3" t="s">
        <v>806</v>
      </c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  <c r="AK2937" s="9"/>
      <c r="AL2937" s="9"/>
      <c r="AM2937" s="9"/>
      <c r="AN2937" s="9"/>
      <c r="AO2937" s="9"/>
    </row>
    <row r="2938" spans="1:41" s="15" customFormat="1" ht="14.25" x14ac:dyDescent="0.2">
      <c r="A2938" s="18" t="s">
        <v>1814</v>
      </c>
      <c r="B2938" s="19" t="s">
        <v>1815</v>
      </c>
      <c r="C2938" s="20"/>
      <c r="D2938" s="20"/>
      <c r="E2938" s="20"/>
      <c r="F2938" s="20"/>
      <c r="G2938" s="20"/>
      <c r="H2938" s="20"/>
      <c r="I2938" s="20"/>
      <c r="J2938" s="20">
        <v>973.22</v>
      </c>
      <c r="K2938" s="20">
        <v>973.22</v>
      </c>
      <c r="L2938" s="20">
        <v>973.22</v>
      </c>
      <c r="M2938" s="20">
        <v>4095.61</v>
      </c>
      <c r="N2938" s="20">
        <v>4095.61</v>
      </c>
      <c r="O2938" s="20"/>
      <c r="P2938" s="20"/>
      <c r="Q2938" s="20"/>
      <c r="R2938" s="20"/>
      <c r="S2938" s="20"/>
      <c r="T2938" s="20"/>
      <c r="U2938" s="20"/>
      <c r="V2938" s="20"/>
      <c r="W2938" s="20">
        <v>3431.41</v>
      </c>
      <c r="X2938" s="20">
        <v>7151.54</v>
      </c>
      <c r="Y2938" s="20">
        <v>7151.54</v>
      </c>
      <c r="Z2938" s="20">
        <v>9342.2099999999991</v>
      </c>
      <c r="AA2938" s="20"/>
      <c r="AB2938" s="20"/>
      <c r="AC2938" s="20"/>
      <c r="AD2938" s="20"/>
      <c r="AE2938" s="20"/>
      <c r="AF2938" s="20"/>
      <c r="AG2938" s="20"/>
      <c r="AH2938" s="20"/>
      <c r="AI2938" s="20"/>
      <c r="AJ2938" s="20"/>
      <c r="AK2938" s="20"/>
      <c r="AL2938" s="20"/>
      <c r="AM2938" s="20"/>
      <c r="AN2938" s="20"/>
      <c r="AO2938" s="20"/>
    </row>
    <row r="2939" spans="1:41" s="15" customFormat="1" ht="14.25" x14ac:dyDescent="0.2">
      <c r="A2939" s="18" t="s">
        <v>1816</v>
      </c>
      <c r="B2939" s="19" t="s">
        <v>1817</v>
      </c>
      <c r="C2939" s="20"/>
      <c r="D2939" s="20"/>
      <c r="E2939" s="20"/>
      <c r="F2939" s="20"/>
      <c r="G2939" s="20"/>
      <c r="H2939" s="20"/>
      <c r="I2939" s="20"/>
      <c r="J2939" s="20">
        <v>1461.16</v>
      </c>
      <c r="K2939" s="20">
        <v>1461.16</v>
      </c>
      <c r="L2939" s="20">
        <v>1461.16</v>
      </c>
      <c r="M2939" s="20">
        <v>1461.16</v>
      </c>
      <c r="N2939" s="20">
        <v>1461.16</v>
      </c>
      <c r="O2939" s="20"/>
      <c r="P2939" s="20"/>
      <c r="Q2939" s="20"/>
      <c r="R2939" s="20"/>
      <c r="S2939" s="20"/>
      <c r="T2939" s="20"/>
      <c r="U2939" s="20"/>
      <c r="V2939" s="20"/>
      <c r="W2939" s="20">
        <v>3042.23</v>
      </c>
      <c r="X2939" s="20">
        <v>3042.23</v>
      </c>
      <c r="Y2939" s="20">
        <v>3042.23</v>
      </c>
      <c r="Z2939" s="20">
        <v>3042.23</v>
      </c>
      <c r="AA2939" s="20"/>
      <c r="AB2939" s="20"/>
      <c r="AC2939" s="20"/>
      <c r="AD2939" s="20"/>
      <c r="AE2939" s="20"/>
      <c r="AF2939" s="20"/>
      <c r="AG2939" s="20"/>
      <c r="AH2939" s="20"/>
      <c r="AI2939" s="20"/>
      <c r="AJ2939" s="20"/>
      <c r="AK2939" s="20"/>
      <c r="AL2939" s="20"/>
      <c r="AM2939" s="20"/>
      <c r="AN2939" s="20"/>
      <c r="AO2939" s="20"/>
    </row>
    <row r="2940" spans="1:41" s="15" customFormat="1" ht="14.25" x14ac:dyDescent="0.2">
      <c r="A2940" s="18" t="s">
        <v>1818</v>
      </c>
      <c r="B2940" s="19" t="s">
        <v>1819</v>
      </c>
      <c r="C2940" s="20"/>
      <c r="D2940" s="20"/>
      <c r="E2940" s="20"/>
      <c r="F2940" s="20"/>
      <c r="G2940" s="20"/>
      <c r="H2940" s="20"/>
      <c r="I2940" s="20"/>
      <c r="J2940" s="20">
        <v>1520</v>
      </c>
      <c r="K2940" s="20">
        <v>1520</v>
      </c>
      <c r="L2940" s="20">
        <v>1520</v>
      </c>
      <c r="M2940" s="20">
        <v>1520</v>
      </c>
      <c r="N2940" s="20">
        <v>1520</v>
      </c>
      <c r="O2940" s="20"/>
      <c r="P2940" s="20"/>
      <c r="Q2940" s="20"/>
      <c r="R2940" s="20"/>
      <c r="S2940" s="20"/>
      <c r="T2940" s="20"/>
      <c r="U2940" s="20"/>
      <c r="V2940" s="20"/>
      <c r="W2940" s="20">
        <v>3031.88</v>
      </c>
      <c r="X2940" s="20">
        <v>3471.88</v>
      </c>
      <c r="Y2940" s="20">
        <v>4230.05</v>
      </c>
      <c r="Z2940" s="20">
        <v>5320.57</v>
      </c>
      <c r="AA2940" s="20"/>
      <c r="AB2940" s="20"/>
      <c r="AC2940" s="20"/>
      <c r="AD2940" s="20"/>
      <c r="AE2940" s="20"/>
      <c r="AF2940" s="20">
        <v>531.54</v>
      </c>
      <c r="AG2940" s="20">
        <v>531.54</v>
      </c>
      <c r="AH2940" s="20">
        <v>531.54</v>
      </c>
      <c r="AI2940" s="20">
        <v>531.54</v>
      </c>
      <c r="AJ2940" s="20">
        <v>531.54</v>
      </c>
      <c r="AK2940" s="20">
        <v>531.54</v>
      </c>
      <c r="AL2940" s="20">
        <v>531.54</v>
      </c>
      <c r="AM2940" s="20"/>
      <c r="AN2940" s="20"/>
      <c r="AO2940" s="20"/>
    </row>
    <row r="2941" spans="1:41" s="15" customFormat="1" ht="14.25" x14ac:dyDescent="0.2">
      <c r="A2941" s="18" t="s">
        <v>1820</v>
      </c>
      <c r="B2941" s="19" t="s">
        <v>1821</v>
      </c>
      <c r="C2941" s="20"/>
      <c r="D2941" s="20"/>
      <c r="E2941" s="20"/>
      <c r="F2941" s="20"/>
      <c r="G2941" s="20"/>
      <c r="H2941" s="20"/>
      <c r="I2941" s="20"/>
      <c r="J2941" s="20"/>
      <c r="K2941" s="20"/>
      <c r="L2941" s="20"/>
      <c r="M2941" s="20"/>
      <c r="N2941" s="20"/>
      <c r="O2941" s="20"/>
      <c r="P2941" s="20"/>
      <c r="Q2941" s="20"/>
      <c r="R2941" s="20"/>
      <c r="S2941" s="20"/>
      <c r="T2941" s="20"/>
      <c r="U2941" s="20"/>
      <c r="V2941" s="20"/>
      <c r="W2941" s="20">
        <v>2023.13</v>
      </c>
      <c r="X2941" s="20">
        <v>2023.13</v>
      </c>
      <c r="Y2941" s="20">
        <v>2778.43</v>
      </c>
      <c r="Z2941" s="20">
        <v>2778.43</v>
      </c>
      <c r="AA2941" s="20"/>
      <c r="AB2941" s="20"/>
      <c r="AC2941" s="20"/>
      <c r="AD2941" s="20"/>
      <c r="AE2941" s="20"/>
      <c r="AF2941" s="20"/>
      <c r="AG2941" s="20"/>
      <c r="AH2941" s="20"/>
      <c r="AI2941" s="20"/>
      <c r="AJ2941" s="20"/>
      <c r="AK2941" s="20"/>
      <c r="AL2941" s="20"/>
      <c r="AM2941" s="20"/>
      <c r="AN2941" s="20"/>
      <c r="AO2941" s="20"/>
    </row>
    <row r="2942" spans="1:41" ht="14.25" x14ac:dyDescent="0.2">
      <c r="A2942" s="2">
        <v>45020609</v>
      </c>
      <c r="B2942" s="3" t="s">
        <v>817</v>
      </c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9"/>
      <c r="AN2942" s="9"/>
      <c r="AO2942" s="9"/>
    </row>
    <row r="2943" spans="1:41" ht="14.25" x14ac:dyDescent="0.2">
      <c r="A2943" s="2">
        <v>450207</v>
      </c>
      <c r="B2943" s="3" t="s">
        <v>818</v>
      </c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  <c r="AK2943" s="9"/>
      <c r="AL2943" s="9"/>
      <c r="AM2943" s="9"/>
      <c r="AN2943" s="9"/>
      <c r="AO2943" s="9"/>
    </row>
    <row r="2944" spans="1:41" s="15" customFormat="1" ht="14.25" x14ac:dyDescent="0.2">
      <c r="A2944" s="18" t="s">
        <v>1822</v>
      </c>
      <c r="B2944" s="19" t="s">
        <v>1823</v>
      </c>
      <c r="C2944" s="20"/>
      <c r="D2944" s="20"/>
      <c r="E2944" s="20"/>
      <c r="F2944" s="20"/>
      <c r="G2944" s="20">
        <v>1231.99</v>
      </c>
      <c r="H2944" s="20">
        <v>1231.99</v>
      </c>
      <c r="I2944" s="20">
        <v>1231.99</v>
      </c>
      <c r="J2944" s="20">
        <v>1231.99</v>
      </c>
      <c r="K2944" s="20">
        <v>1231.99</v>
      </c>
      <c r="L2944" s="20">
        <v>1231.99</v>
      </c>
      <c r="M2944" s="20">
        <v>7146.39</v>
      </c>
      <c r="N2944" s="20">
        <v>7146.39</v>
      </c>
      <c r="O2944" s="20"/>
      <c r="P2944" s="20"/>
      <c r="Q2944" s="20"/>
      <c r="R2944" s="20"/>
      <c r="S2944" s="20"/>
      <c r="T2944" s="20"/>
      <c r="U2944" s="20"/>
      <c r="V2944" s="20"/>
      <c r="W2944" s="20"/>
      <c r="X2944" s="20"/>
      <c r="Y2944" s="20"/>
      <c r="Z2944" s="20"/>
      <c r="AA2944" s="20"/>
      <c r="AB2944" s="20">
        <v>854.79</v>
      </c>
      <c r="AC2944" s="20">
        <v>854.79</v>
      </c>
      <c r="AD2944" s="20">
        <v>854.79</v>
      </c>
      <c r="AE2944" s="20">
        <v>854.79</v>
      </c>
      <c r="AF2944" s="20">
        <v>854.79</v>
      </c>
      <c r="AG2944" s="20">
        <v>854.79</v>
      </c>
      <c r="AH2944" s="20">
        <v>854.79</v>
      </c>
      <c r="AI2944" s="20">
        <v>854.79</v>
      </c>
      <c r="AJ2944" s="20">
        <v>854.79</v>
      </c>
      <c r="AK2944" s="20">
        <v>854.79</v>
      </c>
      <c r="AL2944" s="20">
        <v>854.79</v>
      </c>
      <c r="AM2944" s="20"/>
      <c r="AN2944" s="20"/>
      <c r="AO2944" s="20"/>
    </row>
    <row r="2945" spans="1:41" s="15" customFormat="1" ht="14.25" x14ac:dyDescent="0.2">
      <c r="A2945" s="18" t="s">
        <v>1824</v>
      </c>
      <c r="B2945" s="19" t="s">
        <v>1825</v>
      </c>
      <c r="C2945" s="20"/>
      <c r="D2945" s="20"/>
      <c r="E2945" s="20"/>
      <c r="F2945" s="20"/>
      <c r="G2945" s="20"/>
      <c r="H2945" s="20"/>
      <c r="I2945" s="20"/>
      <c r="J2945" s="20">
        <v>2929.45</v>
      </c>
      <c r="K2945" s="20">
        <v>2929.45</v>
      </c>
      <c r="L2945" s="20">
        <v>2929.45</v>
      </c>
      <c r="M2945" s="20">
        <v>2929.45</v>
      </c>
      <c r="N2945" s="20">
        <v>2929.45</v>
      </c>
      <c r="O2945" s="20"/>
      <c r="P2945" s="20"/>
      <c r="Q2945" s="20"/>
      <c r="R2945" s="20"/>
      <c r="S2945" s="20"/>
      <c r="T2945" s="20">
        <v>2968.47</v>
      </c>
      <c r="U2945" s="20">
        <v>3546.9</v>
      </c>
      <c r="V2945" s="20">
        <v>3546.9</v>
      </c>
      <c r="W2945" s="20">
        <v>3546.9</v>
      </c>
      <c r="X2945" s="20">
        <v>3546.9</v>
      </c>
      <c r="Y2945" s="20">
        <v>3546.9</v>
      </c>
      <c r="Z2945" s="20">
        <v>3546.9</v>
      </c>
      <c r="AA2945" s="20"/>
      <c r="AB2945" s="20"/>
      <c r="AC2945" s="20"/>
      <c r="AD2945" s="20"/>
      <c r="AE2945" s="20"/>
      <c r="AF2945" s="20"/>
      <c r="AG2945" s="20"/>
      <c r="AH2945" s="20"/>
      <c r="AI2945" s="20"/>
      <c r="AJ2945" s="20"/>
      <c r="AK2945" s="20"/>
      <c r="AL2945" s="20"/>
      <c r="AM2945" s="20"/>
      <c r="AN2945" s="20"/>
      <c r="AO2945" s="20"/>
    </row>
    <row r="2946" spans="1:41" s="15" customFormat="1" ht="14.25" x14ac:dyDescent="0.2">
      <c r="A2946" s="18" t="s">
        <v>1826</v>
      </c>
      <c r="B2946" s="19" t="s">
        <v>1827</v>
      </c>
      <c r="C2946" s="20"/>
      <c r="D2946" s="20"/>
      <c r="E2946" s="20"/>
      <c r="F2946" s="20"/>
      <c r="G2946" s="20"/>
      <c r="H2946" s="20"/>
      <c r="I2946" s="20"/>
      <c r="J2946" s="20">
        <v>973.22</v>
      </c>
      <c r="K2946" s="20">
        <v>973.22</v>
      </c>
      <c r="L2946" s="20">
        <v>973.22</v>
      </c>
      <c r="M2946" s="20">
        <v>973.22</v>
      </c>
      <c r="N2946" s="20">
        <v>973.22</v>
      </c>
      <c r="O2946" s="20"/>
      <c r="P2946" s="20"/>
      <c r="Q2946" s="20"/>
      <c r="R2946" s="20"/>
      <c r="S2946" s="20"/>
      <c r="T2946" s="20"/>
      <c r="U2946" s="20">
        <v>30</v>
      </c>
      <c r="V2946" s="20">
        <v>30</v>
      </c>
      <c r="W2946" s="20">
        <v>30</v>
      </c>
      <c r="X2946" s="20">
        <v>539.72</v>
      </c>
      <c r="Y2946" s="20">
        <v>539.72</v>
      </c>
      <c r="Z2946" s="20">
        <v>539.72</v>
      </c>
      <c r="AA2946" s="20"/>
      <c r="AB2946" s="20"/>
      <c r="AC2946" s="20"/>
      <c r="AD2946" s="20"/>
      <c r="AE2946" s="20"/>
      <c r="AF2946" s="20">
        <v>90</v>
      </c>
      <c r="AG2946" s="20">
        <v>90</v>
      </c>
      <c r="AH2946" s="20">
        <v>90</v>
      </c>
      <c r="AI2946" s="20">
        <v>250</v>
      </c>
      <c r="AJ2946" s="20">
        <v>250</v>
      </c>
      <c r="AK2946" s="20">
        <v>250</v>
      </c>
      <c r="AL2946" s="20">
        <v>250</v>
      </c>
      <c r="AM2946" s="20"/>
      <c r="AN2946" s="20"/>
      <c r="AO2946" s="20"/>
    </row>
    <row r="2947" spans="1:41" s="15" customFormat="1" ht="14.25" x14ac:dyDescent="0.2">
      <c r="A2947" s="18" t="s">
        <v>1828</v>
      </c>
      <c r="B2947" s="19" t="s">
        <v>1829</v>
      </c>
      <c r="C2947" s="20"/>
      <c r="D2947" s="20"/>
      <c r="E2947" s="20"/>
      <c r="F2947" s="20"/>
      <c r="G2947" s="20">
        <v>428.04</v>
      </c>
      <c r="H2947" s="20">
        <v>428.04</v>
      </c>
      <c r="I2947" s="20">
        <v>428.04</v>
      </c>
      <c r="J2947" s="20">
        <v>3412.77</v>
      </c>
      <c r="K2947" s="20">
        <v>3412.77</v>
      </c>
      <c r="L2947" s="20">
        <v>3412.77</v>
      </c>
      <c r="M2947" s="20">
        <v>3412.77</v>
      </c>
      <c r="N2947" s="20">
        <v>3412.77</v>
      </c>
      <c r="O2947" s="20"/>
      <c r="P2947" s="20"/>
      <c r="Q2947" s="20"/>
      <c r="R2947" s="20"/>
      <c r="S2947" s="20"/>
      <c r="T2947" s="20"/>
      <c r="U2947" s="20"/>
      <c r="V2947" s="20"/>
      <c r="W2947" s="20"/>
      <c r="X2947" s="20"/>
      <c r="Y2947" s="20"/>
      <c r="Z2947" s="20"/>
      <c r="AA2947" s="20"/>
      <c r="AB2947" s="20"/>
      <c r="AC2947" s="20"/>
      <c r="AD2947" s="20"/>
      <c r="AE2947" s="20"/>
      <c r="AF2947" s="20"/>
      <c r="AG2947" s="20"/>
      <c r="AH2947" s="20"/>
      <c r="AI2947" s="20"/>
      <c r="AJ2947" s="20"/>
      <c r="AK2947" s="20"/>
      <c r="AL2947" s="20"/>
      <c r="AM2947" s="20"/>
      <c r="AN2947" s="20"/>
      <c r="AO2947" s="20"/>
    </row>
    <row r="2948" spans="1:41" s="15" customFormat="1" ht="14.25" x14ac:dyDescent="0.2">
      <c r="A2948" s="18">
        <v>45020709</v>
      </c>
      <c r="B2948" s="19" t="s">
        <v>819</v>
      </c>
      <c r="C2948" s="20"/>
      <c r="D2948" s="20"/>
      <c r="E2948" s="20"/>
      <c r="F2948" s="20"/>
      <c r="G2948" s="20"/>
      <c r="H2948" s="20"/>
      <c r="I2948" s="20"/>
      <c r="J2948" s="20"/>
      <c r="K2948" s="20"/>
      <c r="L2948" s="20"/>
      <c r="M2948" s="20"/>
      <c r="N2948" s="20"/>
      <c r="O2948" s="20"/>
      <c r="P2948" s="20"/>
      <c r="Q2948" s="20"/>
      <c r="R2948" s="20"/>
      <c r="S2948" s="20"/>
      <c r="T2948" s="20"/>
      <c r="U2948" s="20"/>
      <c r="V2948" s="20"/>
      <c r="W2948" s="20"/>
      <c r="X2948" s="20"/>
      <c r="Y2948" s="20"/>
      <c r="Z2948" s="20"/>
      <c r="AA2948" s="20"/>
      <c r="AB2948" s="20"/>
      <c r="AC2948" s="20"/>
      <c r="AD2948" s="20"/>
      <c r="AE2948" s="20"/>
      <c r="AF2948" s="20"/>
      <c r="AG2948" s="20"/>
      <c r="AH2948" s="20"/>
      <c r="AI2948" s="20"/>
      <c r="AJ2948" s="20"/>
      <c r="AK2948" s="20"/>
      <c r="AL2948" s="20"/>
      <c r="AM2948" s="20"/>
      <c r="AN2948" s="20"/>
      <c r="AO2948" s="20"/>
    </row>
    <row r="2949" spans="1:41" s="15" customFormat="1" ht="14.25" x14ac:dyDescent="0.2">
      <c r="A2949" s="18">
        <v>450208</v>
      </c>
      <c r="B2949" s="19" t="s">
        <v>820</v>
      </c>
      <c r="C2949" s="20"/>
      <c r="D2949" s="20"/>
      <c r="E2949" s="20"/>
      <c r="F2949" s="20"/>
      <c r="G2949" s="20"/>
      <c r="H2949" s="20"/>
      <c r="I2949" s="20"/>
      <c r="J2949" s="20"/>
      <c r="K2949" s="20"/>
      <c r="L2949" s="20"/>
      <c r="M2949" s="20"/>
      <c r="N2949" s="20"/>
      <c r="O2949" s="20"/>
      <c r="P2949" s="20"/>
      <c r="Q2949" s="20"/>
      <c r="R2949" s="20"/>
      <c r="S2949" s="20"/>
      <c r="T2949" s="20"/>
      <c r="U2949" s="20"/>
      <c r="V2949" s="20"/>
      <c r="W2949" s="20"/>
      <c r="X2949" s="20"/>
      <c r="Y2949" s="20"/>
      <c r="Z2949" s="20"/>
      <c r="AA2949" s="20"/>
      <c r="AB2949" s="20"/>
      <c r="AC2949" s="20"/>
      <c r="AD2949" s="20"/>
      <c r="AE2949" s="20"/>
      <c r="AF2949" s="20"/>
      <c r="AG2949" s="20"/>
      <c r="AH2949" s="20"/>
      <c r="AI2949" s="20"/>
      <c r="AJ2949" s="20"/>
      <c r="AK2949" s="20"/>
      <c r="AL2949" s="20"/>
      <c r="AM2949" s="20"/>
      <c r="AN2949" s="20"/>
      <c r="AO2949" s="20"/>
    </row>
    <row r="2950" spans="1:41" s="15" customFormat="1" ht="14.25" x14ac:dyDescent="0.2">
      <c r="A2950" s="18" t="s">
        <v>1830</v>
      </c>
      <c r="B2950" s="19" t="s">
        <v>1831</v>
      </c>
      <c r="C2950" s="20"/>
      <c r="D2950" s="20">
        <v>423.73</v>
      </c>
      <c r="E2950" s="20">
        <v>423.73</v>
      </c>
      <c r="F2950" s="20">
        <v>423.73</v>
      </c>
      <c r="G2950" s="20">
        <v>423.73</v>
      </c>
      <c r="H2950" s="20">
        <v>423.73</v>
      </c>
      <c r="I2950" s="20">
        <v>423.73</v>
      </c>
      <c r="J2950" s="20">
        <v>423.73</v>
      </c>
      <c r="K2950" s="20">
        <v>6257.63</v>
      </c>
      <c r="L2950" s="20">
        <v>6257.63</v>
      </c>
      <c r="M2950" s="20">
        <v>6257.63</v>
      </c>
      <c r="N2950" s="20">
        <v>6257.63</v>
      </c>
      <c r="O2950" s="20"/>
      <c r="P2950" s="20"/>
      <c r="Q2950" s="20"/>
      <c r="R2950" s="20"/>
      <c r="S2950" s="20"/>
      <c r="T2950" s="20"/>
      <c r="U2950" s="20"/>
      <c r="V2950" s="20">
        <v>2936.44</v>
      </c>
      <c r="W2950" s="20">
        <v>6495.77</v>
      </c>
      <c r="X2950" s="20">
        <v>8395.77</v>
      </c>
      <c r="Y2950" s="20">
        <v>10845.77</v>
      </c>
      <c r="Z2950" s="20">
        <v>10845.77</v>
      </c>
      <c r="AA2950" s="20">
        <v>169.49</v>
      </c>
      <c r="AB2950" s="20">
        <v>469.49</v>
      </c>
      <c r="AC2950" s="20">
        <v>469.49</v>
      </c>
      <c r="AD2950" s="20">
        <v>469.49</v>
      </c>
      <c r="AE2950" s="20">
        <v>469.49</v>
      </c>
      <c r="AF2950" s="20">
        <v>1069.49</v>
      </c>
      <c r="AG2950" s="20">
        <v>1069.49</v>
      </c>
      <c r="AH2950" s="20">
        <v>3901.69</v>
      </c>
      <c r="AI2950" s="20">
        <v>3901.69</v>
      </c>
      <c r="AJ2950" s="20">
        <v>9393.2199999999993</v>
      </c>
      <c r="AK2950" s="20">
        <v>13573.22</v>
      </c>
      <c r="AL2950" s="20">
        <v>13573.22</v>
      </c>
      <c r="AM2950" s="20"/>
      <c r="AN2950" s="20"/>
      <c r="AO2950" s="20"/>
    </row>
    <row r="2951" spans="1:41" s="15" customFormat="1" ht="14.25" x14ac:dyDescent="0.2">
      <c r="A2951" s="18">
        <v>450209</v>
      </c>
      <c r="B2951" s="19" t="s">
        <v>821</v>
      </c>
      <c r="C2951" s="20"/>
      <c r="D2951" s="20"/>
      <c r="E2951" s="20"/>
      <c r="F2951" s="20"/>
      <c r="G2951" s="20"/>
      <c r="H2951" s="20"/>
      <c r="I2951" s="20"/>
      <c r="J2951" s="20"/>
      <c r="K2951" s="20"/>
      <c r="L2951" s="20"/>
      <c r="M2951" s="20"/>
      <c r="N2951" s="20"/>
      <c r="O2951" s="20"/>
      <c r="P2951" s="20"/>
      <c r="Q2951" s="20"/>
      <c r="R2951" s="20"/>
      <c r="S2951" s="20"/>
      <c r="T2951" s="20"/>
      <c r="U2951" s="20"/>
      <c r="V2951" s="20"/>
      <c r="W2951" s="20"/>
      <c r="X2951" s="20"/>
      <c r="Y2951" s="20"/>
      <c r="Z2951" s="20"/>
      <c r="AA2951" s="20"/>
      <c r="AB2951" s="20"/>
      <c r="AC2951" s="20"/>
      <c r="AD2951" s="20"/>
      <c r="AE2951" s="20"/>
      <c r="AF2951" s="20"/>
      <c r="AG2951" s="20"/>
      <c r="AH2951" s="20"/>
      <c r="AI2951" s="20"/>
      <c r="AJ2951" s="20"/>
      <c r="AK2951" s="20"/>
      <c r="AL2951" s="20"/>
      <c r="AM2951" s="20"/>
      <c r="AN2951" s="20"/>
      <c r="AO2951" s="20"/>
    </row>
    <row r="2952" spans="1:41" s="15" customFormat="1" ht="14.25" x14ac:dyDescent="0.2">
      <c r="A2952" s="18" t="s">
        <v>1832</v>
      </c>
      <c r="B2952" s="19" t="s">
        <v>1833</v>
      </c>
      <c r="C2952" s="20"/>
      <c r="D2952" s="20"/>
      <c r="E2952" s="20"/>
      <c r="F2952" s="20"/>
      <c r="G2952" s="20"/>
      <c r="H2952" s="20"/>
      <c r="I2952" s="20"/>
      <c r="J2952" s="20"/>
      <c r="K2952" s="20"/>
      <c r="L2952" s="20"/>
      <c r="M2952" s="20"/>
      <c r="N2952" s="20"/>
      <c r="O2952" s="20"/>
      <c r="P2952" s="20"/>
      <c r="Q2952" s="20"/>
      <c r="R2952" s="20"/>
      <c r="S2952" s="20"/>
      <c r="T2952" s="20"/>
      <c r="U2952" s="20"/>
      <c r="V2952" s="20"/>
      <c r="W2952" s="20"/>
      <c r="X2952" s="20"/>
      <c r="Y2952" s="20"/>
      <c r="Z2952" s="20"/>
      <c r="AA2952" s="20"/>
      <c r="AB2952" s="20">
        <v>180.5</v>
      </c>
      <c r="AC2952" s="20">
        <v>180.5</v>
      </c>
      <c r="AD2952" s="20">
        <v>180.5</v>
      </c>
      <c r="AE2952" s="20">
        <v>180.5</v>
      </c>
      <c r="AF2952" s="20">
        <v>326</v>
      </c>
      <c r="AG2952" s="20">
        <v>430.24</v>
      </c>
      <c r="AH2952" s="20">
        <v>629.6</v>
      </c>
      <c r="AI2952" s="20">
        <v>629.6</v>
      </c>
      <c r="AJ2952" s="20">
        <v>811.26</v>
      </c>
      <c r="AK2952" s="20">
        <v>811.26</v>
      </c>
      <c r="AL2952" s="20">
        <v>811.26</v>
      </c>
      <c r="AM2952" s="20"/>
      <c r="AN2952" s="20"/>
      <c r="AO2952" s="20"/>
    </row>
    <row r="2953" spans="1:41" s="15" customFormat="1" ht="14.25" x14ac:dyDescent="0.2">
      <c r="A2953" s="18" t="s">
        <v>1834</v>
      </c>
      <c r="B2953" s="19" t="s">
        <v>1835</v>
      </c>
      <c r="C2953" s="20"/>
      <c r="D2953" s="20"/>
      <c r="E2953" s="20"/>
      <c r="F2953" s="20"/>
      <c r="G2953" s="20"/>
      <c r="H2953" s="20"/>
      <c r="I2953" s="20"/>
      <c r="J2953" s="20"/>
      <c r="K2953" s="20"/>
      <c r="L2953" s="20"/>
      <c r="M2953" s="20"/>
      <c r="N2953" s="20"/>
      <c r="O2953" s="20"/>
      <c r="P2953" s="20"/>
      <c r="Q2953" s="20"/>
      <c r="R2953" s="20"/>
      <c r="S2953" s="20"/>
      <c r="T2953" s="20"/>
      <c r="U2953" s="20">
        <v>37.729999999999997</v>
      </c>
      <c r="V2953" s="20">
        <v>37.729999999999997</v>
      </c>
      <c r="W2953" s="20">
        <v>37.729999999999997</v>
      </c>
      <c r="X2953" s="20">
        <v>37.729999999999997</v>
      </c>
      <c r="Y2953" s="20">
        <v>37.729999999999997</v>
      </c>
      <c r="Z2953" s="20">
        <v>37.729999999999997</v>
      </c>
      <c r="AA2953" s="20"/>
      <c r="AB2953" s="20"/>
      <c r="AC2953" s="20"/>
      <c r="AD2953" s="20"/>
      <c r="AE2953" s="20"/>
      <c r="AF2953" s="20"/>
      <c r="AG2953" s="20"/>
      <c r="AH2953" s="20"/>
      <c r="AI2953" s="20"/>
      <c r="AJ2953" s="20"/>
      <c r="AK2953" s="20"/>
      <c r="AL2953" s="20"/>
      <c r="AM2953" s="20"/>
      <c r="AN2953" s="20"/>
      <c r="AO2953" s="20"/>
    </row>
    <row r="2954" spans="1:41" s="15" customFormat="1" ht="14.25" x14ac:dyDescent="0.2">
      <c r="A2954" s="18" t="s">
        <v>1836</v>
      </c>
      <c r="B2954" s="19" t="s">
        <v>1837</v>
      </c>
      <c r="C2954" s="20"/>
      <c r="D2954" s="20"/>
      <c r="E2954" s="20"/>
      <c r="F2954" s="20"/>
      <c r="G2954" s="20"/>
      <c r="H2954" s="20"/>
      <c r="I2954" s="20"/>
      <c r="J2954" s="20"/>
      <c r="K2954" s="20"/>
      <c r="L2954" s="20"/>
      <c r="M2954" s="20"/>
      <c r="N2954" s="20"/>
      <c r="O2954" s="20"/>
      <c r="P2954" s="20"/>
      <c r="Q2954" s="20"/>
      <c r="R2954" s="20"/>
      <c r="S2954" s="20"/>
      <c r="T2954" s="20"/>
      <c r="U2954" s="20"/>
      <c r="V2954" s="20"/>
      <c r="W2954" s="20"/>
      <c r="X2954" s="20"/>
      <c r="Y2954" s="20"/>
      <c r="Z2954" s="20"/>
      <c r="AA2954" s="20"/>
      <c r="AB2954" s="20"/>
      <c r="AC2954" s="20"/>
      <c r="AD2954" s="20"/>
      <c r="AE2954" s="20">
        <v>15</v>
      </c>
      <c r="AF2954" s="20">
        <v>81.819999999999993</v>
      </c>
      <c r="AG2954" s="20">
        <v>81.819999999999993</v>
      </c>
      <c r="AH2954" s="20">
        <v>81.819999999999993</v>
      </c>
      <c r="AI2954" s="20">
        <v>81.819999999999993</v>
      </c>
      <c r="AJ2954" s="20">
        <v>81.819999999999993</v>
      </c>
      <c r="AK2954" s="20">
        <v>81.819999999999993</v>
      </c>
      <c r="AL2954" s="20">
        <v>81.819999999999993</v>
      </c>
      <c r="AM2954" s="20"/>
      <c r="AN2954" s="20"/>
      <c r="AO2954" s="20"/>
    </row>
    <row r="2955" spans="1:41" s="15" customFormat="1" ht="14.25" x14ac:dyDescent="0.2">
      <c r="A2955" s="18" t="s">
        <v>1838</v>
      </c>
      <c r="B2955" s="19" t="s">
        <v>1839</v>
      </c>
      <c r="C2955" s="20"/>
      <c r="D2955" s="20">
        <v>704.57</v>
      </c>
      <c r="E2955" s="20">
        <v>704.57</v>
      </c>
      <c r="F2955" s="20">
        <v>704.57</v>
      </c>
      <c r="G2955" s="20">
        <v>704.57</v>
      </c>
      <c r="H2955" s="20">
        <v>704.57</v>
      </c>
      <c r="I2955" s="20">
        <v>704.57</v>
      </c>
      <c r="J2955" s="20">
        <v>704.57</v>
      </c>
      <c r="K2955" s="20">
        <v>704.57</v>
      </c>
      <c r="L2955" s="20">
        <v>704.57</v>
      </c>
      <c r="M2955" s="20">
        <v>704.57</v>
      </c>
      <c r="N2955" s="20">
        <v>704.57</v>
      </c>
      <c r="O2955" s="20"/>
      <c r="P2955" s="20"/>
      <c r="Q2955" s="20"/>
      <c r="R2955" s="20">
        <v>461.86</v>
      </c>
      <c r="S2955" s="20">
        <v>461.86</v>
      </c>
      <c r="T2955" s="20">
        <v>461.86</v>
      </c>
      <c r="U2955" s="20">
        <v>461.86</v>
      </c>
      <c r="V2955" s="20">
        <v>461.86</v>
      </c>
      <c r="W2955" s="20">
        <v>461.86</v>
      </c>
      <c r="X2955" s="20">
        <v>461.86</v>
      </c>
      <c r="Y2955" s="20">
        <v>461.86</v>
      </c>
      <c r="Z2955" s="20">
        <v>461.86</v>
      </c>
      <c r="AA2955" s="20"/>
      <c r="AB2955" s="20"/>
      <c r="AC2955" s="20"/>
      <c r="AD2955" s="20"/>
      <c r="AE2955" s="20"/>
      <c r="AF2955" s="20"/>
      <c r="AG2955" s="20"/>
      <c r="AH2955" s="20"/>
      <c r="AI2955" s="20"/>
      <c r="AJ2955" s="20"/>
      <c r="AK2955" s="20"/>
      <c r="AL2955" s="20"/>
      <c r="AM2955" s="20"/>
      <c r="AN2955" s="20"/>
      <c r="AO2955" s="20"/>
    </row>
    <row r="2956" spans="1:41" s="15" customFormat="1" ht="14.25" x14ac:dyDescent="0.2">
      <c r="A2956" s="18" t="s">
        <v>1840</v>
      </c>
      <c r="B2956" s="19" t="s">
        <v>1841</v>
      </c>
      <c r="C2956" s="20">
        <v>820.56</v>
      </c>
      <c r="D2956" s="20">
        <v>3870.52</v>
      </c>
      <c r="E2956" s="20">
        <v>5528.76</v>
      </c>
      <c r="F2956" s="20">
        <v>5907.81</v>
      </c>
      <c r="G2956" s="20">
        <v>8317.43</v>
      </c>
      <c r="H2956" s="20">
        <v>10482.42</v>
      </c>
      <c r="I2956" s="20">
        <v>10482.42</v>
      </c>
      <c r="J2956" s="20">
        <v>13111.28</v>
      </c>
      <c r="K2956" s="20">
        <v>13366.63</v>
      </c>
      <c r="L2956" s="20">
        <v>13366.63</v>
      </c>
      <c r="M2956" s="20">
        <v>13366.63</v>
      </c>
      <c r="N2956" s="20">
        <v>15662.43</v>
      </c>
      <c r="O2956" s="20"/>
      <c r="P2956" s="20">
        <v>644.96</v>
      </c>
      <c r="Q2956" s="20">
        <v>2053.64</v>
      </c>
      <c r="R2956" s="20">
        <v>2053.64</v>
      </c>
      <c r="S2956" s="20">
        <v>2053.64</v>
      </c>
      <c r="T2956" s="20">
        <v>2053.64</v>
      </c>
      <c r="U2956" s="20">
        <v>2053.64</v>
      </c>
      <c r="V2956" s="20">
        <v>2053.64</v>
      </c>
      <c r="W2956" s="20">
        <v>2053.64</v>
      </c>
      <c r="X2956" s="20">
        <v>2053.64</v>
      </c>
      <c r="Y2956" s="20">
        <v>2053.64</v>
      </c>
      <c r="Z2956" s="20">
        <v>2053.64</v>
      </c>
      <c r="AA2956" s="20"/>
      <c r="AB2956" s="20"/>
      <c r="AC2956" s="20"/>
      <c r="AD2956" s="20"/>
      <c r="AE2956" s="20"/>
      <c r="AF2956" s="20"/>
      <c r="AG2956" s="20"/>
      <c r="AH2956" s="20"/>
      <c r="AI2956" s="20"/>
      <c r="AJ2956" s="20"/>
      <c r="AK2956" s="20"/>
      <c r="AL2956" s="20"/>
      <c r="AM2956" s="20"/>
      <c r="AN2956" s="20"/>
      <c r="AO2956" s="20"/>
    </row>
    <row r="2957" spans="1:41" s="15" customFormat="1" ht="14.25" x14ac:dyDescent="0.2">
      <c r="A2957" s="18" t="s">
        <v>1842</v>
      </c>
      <c r="B2957" s="19" t="s">
        <v>1843</v>
      </c>
      <c r="C2957" s="20">
        <v>12600</v>
      </c>
      <c r="D2957" s="20">
        <v>12600</v>
      </c>
      <c r="E2957" s="20">
        <v>42750</v>
      </c>
      <c r="F2957" s="20">
        <v>54450</v>
      </c>
      <c r="G2957" s="20">
        <v>67007.66</v>
      </c>
      <c r="H2957" s="20">
        <v>81092.84</v>
      </c>
      <c r="I2957" s="20">
        <v>93342.84</v>
      </c>
      <c r="J2957" s="20">
        <v>107735.21</v>
      </c>
      <c r="K2957" s="20">
        <v>121385.21</v>
      </c>
      <c r="L2957" s="20">
        <v>133235.21</v>
      </c>
      <c r="M2957" s="20">
        <v>148856.42000000001</v>
      </c>
      <c r="N2957" s="20">
        <v>161418.26</v>
      </c>
      <c r="O2957" s="20">
        <v>12900</v>
      </c>
      <c r="P2957" s="20">
        <v>25800</v>
      </c>
      <c r="Q2957" s="20">
        <v>46650</v>
      </c>
      <c r="R2957" s="20">
        <v>63150</v>
      </c>
      <c r="S2957" s="20">
        <v>76300</v>
      </c>
      <c r="T2957" s="20">
        <v>89923.32</v>
      </c>
      <c r="U2957" s="20">
        <v>91573.32</v>
      </c>
      <c r="V2957" s="20">
        <v>102983.32</v>
      </c>
      <c r="W2957" s="20">
        <v>125183.32</v>
      </c>
      <c r="X2957" s="20">
        <v>136733.32</v>
      </c>
      <c r="Y2957" s="20">
        <v>149971.46</v>
      </c>
      <c r="Z2957" s="20">
        <v>162774.85</v>
      </c>
      <c r="AA2957" s="20">
        <v>12900</v>
      </c>
      <c r="AB2957" s="20">
        <v>25650</v>
      </c>
      <c r="AC2957" s="20">
        <v>42900</v>
      </c>
      <c r="AD2957" s="20">
        <v>56700</v>
      </c>
      <c r="AE2957" s="20">
        <v>56850</v>
      </c>
      <c r="AF2957" s="20">
        <v>81750</v>
      </c>
      <c r="AG2957" s="20">
        <v>94350</v>
      </c>
      <c r="AH2957" s="20">
        <v>95100</v>
      </c>
      <c r="AI2957" s="20">
        <v>95100</v>
      </c>
      <c r="AJ2957" s="20">
        <v>107700</v>
      </c>
      <c r="AK2957" s="20">
        <v>107700</v>
      </c>
      <c r="AL2957" s="20">
        <v>107700</v>
      </c>
      <c r="AM2957" s="20"/>
      <c r="AN2957" s="20"/>
      <c r="AO2957" s="20"/>
    </row>
    <row r="2958" spans="1:41" s="15" customFormat="1" ht="14.25" x14ac:dyDescent="0.2">
      <c r="A2958" s="18" t="s">
        <v>1844</v>
      </c>
      <c r="B2958" s="19" t="s">
        <v>1845</v>
      </c>
      <c r="C2958" s="20"/>
      <c r="D2958" s="20"/>
      <c r="E2958" s="20"/>
      <c r="F2958" s="20"/>
      <c r="G2958" s="20">
        <v>807.03</v>
      </c>
      <c r="H2958" s="20">
        <v>807.03</v>
      </c>
      <c r="I2958" s="20">
        <v>807.03</v>
      </c>
      <c r="J2958" s="20">
        <v>807.03</v>
      </c>
      <c r="K2958" s="20">
        <v>807.03</v>
      </c>
      <c r="L2958" s="20">
        <v>807.03</v>
      </c>
      <c r="M2958" s="20">
        <v>807.03</v>
      </c>
      <c r="N2958" s="20">
        <v>1129.06</v>
      </c>
      <c r="O2958" s="20">
        <v>135</v>
      </c>
      <c r="P2958" s="20">
        <v>135</v>
      </c>
      <c r="Q2958" s="20">
        <v>135</v>
      </c>
      <c r="R2958" s="20">
        <v>135</v>
      </c>
      <c r="S2958" s="20">
        <v>135</v>
      </c>
      <c r="T2958" s="20">
        <v>135</v>
      </c>
      <c r="U2958" s="20">
        <v>2318.52</v>
      </c>
      <c r="V2958" s="20">
        <v>2318.52</v>
      </c>
      <c r="W2958" s="20">
        <v>2776.15</v>
      </c>
      <c r="X2958" s="20">
        <v>2776.15</v>
      </c>
      <c r="Y2958" s="20">
        <v>2776.15</v>
      </c>
      <c r="Z2958" s="20">
        <v>2776.15</v>
      </c>
      <c r="AA2958" s="20"/>
      <c r="AB2958" s="20"/>
      <c r="AC2958" s="20">
        <v>1350</v>
      </c>
      <c r="AD2958" s="20">
        <v>1350</v>
      </c>
      <c r="AE2958" s="20">
        <v>3199.92</v>
      </c>
      <c r="AF2958" s="20">
        <v>3199.92</v>
      </c>
      <c r="AG2958" s="20">
        <v>3199.92</v>
      </c>
      <c r="AH2958" s="20">
        <v>3199.92</v>
      </c>
      <c r="AI2958" s="20">
        <v>3199.92</v>
      </c>
      <c r="AJ2958" s="20">
        <v>3199.92</v>
      </c>
      <c r="AK2958" s="20">
        <v>3199.92</v>
      </c>
      <c r="AL2958" s="20">
        <v>3199.92</v>
      </c>
      <c r="AM2958" s="20"/>
      <c r="AN2958" s="20"/>
      <c r="AO2958" s="20"/>
    </row>
    <row r="2959" spans="1:41" s="15" customFormat="1" ht="14.25" x14ac:dyDescent="0.2">
      <c r="A2959" s="18" t="s">
        <v>1846</v>
      </c>
      <c r="B2959" s="19" t="s">
        <v>1847</v>
      </c>
      <c r="C2959" s="20">
        <v>7688.94</v>
      </c>
      <c r="D2959" s="20">
        <v>13906.23</v>
      </c>
      <c r="E2959" s="20">
        <v>16096.43</v>
      </c>
      <c r="F2959" s="20">
        <v>17516.93</v>
      </c>
      <c r="G2959" s="20">
        <v>18026.740000000002</v>
      </c>
      <c r="H2959" s="20">
        <v>21180.81</v>
      </c>
      <c r="I2959" s="20">
        <v>21528.73</v>
      </c>
      <c r="J2959" s="20">
        <v>24299.21</v>
      </c>
      <c r="K2959" s="20">
        <v>34412.5</v>
      </c>
      <c r="L2959" s="20">
        <v>34412.5</v>
      </c>
      <c r="M2959" s="20">
        <v>37524</v>
      </c>
      <c r="N2959" s="20">
        <v>37707.379999999997</v>
      </c>
      <c r="O2959" s="20">
        <v>1316</v>
      </c>
      <c r="P2959" s="20">
        <v>6409.75</v>
      </c>
      <c r="Q2959" s="20">
        <v>8166.33</v>
      </c>
      <c r="R2959" s="20">
        <v>21670.78</v>
      </c>
      <c r="S2959" s="20">
        <v>27767.31</v>
      </c>
      <c r="T2959" s="20">
        <v>33939.81</v>
      </c>
      <c r="U2959" s="20">
        <v>36172.93</v>
      </c>
      <c r="V2959" s="20">
        <v>36344.19</v>
      </c>
      <c r="W2959" s="20">
        <v>36344.19</v>
      </c>
      <c r="X2959" s="20">
        <v>36344.19</v>
      </c>
      <c r="Y2959" s="20">
        <v>36344.19</v>
      </c>
      <c r="Z2959" s="20">
        <v>36344.19</v>
      </c>
      <c r="AA2959" s="20"/>
      <c r="AB2959" s="20"/>
      <c r="AC2959" s="20"/>
      <c r="AD2959" s="20"/>
      <c r="AE2959" s="20"/>
      <c r="AF2959" s="20"/>
      <c r="AG2959" s="20"/>
      <c r="AH2959" s="20"/>
      <c r="AI2959" s="20">
        <v>90.91</v>
      </c>
      <c r="AJ2959" s="20">
        <v>90.91</v>
      </c>
      <c r="AK2959" s="20">
        <v>90.91</v>
      </c>
      <c r="AL2959" s="20">
        <v>90.91</v>
      </c>
      <c r="AM2959" s="20"/>
      <c r="AN2959" s="20"/>
      <c r="AO2959" s="20"/>
    </row>
    <row r="2960" spans="1:41" s="15" customFormat="1" ht="14.25" x14ac:dyDescent="0.2">
      <c r="A2960" s="18">
        <v>4503</v>
      </c>
      <c r="B2960" s="19" t="s">
        <v>822</v>
      </c>
      <c r="C2960" s="20">
        <f>SUM(C2961:C3081)</f>
        <v>282693.76000000007</v>
      </c>
      <c r="D2960" s="20">
        <f t="shared" ref="D2960:AO2960" si="92">SUM(D2961:D3081)</f>
        <v>541956.28</v>
      </c>
      <c r="E2960" s="20">
        <f t="shared" si="92"/>
        <v>808340.47</v>
      </c>
      <c r="F2960" s="20">
        <f t="shared" si="92"/>
        <v>1015558.32</v>
      </c>
      <c r="G2960" s="20">
        <f t="shared" si="92"/>
        <v>1340968.0499999998</v>
      </c>
      <c r="H2960" s="20">
        <f t="shared" si="92"/>
        <v>1674727.6099999999</v>
      </c>
      <c r="I2960" s="20">
        <f t="shared" si="92"/>
        <v>1983756.4100000008</v>
      </c>
      <c r="J2960" s="20">
        <f t="shared" si="92"/>
        <v>2313714.8499999996</v>
      </c>
      <c r="K2960" s="20">
        <f t="shared" si="92"/>
        <v>2715662.1</v>
      </c>
      <c r="L2960" s="20">
        <f t="shared" si="92"/>
        <v>2990196.91</v>
      </c>
      <c r="M2960" s="20">
        <f t="shared" si="92"/>
        <v>3306640.4900000012</v>
      </c>
      <c r="N2960" s="20">
        <f t="shared" si="92"/>
        <v>3611242.7800000012</v>
      </c>
      <c r="O2960" s="20">
        <f t="shared" si="92"/>
        <v>276469.97000000003</v>
      </c>
      <c r="P2960" s="20">
        <f t="shared" si="92"/>
        <v>556354.1</v>
      </c>
      <c r="Q2960" s="20">
        <f t="shared" si="92"/>
        <v>948781.2300000001</v>
      </c>
      <c r="R2960" s="20">
        <f t="shared" si="92"/>
        <v>1350071.8100000003</v>
      </c>
      <c r="S2960" s="20">
        <f t="shared" si="92"/>
        <v>1661147.29</v>
      </c>
      <c r="T2960" s="20">
        <f t="shared" si="92"/>
        <v>1882005.02</v>
      </c>
      <c r="U2960" s="20">
        <f t="shared" si="92"/>
        <v>2035492.1299999997</v>
      </c>
      <c r="V2960" s="20">
        <f t="shared" si="92"/>
        <v>2291370.7800000003</v>
      </c>
      <c r="W2960" s="20">
        <f t="shared" si="92"/>
        <v>2604314.4900000002</v>
      </c>
      <c r="X2960" s="20">
        <f t="shared" si="92"/>
        <v>2848488.7000000007</v>
      </c>
      <c r="Y2960" s="20">
        <f t="shared" si="92"/>
        <v>3131969.7</v>
      </c>
      <c r="Z2960" s="20">
        <f t="shared" si="92"/>
        <v>3380282.3599999994</v>
      </c>
      <c r="AA2960" s="20">
        <f t="shared" si="92"/>
        <v>254071.16999999998</v>
      </c>
      <c r="AB2960" s="20">
        <f t="shared" si="92"/>
        <v>485930.54999999981</v>
      </c>
      <c r="AC2960" s="20">
        <f t="shared" si="92"/>
        <v>728575.34999999986</v>
      </c>
      <c r="AD2960" s="20">
        <f t="shared" si="92"/>
        <v>1030769.55</v>
      </c>
      <c r="AE2960" s="20">
        <f t="shared" si="92"/>
        <v>1273373.0399999998</v>
      </c>
      <c r="AF2960" s="20">
        <f t="shared" si="92"/>
        <v>1550183.4000000001</v>
      </c>
      <c r="AG2960" s="20">
        <f t="shared" si="92"/>
        <v>1768999.6900000002</v>
      </c>
      <c r="AH2960" s="20">
        <f t="shared" si="92"/>
        <v>2048120.7</v>
      </c>
      <c r="AI2960" s="20">
        <f t="shared" si="92"/>
        <v>2502563.0299999998</v>
      </c>
      <c r="AJ2960" s="20">
        <f t="shared" si="92"/>
        <v>2776488.4499999997</v>
      </c>
      <c r="AK2960" s="20">
        <f t="shared" si="92"/>
        <v>3002298.0700000012</v>
      </c>
      <c r="AL2960" s="20">
        <f t="shared" si="92"/>
        <v>3210078.98</v>
      </c>
      <c r="AM2960" s="20">
        <f t="shared" si="92"/>
        <v>225038.79</v>
      </c>
      <c r="AN2960" s="20">
        <f t="shared" si="92"/>
        <v>503411.5400000001</v>
      </c>
      <c r="AO2960" s="20">
        <f t="shared" si="92"/>
        <v>848921.19</v>
      </c>
    </row>
    <row r="2961" spans="1:41" s="15" customFormat="1" ht="14.25" x14ac:dyDescent="0.2">
      <c r="A2961" s="18">
        <v>450301</v>
      </c>
      <c r="B2961" s="19" t="s">
        <v>823</v>
      </c>
      <c r="C2961" s="20"/>
      <c r="D2961" s="20"/>
      <c r="E2961" s="20"/>
      <c r="F2961" s="20"/>
      <c r="G2961" s="20"/>
      <c r="H2961" s="20"/>
      <c r="I2961" s="20"/>
      <c r="J2961" s="20"/>
      <c r="K2961" s="20"/>
      <c r="L2961" s="20"/>
      <c r="M2961" s="20"/>
      <c r="N2961" s="20"/>
      <c r="O2961" s="20"/>
      <c r="P2961" s="20"/>
      <c r="Q2961" s="20"/>
      <c r="R2961" s="20"/>
      <c r="S2961" s="20"/>
      <c r="T2961" s="20"/>
      <c r="U2961" s="20"/>
      <c r="V2961" s="20"/>
      <c r="W2961" s="20"/>
      <c r="X2961" s="20"/>
      <c r="Y2961" s="20"/>
      <c r="Z2961" s="20"/>
      <c r="AA2961" s="20"/>
      <c r="AB2961" s="20"/>
      <c r="AC2961" s="20"/>
      <c r="AD2961" s="20"/>
      <c r="AE2961" s="20"/>
      <c r="AF2961" s="20"/>
      <c r="AG2961" s="20"/>
      <c r="AH2961" s="20"/>
      <c r="AI2961" s="20"/>
      <c r="AJ2961" s="20"/>
      <c r="AK2961" s="20"/>
      <c r="AL2961" s="20"/>
      <c r="AM2961" s="20"/>
      <c r="AN2961" s="20"/>
      <c r="AO2961" s="20"/>
    </row>
    <row r="2962" spans="1:41" s="15" customFormat="1" ht="14.25" x14ac:dyDescent="0.2">
      <c r="A2962" s="18" t="s">
        <v>1848</v>
      </c>
      <c r="B2962" s="19" t="s">
        <v>1849</v>
      </c>
      <c r="C2962" s="20"/>
      <c r="D2962" s="20"/>
      <c r="E2962" s="20"/>
      <c r="F2962" s="20"/>
      <c r="G2962" s="20"/>
      <c r="H2962" s="20"/>
      <c r="I2962" s="20"/>
      <c r="J2962" s="20"/>
      <c r="K2962" s="20"/>
      <c r="L2962" s="20"/>
      <c r="M2962" s="20"/>
      <c r="N2962" s="20"/>
      <c r="O2962" s="20"/>
      <c r="P2962" s="20"/>
      <c r="Q2962" s="20"/>
      <c r="R2962" s="20"/>
      <c r="S2962" s="20"/>
      <c r="T2962" s="20"/>
      <c r="U2962" s="20"/>
      <c r="V2962" s="20">
        <v>2091.2399999999998</v>
      </c>
      <c r="W2962" s="20">
        <v>2091.2399999999998</v>
      </c>
      <c r="X2962" s="20">
        <v>2091.2399999999998</v>
      </c>
      <c r="Y2962" s="20">
        <v>2091.2399999999998</v>
      </c>
      <c r="Z2962" s="20">
        <v>2091.2399999999998</v>
      </c>
      <c r="AA2962" s="20"/>
      <c r="AB2962" s="20"/>
      <c r="AC2962" s="20"/>
      <c r="AD2962" s="20"/>
      <c r="AE2962" s="20"/>
      <c r="AF2962" s="20"/>
      <c r="AG2962" s="20"/>
      <c r="AH2962" s="20"/>
      <c r="AI2962" s="20"/>
      <c r="AJ2962" s="20"/>
      <c r="AK2962" s="20"/>
      <c r="AL2962" s="20"/>
      <c r="AM2962" s="20"/>
      <c r="AN2962" s="20"/>
      <c r="AO2962" s="20"/>
    </row>
    <row r="2963" spans="1:41" s="15" customFormat="1" ht="14.25" x14ac:dyDescent="0.2">
      <c r="A2963" s="18" t="s">
        <v>1850</v>
      </c>
      <c r="B2963" s="19" t="s">
        <v>1851</v>
      </c>
      <c r="C2963" s="20">
        <v>1858.4</v>
      </c>
      <c r="D2963" s="20">
        <v>3828.9</v>
      </c>
      <c r="E2963" s="20">
        <v>7723.5</v>
      </c>
      <c r="F2963" s="20">
        <v>9735.9699999999993</v>
      </c>
      <c r="G2963" s="20">
        <v>13738.47</v>
      </c>
      <c r="H2963" s="20">
        <v>18296.169999999998</v>
      </c>
      <c r="I2963" s="20">
        <v>20222.97</v>
      </c>
      <c r="J2963" s="20">
        <v>22292.23</v>
      </c>
      <c r="K2963" s="20">
        <v>25228.42</v>
      </c>
      <c r="L2963" s="20">
        <v>27876.21</v>
      </c>
      <c r="M2963" s="20">
        <v>29586.89</v>
      </c>
      <c r="N2963" s="20">
        <v>30980.63</v>
      </c>
      <c r="O2963" s="20">
        <v>2659.64</v>
      </c>
      <c r="P2963" s="20">
        <v>3136.64</v>
      </c>
      <c r="Q2963" s="20">
        <v>6026.64</v>
      </c>
      <c r="R2963" s="20">
        <v>8737.02</v>
      </c>
      <c r="S2963" s="20">
        <v>12827.22</v>
      </c>
      <c r="T2963" s="20">
        <v>15667.22</v>
      </c>
      <c r="U2963" s="20">
        <v>19678.22</v>
      </c>
      <c r="V2963" s="20">
        <v>25411.599999999999</v>
      </c>
      <c r="W2963" s="20">
        <v>28983.15</v>
      </c>
      <c r="X2963" s="20">
        <v>32588.15</v>
      </c>
      <c r="Y2963" s="20">
        <v>35608.35</v>
      </c>
      <c r="Z2963" s="20">
        <v>38382.83</v>
      </c>
      <c r="AA2963" s="20">
        <v>5232.72</v>
      </c>
      <c r="AB2963" s="20">
        <v>8568.4599999999991</v>
      </c>
      <c r="AC2963" s="20">
        <v>14705.11</v>
      </c>
      <c r="AD2963" s="20">
        <v>19473.41</v>
      </c>
      <c r="AE2963" s="20">
        <v>25447.360000000001</v>
      </c>
      <c r="AF2963" s="20">
        <v>31061.73</v>
      </c>
      <c r="AG2963" s="20">
        <v>35482.35</v>
      </c>
      <c r="AH2963" s="20">
        <v>51539.83</v>
      </c>
      <c r="AI2963" s="20">
        <v>56909.120000000003</v>
      </c>
      <c r="AJ2963" s="20">
        <v>80298.7</v>
      </c>
      <c r="AK2963" s="20">
        <v>99506.02</v>
      </c>
      <c r="AL2963" s="20">
        <v>121385.97</v>
      </c>
      <c r="AM2963" s="20">
        <v>7686.44</v>
      </c>
      <c r="AN2963" s="20">
        <v>35328.39</v>
      </c>
      <c r="AO2963" s="20">
        <v>80928.47</v>
      </c>
    </row>
    <row r="2964" spans="1:41" s="15" customFormat="1" ht="14.25" x14ac:dyDescent="0.2">
      <c r="A2964" s="18" t="s">
        <v>1852</v>
      </c>
      <c r="B2964" s="19" t="s">
        <v>1853</v>
      </c>
      <c r="C2964" s="20"/>
      <c r="D2964" s="20"/>
      <c r="E2964" s="20"/>
      <c r="F2964" s="20">
        <v>3082.64</v>
      </c>
      <c r="G2964" s="20">
        <v>3114.64</v>
      </c>
      <c r="H2964" s="20">
        <v>3623.12</v>
      </c>
      <c r="I2964" s="20">
        <v>3835.42</v>
      </c>
      <c r="J2964" s="20">
        <v>4132.05</v>
      </c>
      <c r="K2964" s="20">
        <v>6250.71</v>
      </c>
      <c r="L2964" s="20">
        <v>8407.5</v>
      </c>
      <c r="M2964" s="20">
        <v>8568.5</v>
      </c>
      <c r="N2964" s="20">
        <v>10848.06</v>
      </c>
      <c r="O2964" s="20"/>
      <c r="P2964" s="20"/>
      <c r="Q2964" s="20"/>
      <c r="R2964" s="20">
        <v>1917.77</v>
      </c>
      <c r="S2964" s="20">
        <v>4236.26</v>
      </c>
      <c r="T2964" s="20">
        <v>4236.26</v>
      </c>
      <c r="U2964" s="20">
        <v>4236.26</v>
      </c>
      <c r="V2964" s="20">
        <v>4416.26</v>
      </c>
      <c r="W2964" s="20">
        <v>5201.1899999999996</v>
      </c>
      <c r="X2964" s="20">
        <v>5201.1899999999996</v>
      </c>
      <c r="Y2964" s="20">
        <v>5214.1899999999996</v>
      </c>
      <c r="Z2964" s="20">
        <v>5214.1899999999996</v>
      </c>
      <c r="AA2964" s="20"/>
      <c r="AB2964" s="20">
        <v>40.9</v>
      </c>
      <c r="AC2964" s="20">
        <v>40.9</v>
      </c>
      <c r="AD2964" s="20">
        <v>40.9</v>
      </c>
      <c r="AE2964" s="20">
        <v>40.9</v>
      </c>
      <c r="AF2964" s="20">
        <v>40.9</v>
      </c>
      <c r="AG2964" s="20">
        <v>40.9</v>
      </c>
      <c r="AH2964" s="20">
        <v>40.9</v>
      </c>
      <c r="AI2964" s="20">
        <v>40.9</v>
      </c>
      <c r="AJ2964" s="20">
        <v>40.9</v>
      </c>
      <c r="AK2964" s="20">
        <v>40.9</v>
      </c>
      <c r="AL2964" s="20">
        <v>40.9</v>
      </c>
      <c r="AM2964" s="20">
        <v>114</v>
      </c>
      <c r="AN2964" s="20">
        <v>114</v>
      </c>
      <c r="AO2964" s="20">
        <v>114</v>
      </c>
    </row>
    <row r="2965" spans="1:41" s="15" customFormat="1" ht="14.25" x14ac:dyDescent="0.2">
      <c r="A2965" s="18" t="s">
        <v>1854</v>
      </c>
      <c r="B2965" s="19" t="s">
        <v>1855</v>
      </c>
      <c r="C2965" s="20">
        <v>75.44</v>
      </c>
      <c r="D2965" s="20">
        <v>252.33</v>
      </c>
      <c r="E2965" s="20">
        <v>381.98</v>
      </c>
      <c r="F2965" s="20">
        <v>498.01</v>
      </c>
      <c r="G2965" s="20">
        <v>618.25</v>
      </c>
      <c r="H2965" s="20">
        <v>781</v>
      </c>
      <c r="I2965" s="20">
        <v>843.7</v>
      </c>
      <c r="J2965" s="20">
        <v>914.11</v>
      </c>
      <c r="K2965" s="20">
        <v>1024.01</v>
      </c>
      <c r="L2965" s="20">
        <v>1159.42</v>
      </c>
      <c r="M2965" s="20">
        <v>1228.8599999999999</v>
      </c>
      <c r="N2965" s="20">
        <v>1283.0999999999999</v>
      </c>
      <c r="O2965" s="20">
        <v>150.21</v>
      </c>
      <c r="P2965" s="20">
        <v>220.89</v>
      </c>
      <c r="Q2965" s="20">
        <v>335.26</v>
      </c>
      <c r="R2965" s="20">
        <v>600.79999999999995</v>
      </c>
      <c r="S2965" s="20">
        <v>804.95</v>
      </c>
      <c r="T2965" s="20">
        <v>1009.21</v>
      </c>
      <c r="U2965" s="20">
        <v>1009.21</v>
      </c>
      <c r="V2965" s="20">
        <v>1042.07</v>
      </c>
      <c r="W2965" s="20">
        <v>1246.96</v>
      </c>
      <c r="X2965" s="20">
        <v>1330.73</v>
      </c>
      <c r="Y2965" s="20">
        <v>1442.83</v>
      </c>
      <c r="Z2965" s="20">
        <v>1479.89</v>
      </c>
      <c r="AA2965" s="20">
        <v>2.54</v>
      </c>
      <c r="AB2965" s="20">
        <v>2.54</v>
      </c>
      <c r="AC2965" s="20">
        <v>2.54</v>
      </c>
      <c r="AD2965" s="20">
        <v>6.54</v>
      </c>
      <c r="AE2965" s="20">
        <v>40.94</v>
      </c>
      <c r="AF2965" s="20">
        <v>40.94</v>
      </c>
      <c r="AG2965" s="20">
        <v>40.94</v>
      </c>
      <c r="AH2965" s="20">
        <v>40.94</v>
      </c>
      <c r="AI2965" s="20">
        <v>40.94</v>
      </c>
      <c r="AJ2965" s="20">
        <v>40.94</v>
      </c>
      <c r="AK2965" s="20">
        <v>40.94</v>
      </c>
      <c r="AL2965" s="20">
        <v>40.94</v>
      </c>
      <c r="AM2965" s="20"/>
      <c r="AN2965" s="20">
        <v>16.48</v>
      </c>
      <c r="AO2965" s="20">
        <v>16.48</v>
      </c>
    </row>
    <row r="2966" spans="1:41" s="15" customFormat="1" ht="14.25" x14ac:dyDescent="0.2">
      <c r="A2966" s="18" t="s">
        <v>1856</v>
      </c>
      <c r="B2966" s="19" t="s">
        <v>1857</v>
      </c>
      <c r="C2966" s="20">
        <v>5527.58</v>
      </c>
      <c r="D2966" s="20">
        <v>7360.74</v>
      </c>
      <c r="E2966" s="20">
        <v>9141.89</v>
      </c>
      <c r="F2966" s="20">
        <v>11600.97</v>
      </c>
      <c r="G2966" s="20">
        <v>13552.04</v>
      </c>
      <c r="H2966" s="20">
        <v>16295.32</v>
      </c>
      <c r="I2966" s="20">
        <v>19818.87</v>
      </c>
      <c r="J2966" s="20">
        <v>21240.92</v>
      </c>
      <c r="K2966" s="20">
        <v>24495.82</v>
      </c>
      <c r="L2966" s="20">
        <v>28372.02</v>
      </c>
      <c r="M2966" s="20">
        <v>31406.09</v>
      </c>
      <c r="N2966" s="20">
        <v>32449.64</v>
      </c>
      <c r="O2966" s="20">
        <v>6952.83</v>
      </c>
      <c r="P2966" s="20">
        <v>12411.89</v>
      </c>
      <c r="Q2966" s="20">
        <v>15719.35</v>
      </c>
      <c r="R2966" s="20">
        <v>21800.36</v>
      </c>
      <c r="S2966" s="20">
        <v>25963.3</v>
      </c>
      <c r="T2966" s="20">
        <v>28856.31</v>
      </c>
      <c r="U2966" s="20">
        <v>30296.32</v>
      </c>
      <c r="V2966" s="20">
        <v>33321.599999999999</v>
      </c>
      <c r="W2966" s="20">
        <v>38153.120000000003</v>
      </c>
      <c r="X2966" s="20">
        <v>40289.01</v>
      </c>
      <c r="Y2966" s="20">
        <v>43258.71</v>
      </c>
      <c r="Z2966" s="20">
        <v>45036.24</v>
      </c>
      <c r="AA2966" s="20">
        <v>2256.02</v>
      </c>
      <c r="AB2966" s="20">
        <v>6937.43</v>
      </c>
      <c r="AC2966" s="20">
        <v>8257.3799999999992</v>
      </c>
      <c r="AD2966" s="20">
        <v>11358.33</v>
      </c>
      <c r="AE2966" s="20">
        <v>13459.52</v>
      </c>
      <c r="AF2966" s="20">
        <v>14354.48</v>
      </c>
      <c r="AG2966" s="20">
        <v>16263.65</v>
      </c>
      <c r="AH2966" s="20">
        <v>19868.02</v>
      </c>
      <c r="AI2966" s="20">
        <v>23095.78</v>
      </c>
      <c r="AJ2966" s="20">
        <v>25584.240000000002</v>
      </c>
      <c r="AK2966" s="20">
        <v>27867.56</v>
      </c>
      <c r="AL2966" s="20">
        <v>29261.86</v>
      </c>
      <c r="AM2966" s="20">
        <v>1604.36</v>
      </c>
      <c r="AN2966" s="20">
        <v>3328.44</v>
      </c>
      <c r="AO2966" s="20">
        <v>6744.01</v>
      </c>
    </row>
    <row r="2967" spans="1:41" s="15" customFormat="1" ht="14.25" x14ac:dyDescent="0.2">
      <c r="A2967" s="18" t="s">
        <v>1876</v>
      </c>
      <c r="B2967" s="19" t="s">
        <v>1877</v>
      </c>
      <c r="C2967" s="20">
        <v>977.76</v>
      </c>
      <c r="D2967" s="20">
        <v>1424.37</v>
      </c>
      <c r="E2967" s="20">
        <v>2883.18</v>
      </c>
      <c r="F2967" s="20">
        <v>2883.18</v>
      </c>
      <c r="G2967" s="20">
        <v>7983.88</v>
      </c>
      <c r="H2967" s="20">
        <v>8240.8799999999992</v>
      </c>
      <c r="I2967" s="20">
        <v>12621.86</v>
      </c>
      <c r="J2967" s="20">
        <v>19381.189999999999</v>
      </c>
      <c r="K2967" s="20">
        <v>58775.95</v>
      </c>
      <c r="L2967" s="20">
        <v>58775.95</v>
      </c>
      <c r="M2967" s="20">
        <v>64424.77</v>
      </c>
      <c r="N2967" s="20">
        <v>65082.77</v>
      </c>
      <c r="O2967" s="20"/>
      <c r="P2967" s="20"/>
      <c r="Q2967" s="20">
        <v>4948.8100000000004</v>
      </c>
      <c r="R2967" s="20">
        <v>34749.620000000003</v>
      </c>
      <c r="S2967" s="20">
        <v>34749.620000000003</v>
      </c>
      <c r="T2967" s="20">
        <v>39356.83</v>
      </c>
      <c r="U2967" s="20">
        <v>43270.07</v>
      </c>
      <c r="V2967" s="20">
        <v>45100.83</v>
      </c>
      <c r="W2967" s="20">
        <v>45163.56</v>
      </c>
      <c r="X2967" s="20">
        <v>45215.93</v>
      </c>
      <c r="Y2967" s="20">
        <v>45376.2</v>
      </c>
      <c r="Z2967" s="20">
        <v>49282.82</v>
      </c>
      <c r="AA2967" s="20">
        <v>175.89</v>
      </c>
      <c r="AB2967" s="20">
        <v>656.29</v>
      </c>
      <c r="AC2967" s="20">
        <v>5755.19</v>
      </c>
      <c r="AD2967" s="20">
        <v>5919.48</v>
      </c>
      <c r="AE2967" s="20">
        <v>6007.63</v>
      </c>
      <c r="AF2967" s="20">
        <v>6467.31</v>
      </c>
      <c r="AG2967" s="20">
        <v>12544</v>
      </c>
      <c r="AH2967" s="20">
        <v>12687.77</v>
      </c>
      <c r="AI2967" s="20">
        <v>35617.370000000003</v>
      </c>
      <c r="AJ2967" s="20">
        <v>35647.370000000003</v>
      </c>
      <c r="AK2967" s="20">
        <v>47251.360000000001</v>
      </c>
      <c r="AL2967" s="20">
        <v>53783.1</v>
      </c>
      <c r="AM2967" s="20">
        <v>1620.6</v>
      </c>
      <c r="AN2967" s="20">
        <v>1620.6</v>
      </c>
      <c r="AO2967" s="20">
        <v>1654.1</v>
      </c>
    </row>
    <row r="2968" spans="1:41" s="15" customFormat="1" ht="14.25" x14ac:dyDescent="0.2">
      <c r="A2968" s="18" t="s">
        <v>1858</v>
      </c>
      <c r="B2968" s="19" t="s">
        <v>1859</v>
      </c>
      <c r="C2968" s="20"/>
      <c r="D2968" s="20"/>
      <c r="E2968" s="20"/>
      <c r="F2968" s="20"/>
      <c r="G2968" s="20"/>
      <c r="H2968" s="20"/>
      <c r="I2968" s="20"/>
      <c r="J2968" s="20"/>
      <c r="K2968" s="20"/>
      <c r="L2968" s="20"/>
      <c r="M2968" s="20"/>
      <c r="N2968" s="20"/>
      <c r="O2968" s="20"/>
      <c r="P2968" s="20"/>
      <c r="Q2968" s="20"/>
      <c r="R2968" s="20">
        <v>2900</v>
      </c>
      <c r="S2968" s="20">
        <v>2900</v>
      </c>
      <c r="T2968" s="20">
        <v>2900</v>
      </c>
      <c r="U2968" s="20">
        <v>2900</v>
      </c>
      <c r="V2968" s="20">
        <v>2900</v>
      </c>
      <c r="W2968" s="20">
        <v>2900</v>
      </c>
      <c r="X2968" s="20">
        <v>3500</v>
      </c>
      <c r="Y2968" s="20">
        <v>3500</v>
      </c>
      <c r="Z2968" s="20">
        <v>3500</v>
      </c>
      <c r="AA2968" s="20"/>
      <c r="AB2968" s="20"/>
      <c r="AC2968" s="20"/>
      <c r="AD2968" s="20"/>
      <c r="AE2968" s="20"/>
      <c r="AF2968" s="20"/>
      <c r="AG2968" s="20"/>
      <c r="AH2968" s="20"/>
      <c r="AI2968" s="20"/>
      <c r="AJ2968" s="20"/>
      <c r="AK2968" s="20"/>
      <c r="AL2968" s="20"/>
      <c r="AM2968" s="20"/>
      <c r="AN2968" s="20"/>
      <c r="AO2968" s="20"/>
    </row>
    <row r="2969" spans="1:41" s="15" customFormat="1" ht="14.25" x14ac:dyDescent="0.2">
      <c r="A2969" s="18" t="s">
        <v>1860</v>
      </c>
      <c r="B2969" s="19" t="s">
        <v>1861</v>
      </c>
      <c r="C2969" s="20">
        <v>75851.360000000001</v>
      </c>
      <c r="D2969" s="20">
        <v>82969.03</v>
      </c>
      <c r="E2969" s="20">
        <v>147657.21</v>
      </c>
      <c r="F2969" s="20">
        <v>154561.21</v>
      </c>
      <c r="G2969" s="20">
        <v>191390.72</v>
      </c>
      <c r="H2969" s="20">
        <v>198751.27</v>
      </c>
      <c r="I2969" s="20">
        <v>209323.03</v>
      </c>
      <c r="J2969" s="20">
        <v>228630.92</v>
      </c>
      <c r="K2969" s="20">
        <v>282352.40999999997</v>
      </c>
      <c r="L2969" s="20">
        <v>302049.05</v>
      </c>
      <c r="M2969" s="20">
        <v>312146.59999999998</v>
      </c>
      <c r="N2969" s="20">
        <v>320022.33</v>
      </c>
      <c r="O2969" s="20">
        <v>80</v>
      </c>
      <c r="P2969" s="20">
        <v>5201.4799999999996</v>
      </c>
      <c r="Q2969" s="20">
        <v>26572.16</v>
      </c>
      <c r="R2969" s="20">
        <v>81700.490000000005</v>
      </c>
      <c r="S2969" s="20">
        <v>147241.70000000001</v>
      </c>
      <c r="T2969" s="20">
        <v>164977.47</v>
      </c>
      <c r="U2969" s="20">
        <v>170809.49</v>
      </c>
      <c r="V2969" s="20">
        <v>181167.07</v>
      </c>
      <c r="W2969" s="20">
        <v>186366.57</v>
      </c>
      <c r="X2969" s="20">
        <v>209019.37</v>
      </c>
      <c r="Y2969" s="20">
        <v>211538.1</v>
      </c>
      <c r="Z2969" s="20">
        <v>214568.1</v>
      </c>
      <c r="AA2969" s="20">
        <v>5132.67</v>
      </c>
      <c r="AB2969" s="20">
        <v>38271.769999999997</v>
      </c>
      <c r="AC2969" s="20">
        <v>40304.269999999997</v>
      </c>
      <c r="AD2969" s="20">
        <v>42803.27</v>
      </c>
      <c r="AE2969" s="20">
        <v>50244.959999999999</v>
      </c>
      <c r="AF2969" s="20">
        <v>70935.28</v>
      </c>
      <c r="AG2969" s="20">
        <v>87515.51</v>
      </c>
      <c r="AH2969" s="20">
        <v>89951.44</v>
      </c>
      <c r="AI2969" s="20">
        <v>154071.29999999999</v>
      </c>
      <c r="AJ2969" s="20">
        <v>159801.24</v>
      </c>
      <c r="AK2969" s="20">
        <v>161442.43</v>
      </c>
      <c r="AL2969" s="20">
        <v>177018.67</v>
      </c>
      <c r="AM2969" s="20">
        <v>12093.48</v>
      </c>
      <c r="AN2969" s="20">
        <v>38622.959999999999</v>
      </c>
      <c r="AO2969" s="20">
        <v>49470.1</v>
      </c>
    </row>
    <row r="2970" spans="1:41" s="15" customFormat="1" ht="14.25" x14ac:dyDescent="0.2">
      <c r="A2970" s="18" t="s">
        <v>1862</v>
      </c>
      <c r="B2970" s="19" t="s">
        <v>1863</v>
      </c>
      <c r="C2970" s="20">
        <v>60</v>
      </c>
      <c r="D2970" s="20">
        <v>60</v>
      </c>
      <c r="E2970" s="20">
        <v>60</v>
      </c>
      <c r="F2970" s="20">
        <v>60</v>
      </c>
      <c r="G2970" s="20">
        <v>60</v>
      </c>
      <c r="H2970" s="20">
        <v>326.69</v>
      </c>
      <c r="I2970" s="20">
        <v>326.69</v>
      </c>
      <c r="J2970" s="20">
        <v>491.44</v>
      </c>
      <c r="K2970" s="20">
        <v>491.44</v>
      </c>
      <c r="L2970" s="20">
        <v>491.44</v>
      </c>
      <c r="M2970" s="20">
        <v>1061.44</v>
      </c>
      <c r="N2970" s="20">
        <v>1061.44</v>
      </c>
      <c r="O2970" s="20"/>
      <c r="P2970" s="20">
        <v>449.15</v>
      </c>
      <c r="Q2970" s="20">
        <v>449.15</v>
      </c>
      <c r="R2970" s="20">
        <v>479.15</v>
      </c>
      <c r="S2970" s="20">
        <v>934.15</v>
      </c>
      <c r="T2970" s="20">
        <v>3417.26</v>
      </c>
      <c r="U2970" s="20">
        <v>3417.26</v>
      </c>
      <c r="V2970" s="20">
        <v>3417.26</v>
      </c>
      <c r="W2970" s="20">
        <v>3417.26</v>
      </c>
      <c r="X2970" s="20">
        <v>3567.26</v>
      </c>
      <c r="Y2970" s="20">
        <v>3822.26</v>
      </c>
      <c r="Z2970" s="20">
        <v>4482.26</v>
      </c>
      <c r="AA2970" s="20"/>
      <c r="AB2970" s="20">
        <v>80</v>
      </c>
      <c r="AC2970" s="20">
        <v>80</v>
      </c>
      <c r="AD2970" s="20">
        <v>80</v>
      </c>
      <c r="AE2970" s="20">
        <v>4530</v>
      </c>
      <c r="AF2970" s="20">
        <v>4780</v>
      </c>
      <c r="AG2970" s="20">
        <v>4860</v>
      </c>
      <c r="AH2970" s="20">
        <v>4970.17</v>
      </c>
      <c r="AI2970" s="20">
        <v>4970.17</v>
      </c>
      <c r="AJ2970" s="20">
        <v>5131.18</v>
      </c>
      <c r="AK2970" s="20">
        <v>5194.74</v>
      </c>
      <c r="AL2970" s="20">
        <v>5194.74</v>
      </c>
      <c r="AM2970" s="20"/>
      <c r="AN2970" s="20">
        <v>863.55</v>
      </c>
      <c r="AO2970" s="20">
        <v>1077.55</v>
      </c>
    </row>
    <row r="2971" spans="1:41" s="15" customFormat="1" ht="14.25" x14ac:dyDescent="0.2">
      <c r="A2971" s="18" t="s">
        <v>1864</v>
      </c>
      <c r="B2971" s="19" t="s">
        <v>1865</v>
      </c>
      <c r="C2971" s="20">
        <v>815.26</v>
      </c>
      <c r="D2971" s="20">
        <v>1215.26</v>
      </c>
      <c r="E2971" s="20">
        <v>1724.32</v>
      </c>
      <c r="F2971" s="20">
        <v>2324.3200000000002</v>
      </c>
      <c r="G2971" s="20">
        <v>7162.12</v>
      </c>
      <c r="H2971" s="20">
        <v>9149.1200000000008</v>
      </c>
      <c r="I2971" s="20">
        <v>13912.45</v>
      </c>
      <c r="J2971" s="20">
        <v>16382.45</v>
      </c>
      <c r="K2971" s="20">
        <v>16824.82</v>
      </c>
      <c r="L2971" s="20">
        <v>17003.47</v>
      </c>
      <c r="M2971" s="20">
        <v>17553.47</v>
      </c>
      <c r="N2971" s="20">
        <v>17960.25</v>
      </c>
      <c r="O2971" s="20">
        <v>223.22</v>
      </c>
      <c r="P2971" s="20">
        <v>6970.66</v>
      </c>
      <c r="Q2971" s="20">
        <v>7770.66</v>
      </c>
      <c r="R2971" s="20">
        <v>8570.66</v>
      </c>
      <c r="S2971" s="20">
        <v>11960.66</v>
      </c>
      <c r="T2971" s="20">
        <v>11960.66</v>
      </c>
      <c r="U2971" s="20">
        <v>13440.66</v>
      </c>
      <c r="V2971" s="20">
        <v>15770.66</v>
      </c>
      <c r="W2971" s="20">
        <v>17279.310000000001</v>
      </c>
      <c r="X2971" s="20">
        <v>23538.15</v>
      </c>
      <c r="Y2971" s="20">
        <v>27635.11</v>
      </c>
      <c r="Z2971" s="20">
        <v>35689.94</v>
      </c>
      <c r="AA2971" s="20">
        <v>652.22</v>
      </c>
      <c r="AB2971" s="20">
        <v>1099.5899999999999</v>
      </c>
      <c r="AC2971" s="20">
        <v>6304</v>
      </c>
      <c r="AD2971" s="20">
        <v>7978</v>
      </c>
      <c r="AE2971" s="20">
        <v>9418</v>
      </c>
      <c r="AF2971" s="20">
        <v>9418</v>
      </c>
      <c r="AG2971" s="20">
        <v>12509.1</v>
      </c>
      <c r="AH2971" s="20">
        <v>14932.83</v>
      </c>
      <c r="AI2971" s="20">
        <v>16192.83</v>
      </c>
      <c r="AJ2971" s="20">
        <v>17344.27</v>
      </c>
      <c r="AK2971" s="20">
        <v>21076.82</v>
      </c>
      <c r="AL2971" s="20">
        <v>22076.82</v>
      </c>
      <c r="AM2971" s="20">
        <v>830.51</v>
      </c>
      <c r="AN2971" s="20">
        <v>910.51</v>
      </c>
      <c r="AO2971" s="20">
        <v>1509.92</v>
      </c>
    </row>
    <row r="2972" spans="1:41" s="15" customFormat="1" ht="14.25" x14ac:dyDescent="0.2">
      <c r="A2972" s="18" t="s">
        <v>1866</v>
      </c>
      <c r="B2972" s="19" t="s">
        <v>1867</v>
      </c>
      <c r="C2972" s="20">
        <v>3095.63</v>
      </c>
      <c r="D2972" s="20">
        <v>7028.67</v>
      </c>
      <c r="E2972" s="20">
        <v>12587.99</v>
      </c>
      <c r="F2972" s="20">
        <v>13680.37</v>
      </c>
      <c r="G2972" s="20">
        <v>22255.63</v>
      </c>
      <c r="H2972" s="20">
        <v>25031.06</v>
      </c>
      <c r="I2972" s="20">
        <v>28886.14</v>
      </c>
      <c r="J2972" s="20">
        <v>43552.25</v>
      </c>
      <c r="K2972" s="20">
        <v>48073.94</v>
      </c>
      <c r="L2972" s="20">
        <v>49031.14</v>
      </c>
      <c r="M2972" s="20">
        <v>53474.7</v>
      </c>
      <c r="N2972" s="20">
        <v>59237.41</v>
      </c>
      <c r="O2972" s="20">
        <v>544.91</v>
      </c>
      <c r="P2972" s="20">
        <v>9420.34</v>
      </c>
      <c r="Q2972" s="20">
        <v>22118.23</v>
      </c>
      <c r="R2972" s="20">
        <v>30622.46</v>
      </c>
      <c r="S2972" s="20">
        <v>40793.65</v>
      </c>
      <c r="T2972" s="20">
        <v>47102.13</v>
      </c>
      <c r="U2972" s="20">
        <v>54586.39</v>
      </c>
      <c r="V2972" s="20">
        <v>67366.899999999994</v>
      </c>
      <c r="W2972" s="20">
        <v>80571.570000000007</v>
      </c>
      <c r="X2972" s="20">
        <v>97348.7</v>
      </c>
      <c r="Y2972" s="20">
        <v>100162.09</v>
      </c>
      <c r="Z2972" s="20">
        <v>101526.5</v>
      </c>
      <c r="AA2972" s="20">
        <v>6434.04</v>
      </c>
      <c r="AB2972" s="20">
        <v>7934.04</v>
      </c>
      <c r="AC2972" s="20">
        <v>8730.65</v>
      </c>
      <c r="AD2972" s="20">
        <v>13674.72</v>
      </c>
      <c r="AE2972" s="20">
        <v>22042.1</v>
      </c>
      <c r="AF2972" s="20">
        <v>30849.38</v>
      </c>
      <c r="AG2972" s="20">
        <v>38107.620000000003</v>
      </c>
      <c r="AH2972" s="20">
        <v>41984.7</v>
      </c>
      <c r="AI2972" s="20">
        <v>43116.7</v>
      </c>
      <c r="AJ2972" s="20">
        <v>48803.33</v>
      </c>
      <c r="AK2972" s="20">
        <v>49052.01</v>
      </c>
      <c r="AL2972" s="20">
        <v>49560.480000000003</v>
      </c>
      <c r="AM2972" s="20">
        <v>631.36</v>
      </c>
      <c r="AN2972" s="20">
        <v>631.36</v>
      </c>
      <c r="AO2972" s="20">
        <v>661.03</v>
      </c>
    </row>
    <row r="2973" spans="1:41" s="15" customFormat="1" ht="14.25" x14ac:dyDescent="0.2">
      <c r="A2973" s="18" t="s">
        <v>1868</v>
      </c>
      <c r="B2973" s="19" t="s">
        <v>1869</v>
      </c>
      <c r="C2973" s="20">
        <v>1395.47</v>
      </c>
      <c r="D2973" s="20">
        <v>1925.31</v>
      </c>
      <c r="E2973" s="20">
        <v>4016.17</v>
      </c>
      <c r="F2973" s="20">
        <v>4907.03</v>
      </c>
      <c r="G2973" s="20">
        <v>6100.86</v>
      </c>
      <c r="H2973" s="20">
        <v>7030.83</v>
      </c>
      <c r="I2973" s="20">
        <v>7622.36</v>
      </c>
      <c r="J2973" s="20">
        <v>8540.34</v>
      </c>
      <c r="K2973" s="20">
        <v>10750.66</v>
      </c>
      <c r="L2973" s="20">
        <v>11708.64</v>
      </c>
      <c r="M2973" s="20">
        <v>12626.62</v>
      </c>
      <c r="N2973" s="20">
        <v>13932.74</v>
      </c>
      <c r="O2973" s="20">
        <v>577.53</v>
      </c>
      <c r="P2973" s="20">
        <v>4339.04</v>
      </c>
      <c r="Q2973" s="20">
        <v>6504.71</v>
      </c>
      <c r="R2973" s="20">
        <v>7330.08</v>
      </c>
      <c r="S2973" s="20">
        <v>8295.75</v>
      </c>
      <c r="T2973" s="20">
        <v>8873.2800000000007</v>
      </c>
      <c r="U2973" s="20">
        <v>9838.9500000000007</v>
      </c>
      <c r="V2973" s="20">
        <v>14560.85</v>
      </c>
      <c r="W2973" s="20">
        <v>16416.52</v>
      </c>
      <c r="X2973" s="20">
        <v>19041.89</v>
      </c>
      <c r="Y2973" s="20">
        <v>19613.75</v>
      </c>
      <c r="Z2973" s="20">
        <v>20573.75</v>
      </c>
      <c r="AA2973" s="20">
        <v>1272.25</v>
      </c>
      <c r="AB2973" s="20">
        <v>2254.25</v>
      </c>
      <c r="AC2973" s="20">
        <v>2871.84</v>
      </c>
      <c r="AD2973" s="20">
        <v>3349.81</v>
      </c>
      <c r="AE2973" s="20">
        <v>4439.59</v>
      </c>
      <c r="AF2973" s="20">
        <v>5202.58</v>
      </c>
      <c r="AG2973" s="20">
        <v>5820.17</v>
      </c>
      <c r="AH2973" s="20">
        <v>6437.76</v>
      </c>
      <c r="AI2973" s="20">
        <v>7055.35</v>
      </c>
      <c r="AJ2973" s="20">
        <v>7672.94</v>
      </c>
      <c r="AK2973" s="20">
        <v>8290.5300000000007</v>
      </c>
      <c r="AL2973" s="20">
        <v>12042.02</v>
      </c>
      <c r="AM2973" s="20">
        <v>9553.2999999999993</v>
      </c>
      <c r="AN2973" s="20">
        <v>22893.8</v>
      </c>
      <c r="AO2973" s="20">
        <v>31801.68</v>
      </c>
    </row>
    <row r="2974" spans="1:41" s="15" customFormat="1" ht="14.25" x14ac:dyDescent="0.2">
      <c r="A2974" s="18" t="s">
        <v>1870</v>
      </c>
      <c r="B2974" s="19" t="s">
        <v>1871</v>
      </c>
      <c r="C2974" s="20"/>
      <c r="D2974" s="20"/>
      <c r="E2974" s="20"/>
      <c r="F2974" s="20"/>
      <c r="G2974" s="20"/>
      <c r="H2974" s="20"/>
      <c r="I2974" s="20"/>
      <c r="J2974" s="20"/>
      <c r="K2974" s="20"/>
      <c r="L2974" s="20"/>
      <c r="M2974" s="20"/>
      <c r="N2974" s="20"/>
      <c r="O2974" s="20"/>
      <c r="P2974" s="20"/>
      <c r="Q2974" s="20"/>
      <c r="R2974" s="20"/>
      <c r="S2974" s="20"/>
      <c r="T2974" s="20"/>
      <c r="U2974" s="20"/>
      <c r="V2974" s="20"/>
      <c r="W2974" s="20"/>
      <c r="X2974" s="20"/>
      <c r="Y2974" s="20">
        <v>3460</v>
      </c>
      <c r="Z2974" s="20">
        <v>5400</v>
      </c>
      <c r="AA2974" s="20"/>
      <c r="AB2974" s="20"/>
      <c r="AC2974" s="20"/>
      <c r="AD2974" s="20"/>
      <c r="AE2974" s="20"/>
      <c r="AF2974" s="20"/>
      <c r="AG2974" s="20"/>
      <c r="AH2974" s="20"/>
      <c r="AI2974" s="20"/>
      <c r="AJ2974" s="20"/>
      <c r="AK2974" s="20"/>
      <c r="AL2974" s="20"/>
      <c r="AM2974" s="20"/>
      <c r="AN2974" s="20"/>
      <c r="AO2974" s="20"/>
    </row>
    <row r="2975" spans="1:41" s="15" customFormat="1" ht="14.25" x14ac:dyDescent="0.2">
      <c r="A2975" s="18" t="s">
        <v>1872</v>
      </c>
      <c r="B2975" s="19" t="s">
        <v>1873</v>
      </c>
      <c r="C2975" s="20"/>
      <c r="D2975" s="20"/>
      <c r="E2975" s="20"/>
      <c r="F2975" s="20"/>
      <c r="G2975" s="20"/>
      <c r="H2975" s="20"/>
      <c r="I2975" s="20"/>
      <c r="J2975" s="20"/>
      <c r="K2975" s="20"/>
      <c r="L2975" s="20"/>
      <c r="M2975" s="20"/>
      <c r="N2975" s="20"/>
      <c r="O2975" s="20"/>
      <c r="P2975" s="20"/>
      <c r="Q2975" s="20"/>
      <c r="R2975" s="20"/>
      <c r="S2975" s="20"/>
      <c r="T2975" s="20"/>
      <c r="U2975" s="20">
        <v>600</v>
      </c>
      <c r="V2975" s="20">
        <v>600</v>
      </c>
      <c r="W2975" s="20">
        <v>600</v>
      </c>
      <c r="X2975" s="20">
        <v>1100</v>
      </c>
      <c r="Y2975" s="20">
        <v>2340</v>
      </c>
      <c r="Z2975" s="20">
        <v>14992.5</v>
      </c>
      <c r="AA2975" s="20">
        <v>12683</v>
      </c>
      <c r="AB2975" s="20">
        <v>16133</v>
      </c>
      <c r="AC2975" s="20">
        <v>23272</v>
      </c>
      <c r="AD2975" s="20">
        <v>31182</v>
      </c>
      <c r="AE2975" s="20">
        <v>38060</v>
      </c>
      <c r="AF2975" s="20">
        <v>39810</v>
      </c>
      <c r="AG2975" s="20">
        <v>45310</v>
      </c>
      <c r="AH2975" s="20">
        <v>51103</v>
      </c>
      <c r="AI2975" s="20">
        <v>57656.66</v>
      </c>
      <c r="AJ2975" s="20">
        <v>83143.33</v>
      </c>
      <c r="AK2975" s="20">
        <v>88433.33</v>
      </c>
      <c r="AL2975" s="20">
        <v>101693.33</v>
      </c>
      <c r="AM2975" s="20">
        <v>3520</v>
      </c>
      <c r="AN2975" s="20">
        <v>13194.82</v>
      </c>
      <c r="AO2975" s="20">
        <v>22154.82</v>
      </c>
    </row>
    <row r="2976" spans="1:41" s="15" customFormat="1" ht="14.25" x14ac:dyDescent="0.2">
      <c r="A2976" s="18" t="s">
        <v>1874</v>
      </c>
      <c r="B2976" s="19" t="s">
        <v>1875</v>
      </c>
      <c r="C2976" s="20">
        <v>1250</v>
      </c>
      <c r="D2976" s="20">
        <v>1750</v>
      </c>
      <c r="E2976" s="20">
        <v>1750</v>
      </c>
      <c r="F2976" s="20">
        <v>1750</v>
      </c>
      <c r="G2976" s="20">
        <v>1750</v>
      </c>
      <c r="H2976" s="20">
        <v>1750</v>
      </c>
      <c r="I2976" s="20">
        <v>1750</v>
      </c>
      <c r="J2976" s="20">
        <v>1750</v>
      </c>
      <c r="K2976" s="20">
        <v>1750</v>
      </c>
      <c r="L2976" s="20">
        <v>1750</v>
      </c>
      <c r="M2976" s="20">
        <v>1750</v>
      </c>
      <c r="N2976" s="20">
        <v>1750</v>
      </c>
      <c r="O2976" s="20"/>
      <c r="P2976" s="20"/>
      <c r="Q2976" s="20"/>
      <c r="R2976" s="20"/>
      <c r="S2976" s="20"/>
      <c r="T2976" s="20"/>
      <c r="U2976" s="20"/>
      <c r="V2976" s="20"/>
      <c r="W2976" s="20"/>
      <c r="X2976" s="20"/>
      <c r="Y2976" s="20"/>
      <c r="Z2976" s="20"/>
      <c r="AA2976" s="20"/>
      <c r="AB2976" s="20"/>
      <c r="AC2976" s="20"/>
      <c r="AD2976" s="20"/>
      <c r="AE2976" s="20"/>
      <c r="AF2976" s="20"/>
      <c r="AG2976" s="20"/>
      <c r="AH2976" s="20"/>
      <c r="AI2976" s="20"/>
      <c r="AJ2976" s="20"/>
      <c r="AK2976" s="20"/>
      <c r="AL2976" s="20"/>
      <c r="AM2976" s="20"/>
      <c r="AN2976" s="20"/>
      <c r="AO2976" s="20"/>
    </row>
    <row r="2977" spans="1:41" s="15" customFormat="1" ht="14.25" x14ac:dyDescent="0.2">
      <c r="A2977" s="18">
        <v>45030105</v>
      </c>
      <c r="B2977" s="19" t="s">
        <v>826</v>
      </c>
      <c r="C2977" s="20"/>
      <c r="D2977" s="20"/>
      <c r="E2977" s="20"/>
      <c r="F2977" s="20"/>
      <c r="G2977" s="20"/>
      <c r="H2977" s="20"/>
      <c r="I2977" s="20"/>
      <c r="J2977" s="20"/>
      <c r="K2977" s="20"/>
      <c r="L2977" s="20"/>
      <c r="M2977" s="20"/>
      <c r="N2977" s="20"/>
      <c r="O2977" s="20"/>
      <c r="P2977" s="20"/>
      <c r="Q2977" s="20"/>
      <c r="R2977" s="20"/>
      <c r="S2977" s="20"/>
      <c r="T2977" s="20"/>
      <c r="U2977" s="20"/>
      <c r="V2977" s="20"/>
      <c r="W2977" s="20"/>
      <c r="X2977" s="20"/>
      <c r="Y2977" s="20"/>
      <c r="Z2977" s="20"/>
      <c r="AA2977" s="20"/>
      <c r="AB2977" s="20"/>
      <c r="AC2977" s="20"/>
      <c r="AD2977" s="20"/>
      <c r="AE2977" s="20"/>
      <c r="AF2977" s="20"/>
      <c r="AG2977" s="20"/>
      <c r="AH2977" s="20"/>
      <c r="AI2977" s="20"/>
      <c r="AJ2977" s="20"/>
      <c r="AK2977" s="20"/>
      <c r="AL2977" s="20"/>
      <c r="AM2977" s="20"/>
      <c r="AN2977" s="20"/>
      <c r="AO2977" s="20"/>
    </row>
    <row r="2978" spans="1:41" s="15" customFormat="1" ht="14.25" x14ac:dyDescent="0.2">
      <c r="A2978" s="18">
        <v>45030106</v>
      </c>
      <c r="B2978" s="19" t="s">
        <v>827</v>
      </c>
      <c r="C2978" s="20"/>
      <c r="D2978" s="20"/>
      <c r="E2978" s="20"/>
      <c r="F2978" s="20"/>
      <c r="G2978" s="20"/>
      <c r="H2978" s="20"/>
      <c r="I2978" s="20"/>
      <c r="J2978" s="20"/>
      <c r="K2978" s="20"/>
      <c r="L2978" s="20"/>
      <c r="M2978" s="20"/>
      <c r="N2978" s="20"/>
      <c r="O2978" s="20"/>
      <c r="P2978" s="20"/>
      <c r="Q2978" s="20"/>
      <c r="R2978" s="20"/>
      <c r="S2978" s="20"/>
      <c r="T2978" s="20"/>
      <c r="U2978" s="20"/>
      <c r="V2978" s="20"/>
      <c r="W2978" s="20"/>
      <c r="X2978" s="20"/>
      <c r="Y2978" s="20"/>
      <c r="Z2978" s="20"/>
      <c r="AA2978" s="20"/>
      <c r="AB2978" s="20"/>
      <c r="AC2978" s="20"/>
      <c r="AD2978" s="20"/>
      <c r="AE2978" s="20"/>
      <c r="AF2978" s="20"/>
      <c r="AG2978" s="20"/>
      <c r="AH2978" s="20"/>
      <c r="AI2978" s="20"/>
      <c r="AJ2978" s="20"/>
      <c r="AK2978" s="20"/>
      <c r="AL2978" s="20"/>
      <c r="AM2978" s="20"/>
      <c r="AN2978" s="20"/>
      <c r="AO2978" s="20"/>
    </row>
    <row r="2979" spans="1:41" s="15" customFormat="1" ht="14.25" x14ac:dyDescent="0.2">
      <c r="A2979" s="18" t="s">
        <v>1878</v>
      </c>
      <c r="B2979" s="19" t="s">
        <v>1879</v>
      </c>
      <c r="C2979" s="20">
        <v>12959.77</v>
      </c>
      <c r="D2979" s="20">
        <v>24194.9</v>
      </c>
      <c r="E2979" s="20">
        <v>39110.82</v>
      </c>
      <c r="F2979" s="20">
        <v>49028.24</v>
      </c>
      <c r="G2979" s="20">
        <v>63334.53</v>
      </c>
      <c r="H2979" s="20">
        <v>78812.45</v>
      </c>
      <c r="I2979" s="20">
        <v>90396.3</v>
      </c>
      <c r="J2979" s="20">
        <v>102837.92</v>
      </c>
      <c r="K2979" s="20">
        <v>114012.07</v>
      </c>
      <c r="L2979" s="20">
        <v>123593.35</v>
      </c>
      <c r="M2979" s="20">
        <v>133784.92000000001</v>
      </c>
      <c r="N2979" s="20">
        <v>140588.72</v>
      </c>
      <c r="O2979" s="20">
        <v>17394.8</v>
      </c>
      <c r="P2979" s="20">
        <v>17682.3</v>
      </c>
      <c r="Q2979" s="20">
        <v>40007.910000000003</v>
      </c>
      <c r="R2979" s="20">
        <v>60720.49</v>
      </c>
      <c r="S2979" s="20">
        <v>73854.94</v>
      </c>
      <c r="T2979" s="20">
        <v>81660.75</v>
      </c>
      <c r="U2979" s="20">
        <v>93653.73</v>
      </c>
      <c r="V2979" s="20">
        <v>108676.2</v>
      </c>
      <c r="W2979" s="20">
        <v>115706.91</v>
      </c>
      <c r="X2979" s="20">
        <v>127915.68</v>
      </c>
      <c r="Y2979" s="20">
        <v>141204.51999999999</v>
      </c>
      <c r="Z2979" s="20">
        <v>152264.07999999999</v>
      </c>
      <c r="AA2979" s="20">
        <v>10214.51</v>
      </c>
      <c r="AB2979" s="20">
        <v>22923.46</v>
      </c>
      <c r="AC2979" s="20">
        <v>35529.089999999997</v>
      </c>
      <c r="AD2979" s="20">
        <v>47949.760000000002</v>
      </c>
      <c r="AE2979" s="20">
        <v>59855.05</v>
      </c>
      <c r="AF2979" s="20">
        <v>69756.94</v>
      </c>
      <c r="AG2979" s="20">
        <v>79244.289999999994</v>
      </c>
      <c r="AH2979" s="20">
        <v>90081.1</v>
      </c>
      <c r="AI2979" s="20">
        <v>99825.22</v>
      </c>
      <c r="AJ2979" s="20">
        <v>109597.26</v>
      </c>
      <c r="AK2979" s="20">
        <v>120327.4</v>
      </c>
      <c r="AL2979" s="20">
        <v>129544.23</v>
      </c>
      <c r="AM2979" s="20">
        <v>9949.16</v>
      </c>
      <c r="AN2979" s="20">
        <v>21951.77</v>
      </c>
      <c r="AO2979" s="20">
        <v>33858.080000000002</v>
      </c>
    </row>
    <row r="2980" spans="1:41" s="15" customFormat="1" ht="14.25" x14ac:dyDescent="0.2">
      <c r="A2980" s="18" t="s">
        <v>1880</v>
      </c>
      <c r="B2980" s="19" t="s">
        <v>1881</v>
      </c>
      <c r="C2980" s="20">
        <v>3664.86</v>
      </c>
      <c r="D2980" s="20">
        <v>9991.85</v>
      </c>
      <c r="E2980" s="20">
        <v>13260.28</v>
      </c>
      <c r="F2980" s="20">
        <v>17328.21</v>
      </c>
      <c r="G2980" s="20">
        <v>22887.040000000001</v>
      </c>
      <c r="H2980" s="20">
        <v>31402.12</v>
      </c>
      <c r="I2980" s="20">
        <v>35344.18</v>
      </c>
      <c r="J2980" s="20">
        <v>40772.17</v>
      </c>
      <c r="K2980" s="20">
        <v>45357.21</v>
      </c>
      <c r="L2980" s="20">
        <v>50872.43</v>
      </c>
      <c r="M2980" s="20">
        <v>53431.4</v>
      </c>
      <c r="N2980" s="20">
        <v>55669.21</v>
      </c>
      <c r="O2980" s="20">
        <v>6475.74</v>
      </c>
      <c r="P2980" s="20">
        <v>6847.54</v>
      </c>
      <c r="Q2980" s="20">
        <v>12336.12</v>
      </c>
      <c r="R2980" s="20">
        <v>18951.07</v>
      </c>
      <c r="S2980" s="20">
        <v>25984.36</v>
      </c>
      <c r="T2980" s="20">
        <v>29531.35</v>
      </c>
      <c r="U2980" s="20">
        <v>34691.839999999997</v>
      </c>
      <c r="V2980" s="20">
        <v>37347.870000000003</v>
      </c>
      <c r="W2980" s="20">
        <v>42867.79</v>
      </c>
      <c r="X2980" s="20">
        <v>48904.9</v>
      </c>
      <c r="Y2980" s="20">
        <v>52398.59</v>
      </c>
      <c r="Z2980" s="20">
        <v>54565.49</v>
      </c>
      <c r="AA2980" s="20">
        <v>4847.53</v>
      </c>
      <c r="AB2980" s="20">
        <v>11208.89</v>
      </c>
      <c r="AC2980" s="20">
        <v>15854.23</v>
      </c>
      <c r="AD2980" s="20">
        <v>20478.43</v>
      </c>
      <c r="AE2980" s="20">
        <v>25439.21</v>
      </c>
      <c r="AF2980" s="20">
        <v>29441.14</v>
      </c>
      <c r="AG2980" s="20">
        <v>34380.04</v>
      </c>
      <c r="AH2980" s="20">
        <v>37411.1</v>
      </c>
      <c r="AI2980" s="20">
        <v>46000</v>
      </c>
      <c r="AJ2980" s="20">
        <v>52196.88</v>
      </c>
      <c r="AK2980" s="20">
        <v>57385.87</v>
      </c>
      <c r="AL2980" s="20">
        <v>64130.2</v>
      </c>
      <c r="AM2980" s="20">
        <v>6176.77</v>
      </c>
      <c r="AN2980" s="20">
        <v>14680.33</v>
      </c>
      <c r="AO2980" s="20">
        <v>24242.67</v>
      </c>
    </row>
    <row r="2981" spans="1:41" s="15" customFormat="1" ht="14.25" x14ac:dyDescent="0.2">
      <c r="A2981" s="18" t="s">
        <v>1882</v>
      </c>
      <c r="B2981" s="19" t="s">
        <v>1883</v>
      </c>
      <c r="C2981" s="20"/>
      <c r="D2981" s="20"/>
      <c r="E2981" s="20"/>
      <c r="F2981" s="20"/>
      <c r="G2981" s="20"/>
      <c r="H2981" s="20"/>
      <c r="I2981" s="20"/>
      <c r="J2981" s="20"/>
      <c r="K2981" s="20"/>
      <c r="L2981" s="20"/>
      <c r="M2981" s="20"/>
      <c r="N2981" s="20"/>
      <c r="O2981" s="20"/>
      <c r="P2981" s="20"/>
      <c r="Q2981" s="20"/>
      <c r="R2981" s="20">
        <v>460.1</v>
      </c>
      <c r="S2981" s="20">
        <v>482.56</v>
      </c>
      <c r="T2981" s="20">
        <v>526.79</v>
      </c>
      <c r="U2981" s="20">
        <v>526.79</v>
      </c>
      <c r="V2981" s="20">
        <v>569.71</v>
      </c>
      <c r="W2981" s="20">
        <v>591.36</v>
      </c>
      <c r="X2981" s="20">
        <v>591.36</v>
      </c>
      <c r="Y2981" s="20">
        <v>591.36</v>
      </c>
      <c r="Z2981" s="20">
        <v>591.36</v>
      </c>
      <c r="AA2981" s="20">
        <v>83.64</v>
      </c>
      <c r="AB2981" s="20">
        <v>83.64</v>
      </c>
      <c r="AC2981" s="20">
        <v>104.2</v>
      </c>
      <c r="AD2981" s="20">
        <v>116.67</v>
      </c>
      <c r="AE2981" s="20">
        <v>116.67</v>
      </c>
      <c r="AF2981" s="20">
        <v>116.67</v>
      </c>
      <c r="AG2981" s="20">
        <v>116.67</v>
      </c>
      <c r="AH2981" s="20">
        <v>116.67</v>
      </c>
      <c r="AI2981" s="20">
        <v>116.67</v>
      </c>
      <c r="AJ2981" s="20">
        <v>116.67</v>
      </c>
      <c r="AK2981" s="20">
        <v>116.67</v>
      </c>
      <c r="AL2981" s="20">
        <v>116.67</v>
      </c>
      <c r="AM2981" s="20"/>
      <c r="AN2981" s="20"/>
      <c r="AO2981" s="20"/>
    </row>
    <row r="2982" spans="1:41" s="15" customFormat="1" ht="14.25" x14ac:dyDescent="0.2">
      <c r="A2982" s="18" t="s">
        <v>1884</v>
      </c>
      <c r="B2982" s="19" t="s">
        <v>1885</v>
      </c>
      <c r="C2982" s="20">
        <v>7168.3</v>
      </c>
      <c r="D2982" s="20">
        <v>10229.89</v>
      </c>
      <c r="E2982" s="20">
        <v>12203.22</v>
      </c>
      <c r="F2982" s="20">
        <v>14264.51</v>
      </c>
      <c r="G2982" s="20">
        <v>16523.580000000002</v>
      </c>
      <c r="H2982" s="20">
        <v>18358.349999999999</v>
      </c>
      <c r="I2982" s="20">
        <v>20067.09</v>
      </c>
      <c r="J2982" s="20">
        <v>21591.74</v>
      </c>
      <c r="K2982" s="20">
        <v>22873.040000000001</v>
      </c>
      <c r="L2982" s="20">
        <v>24772.73</v>
      </c>
      <c r="M2982" s="20">
        <v>30950.5</v>
      </c>
      <c r="N2982" s="20">
        <v>31226.34</v>
      </c>
      <c r="O2982" s="20">
        <v>4895.57</v>
      </c>
      <c r="P2982" s="20">
        <v>8045.04</v>
      </c>
      <c r="Q2982" s="20">
        <v>17862.900000000001</v>
      </c>
      <c r="R2982" s="20">
        <v>14198.1</v>
      </c>
      <c r="S2982" s="20">
        <v>16340.87</v>
      </c>
      <c r="T2982" s="20">
        <v>19034.84</v>
      </c>
      <c r="U2982" s="20">
        <v>20349.89</v>
      </c>
      <c r="V2982" s="20">
        <v>22562.57</v>
      </c>
      <c r="W2982" s="20">
        <v>25479.759999999998</v>
      </c>
      <c r="X2982" s="20">
        <v>28073.06</v>
      </c>
      <c r="Y2982" s="20">
        <v>31327.94</v>
      </c>
      <c r="Z2982" s="20">
        <v>33671.050000000003</v>
      </c>
      <c r="AA2982" s="20">
        <v>3090.31</v>
      </c>
      <c r="AB2982" s="20">
        <v>5204.46</v>
      </c>
      <c r="AC2982" s="20">
        <v>7807.64</v>
      </c>
      <c r="AD2982" s="20">
        <v>10458.459999999999</v>
      </c>
      <c r="AE2982" s="20">
        <v>12719.78</v>
      </c>
      <c r="AF2982" s="20">
        <v>15186.34</v>
      </c>
      <c r="AG2982" s="20">
        <v>17792.740000000002</v>
      </c>
      <c r="AH2982" s="20">
        <v>20137.98</v>
      </c>
      <c r="AI2982" s="20">
        <v>22394.22</v>
      </c>
      <c r="AJ2982" s="20">
        <v>24645.34</v>
      </c>
      <c r="AK2982" s="20">
        <v>26749.58</v>
      </c>
      <c r="AL2982" s="20">
        <v>29157.68</v>
      </c>
      <c r="AM2982" s="20">
        <v>2691.54</v>
      </c>
      <c r="AN2982" s="20">
        <v>5449.08</v>
      </c>
      <c r="AO2982" s="20">
        <v>7914.12</v>
      </c>
    </row>
    <row r="2983" spans="1:41" s="15" customFormat="1" ht="14.25" x14ac:dyDescent="0.2">
      <c r="A2983" s="18" t="s">
        <v>1886</v>
      </c>
      <c r="B2983" s="19" t="s">
        <v>1887</v>
      </c>
      <c r="C2983" s="20">
        <v>3987.04</v>
      </c>
      <c r="D2983" s="20">
        <v>8880.5</v>
      </c>
      <c r="E2983" s="20">
        <v>10011.92</v>
      </c>
      <c r="F2983" s="20">
        <v>16260.84</v>
      </c>
      <c r="G2983" s="20">
        <v>22916.62</v>
      </c>
      <c r="H2983" s="20">
        <v>27139.81</v>
      </c>
      <c r="I2983" s="20">
        <v>29654.28</v>
      </c>
      <c r="J2983" s="20">
        <v>32439.18</v>
      </c>
      <c r="K2983" s="20">
        <v>35351.32</v>
      </c>
      <c r="L2983" s="20">
        <v>37425.33</v>
      </c>
      <c r="M2983" s="20">
        <v>39108.800000000003</v>
      </c>
      <c r="N2983" s="20">
        <v>40182.870000000003</v>
      </c>
      <c r="O2983" s="20">
        <v>17141.48</v>
      </c>
      <c r="P2983" s="20">
        <v>18486.05</v>
      </c>
      <c r="Q2983" s="20">
        <v>21973.52</v>
      </c>
      <c r="R2983" s="20">
        <v>29214.7</v>
      </c>
      <c r="S2983" s="20">
        <v>33586.620000000003</v>
      </c>
      <c r="T2983" s="20">
        <v>36891.199999999997</v>
      </c>
      <c r="U2983" s="20">
        <v>39469.08</v>
      </c>
      <c r="V2983" s="20">
        <v>44831.07</v>
      </c>
      <c r="W2983" s="20">
        <v>48672.95</v>
      </c>
      <c r="X2983" s="20">
        <v>50883.41</v>
      </c>
      <c r="Y2983" s="20">
        <v>58136.83</v>
      </c>
      <c r="Z2983" s="20">
        <v>59787.72</v>
      </c>
      <c r="AA2983" s="20">
        <v>6081.07</v>
      </c>
      <c r="AB2983" s="20">
        <v>9864.9699999999993</v>
      </c>
      <c r="AC2983" s="20">
        <v>13628.02</v>
      </c>
      <c r="AD2983" s="20">
        <v>17020.82</v>
      </c>
      <c r="AE2983" s="20">
        <v>21241.87</v>
      </c>
      <c r="AF2983" s="20">
        <v>22147.56</v>
      </c>
      <c r="AG2983" s="20">
        <v>27930.31</v>
      </c>
      <c r="AH2983" s="20">
        <v>31201.759999999998</v>
      </c>
      <c r="AI2983" s="20">
        <v>33496.69</v>
      </c>
      <c r="AJ2983" s="20">
        <v>38936.04</v>
      </c>
      <c r="AK2983" s="20">
        <v>42514.44</v>
      </c>
      <c r="AL2983" s="20">
        <v>44909.61</v>
      </c>
      <c r="AM2983" s="20">
        <v>4392.55</v>
      </c>
      <c r="AN2983" s="20">
        <v>6568</v>
      </c>
      <c r="AO2983" s="20">
        <v>13085.76</v>
      </c>
    </row>
    <row r="2984" spans="1:41" s="15" customFormat="1" ht="14.25" x14ac:dyDescent="0.2">
      <c r="A2984" s="18" t="s">
        <v>1888</v>
      </c>
      <c r="B2984" s="19" t="s">
        <v>1889</v>
      </c>
      <c r="C2984" s="20">
        <v>4500</v>
      </c>
      <c r="D2984" s="20">
        <v>4500</v>
      </c>
      <c r="E2984" s="20">
        <v>13500</v>
      </c>
      <c r="F2984" s="20">
        <v>18000</v>
      </c>
      <c r="G2984" s="20">
        <v>27000</v>
      </c>
      <c r="H2984" s="20">
        <v>27000</v>
      </c>
      <c r="I2984" s="20">
        <v>27000</v>
      </c>
      <c r="J2984" s="20">
        <v>31500</v>
      </c>
      <c r="K2984" s="20">
        <v>31500</v>
      </c>
      <c r="L2984" s="20">
        <v>31500</v>
      </c>
      <c r="M2984" s="20">
        <v>49500</v>
      </c>
      <c r="N2984" s="20">
        <v>54000</v>
      </c>
      <c r="O2984" s="20">
        <v>4500</v>
      </c>
      <c r="P2984" s="20">
        <v>9000</v>
      </c>
      <c r="Q2984" s="20">
        <v>13500</v>
      </c>
      <c r="R2984" s="20">
        <v>22500</v>
      </c>
      <c r="S2984" s="20">
        <v>22500</v>
      </c>
      <c r="T2984" s="20">
        <v>27000</v>
      </c>
      <c r="U2984" s="20">
        <v>31500</v>
      </c>
      <c r="V2984" s="20">
        <v>36000</v>
      </c>
      <c r="W2984" s="20">
        <v>40500</v>
      </c>
      <c r="X2984" s="20">
        <v>49500</v>
      </c>
      <c r="Y2984" s="20">
        <v>54000</v>
      </c>
      <c r="Z2984" s="20">
        <v>54000</v>
      </c>
      <c r="AA2984" s="20">
        <v>9090</v>
      </c>
      <c r="AB2984" s="20">
        <v>13680</v>
      </c>
      <c r="AC2984" s="20">
        <v>18270</v>
      </c>
      <c r="AD2984" s="20">
        <v>18270</v>
      </c>
      <c r="AE2984" s="20">
        <v>19203.330000000002</v>
      </c>
      <c r="AF2984" s="20">
        <v>20275.330000000002</v>
      </c>
      <c r="AG2984" s="20">
        <v>21554.83</v>
      </c>
      <c r="AH2984" s="20">
        <v>24229.83</v>
      </c>
      <c r="AI2984" s="20">
        <v>24229.83</v>
      </c>
      <c r="AJ2984" s="20">
        <v>25563.83</v>
      </c>
      <c r="AK2984" s="20">
        <v>26799.33</v>
      </c>
      <c r="AL2984" s="20">
        <v>28069.33</v>
      </c>
      <c r="AM2984" s="20">
        <v>1509</v>
      </c>
      <c r="AN2984" s="20">
        <v>2509</v>
      </c>
      <c r="AO2984" s="20">
        <v>3704</v>
      </c>
    </row>
    <row r="2985" spans="1:41" s="15" customFormat="1" ht="14.25" x14ac:dyDescent="0.2">
      <c r="A2985" s="18" t="s">
        <v>1890</v>
      </c>
      <c r="B2985" s="19" t="s">
        <v>1891</v>
      </c>
      <c r="C2985" s="20">
        <v>941.19</v>
      </c>
      <c r="D2985" s="20">
        <v>1727.19</v>
      </c>
      <c r="E2985" s="20">
        <v>4301.87</v>
      </c>
      <c r="F2985" s="20">
        <v>4667.33</v>
      </c>
      <c r="G2985" s="20">
        <v>5256.11</v>
      </c>
      <c r="H2985" s="20">
        <v>6288</v>
      </c>
      <c r="I2985" s="20">
        <v>6497.5</v>
      </c>
      <c r="J2985" s="20">
        <v>7045.65</v>
      </c>
      <c r="K2985" s="20">
        <v>7610.75</v>
      </c>
      <c r="L2985" s="20">
        <v>8073.44</v>
      </c>
      <c r="M2985" s="20">
        <v>8695.91</v>
      </c>
      <c r="N2985" s="20">
        <v>9032.52</v>
      </c>
      <c r="O2985" s="20">
        <v>348.25</v>
      </c>
      <c r="P2985" s="20">
        <v>1027.54</v>
      </c>
      <c r="Q2985" s="20">
        <v>1511.07</v>
      </c>
      <c r="R2985" s="20">
        <v>1990.82</v>
      </c>
      <c r="S2985" s="20">
        <v>2708.93</v>
      </c>
      <c r="T2985" s="20">
        <v>3372.44</v>
      </c>
      <c r="U2985" s="20">
        <v>4210.1400000000003</v>
      </c>
      <c r="V2985" s="20">
        <v>5988.18</v>
      </c>
      <c r="W2985" s="20">
        <v>6559.08</v>
      </c>
      <c r="X2985" s="20">
        <v>7049.69</v>
      </c>
      <c r="Y2985" s="20">
        <v>7345.02</v>
      </c>
      <c r="Z2985" s="20">
        <v>7659.76</v>
      </c>
      <c r="AA2985" s="20">
        <v>433.72</v>
      </c>
      <c r="AB2985" s="20">
        <v>2372.25</v>
      </c>
      <c r="AC2985" s="20">
        <v>2656.42</v>
      </c>
      <c r="AD2985" s="20">
        <v>3058.32</v>
      </c>
      <c r="AE2985" s="20">
        <v>3476.22</v>
      </c>
      <c r="AF2985" s="20">
        <v>3882.05</v>
      </c>
      <c r="AG2985" s="20">
        <v>4546.45</v>
      </c>
      <c r="AH2985" s="20">
        <v>5071.54</v>
      </c>
      <c r="AI2985" s="20">
        <v>5803.81</v>
      </c>
      <c r="AJ2985" s="20">
        <v>6356</v>
      </c>
      <c r="AK2985" s="20">
        <v>6730.62</v>
      </c>
      <c r="AL2985" s="20">
        <v>7296.62</v>
      </c>
      <c r="AM2985" s="20">
        <v>581.23</v>
      </c>
      <c r="AN2985" s="20">
        <v>1495.91</v>
      </c>
      <c r="AO2985" s="20">
        <v>2291.48</v>
      </c>
    </row>
    <row r="2986" spans="1:41" s="15" customFormat="1" ht="14.25" x14ac:dyDescent="0.2">
      <c r="A2986" s="18">
        <v>45030108</v>
      </c>
      <c r="B2986" s="19" t="s">
        <v>829</v>
      </c>
      <c r="C2986" s="20"/>
      <c r="D2986" s="20"/>
      <c r="E2986" s="20"/>
      <c r="F2986" s="20"/>
      <c r="G2986" s="20"/>
      <c r="H2986" s="20"/>
      <c r="I2986" s="20"/>
      <c r="J2986" s="20"/>
      <c r="K2986" s="20"/>
      <c r="L2986" s="20"/>
      <c r="M2986" s="20"/>
      <c r="N2986" s="20"/>
      <c r="O2986" s="20"/>
      <c r="P2986" s="20"/>
      <c r="Q2986" s="20"/>
      <c r="R2986" s="20"/>
      <c r="S2986" s="20"/>
      <c r="T2986" s="20"/>
      <c r="U2986" s="20"/>
      <c r="V2986" s="20"/>
      <c r="W2986" s="20"/>
      <c r="X2986" s="20"/>
      <c r="Y2986" s="20"/>
      <c r="Z2986" s="20"/>
      <c r="AA2986" s="20"/>
      <c r="AB2986" s="20"/>
      <c r="AC2986" s="20"/>
      <c r="AD2986" s="20"/>
      <c r="AE2986" s="20"/>
      <c r="AF2986" s="20"/>
      <c r="AG2986" s="20"/>
      <c r="AH2986" s="20"/>
      <c r="AI2986" s="20"/>
      <c r="AJ2986" s="20"/>
      <c r="AK2986" s="20"/>
      <c r="AL2986" s="20"/>
      <c r="AM2986" s="20"/>
      <c r="AN2986" s="20"/>
      <c r="AO2986" s="20"/>
    </row>
    <row r="2987" spans="1:41" s="15" customFormat="1" ht="14.25" x14ac:dyDescent="0.2">
      <c r="A2987" s="18" t="s">
        <v>1892</v>
      </c>
      <c r="B2987" s="19" t="s">
        <v>1893</v>
      </c>
      <c r="C2987" s="20">
        <v>4891.3</v>
      </c>
      <c r="D2987" s="20">
        <v>9782.6</v>
      </c>
      <c r="E2987" s="20">
        <v>14673.9</v>
      </c>
      <c r="F2987" s="20">
        <v>14673.9</v>
      </c>
      <c r="G2987" s="20">
        <v>19565.2</v>
      </c>
      <c r="H2987" s="20">
        <v>29347.8</v>
      </c>
      <c r="I2987" s="20">
        <v>39130.400000000001</v>
      </c>
      <c r="J2987" s="20">
        <v>44021.7</v>
      </c>
      <c r="K2987" s="20">
        <v>48913</v>
      </c>
      <c r="L2987" s="20">
        <v>53804.3</v>
      </c>
      <c r="M2987" s="20">
        <v>58695.6</v>
      </c>
      <c r="N2987" s="20">
        <v>60155.6</v>
      </c>
      <c r="O2987" s="20"/>
      <c r="P2987" s="20"/>
      <c r="Q2987" s="20"/>
      <c r="R2987" s="20"/>
      <c r="S2987" s="20"/>
      <c r="T2987" s="20"/>
      <c r="U2987" s="20"/>
      <c r="V2987" s="20"/>
      <c r="W2987" s="20"/>
      <c r="X2987" s="20"/>
      <c r="Y2987" s="20"/>
      <c r="Z2987" s="20"/>
      <c r="AA2987" s="20"/>
      <c r="AB2987" s="20"/>
      <c r="AC2987" s="20"/>
      <c r="AD2987" s="20"/>
      <c r="AE2987" s="20"/>
      <c r="AF2987" s="20"/>
      <c r="AG2987" s="20"/>
      <c r="AH2987" s="20"/>
      <c r="AI2987" s="20"/>
      <c r="AJ2987" s="20"/>
      <c r="AK2987" s="20"/>
      <c r="AL2987" s="20"/>
      <c r="AM2987" s="20"/>
      <c r="AN2987" s="20"/>
      <c r="AO2987" s="20"/>
    </row>
    <row r="2988" spans="1:41" s="15" customFormat="1" ht="14.25" x14ac:dyDescent="0.2">
      <c r="A2988" s="18" t="s">
        <v>1894</v>
      </c>
      <c r="B2988" s="19" t="s">
        <v>1895</v>
      </c>
      <c r="C2988" s="20">
        <v>5850</v>
      </c>
      <c r="D2988" s="20">
        <v>13700</v>
      </c>
      <c r="E2988" s="20">
        <v>25870</v>
      </c>
      <c r="F2988" s="20">
        <v>31220</v>
      </c>
      <c r="G2988" s="20">
        <v>42570</v>
      </c>
      <c r="H2988" s="20">
        <v>50820</v>
      </c>
      <c r="I2988" s="20">
        <v>63020</v>
      </c>
      <c r="J2988" s="20">
        <v>78070</v>
      </c>
      <c r="K2988" s="20">
        <v>87920</v>
      </c>
      <c r="L2988" s="20">
        <v>95270</v>
      </c>
      <c r="M2988" s="20">
        <v>98120</v>
      </c>
      <c r="N2988" s="20">
        <v>112320</v>
      </c>
      <c r="O2988" s="20">
        <v>2850</v>
      </c>
      <c r="P2988" s="20">
        <v>14700</v>
      </c>
      <c r="Q2988" s="20">
        <v>20050</v>
      </c>
      <c r="R2988" s="20">
        <v>32400</v>
      </c>
      <c r="S2988" s="20">
        <v>46500</v>
      </c>
      <c r="T2988" s="20">
        <v>52350</v>
      </c>
      <c r="U2988" s="20">
        <v>61050</v>
      </c>
      <c r="V2988" s="20">
        <v>72324</v>
      </c>
      <c r="W2988" s="20">
        <v>81174</v>
      </c>
      <c r="X2988" s="20">
        <v>84024</v>
      </c>
      <c r="Y2988" s="20">
        <v>86874</v>
      </c>
      <c r="Z2988" s="20">
        <v>111574</v>
      </c>
      <c r="AA2988" s="20">
        <v>6250</v>
      </c>
      <c r="AB2988" s="20">
        <v>11750</v>
      </c>
      <c r="AC2988" s="20">
        <v>23105</v>
      </c>
      <c r="AD2988" s="20">
        <v>31105</v>
      </c>
      <c r="AE2988" s="20">
        <v>33605</v>
      </c>
      <c r="AF2988" s="20">
        <v>34468</v>
      </c>
      <c r="AG2988" s="20">
        <v>45968</v>
      </c>
      <c r="AH2988" s="20">
        <v>48468</v>
      </c>
      <c r="AI2988" s="20">
        <v>56968</v>
      </c>
      <c r="AJ2988" s="20">
        <v>64168</v>
      </c>
      <c r="AK2988" s="20">
        <v>66668</v>
      </c>
      <c r="AL2988" s="20">
        <v>69168</v>
      </c>
      <c r="AM2988" s="20">
        <v>2500</v>
      </c>
      <c r="AN2988" s="20">
        <v>14000</v>
      </c>
      <c r="AO2988" s="20">
        <v>19000</v>
      </c>
    </row>
    <row r="2989" spans="1:41" s="15" customFormat="1" ht="14.25" x14ac:dyDescent="0.2">
      <c r="A2989" s="18" t="s">
        <v>1896</v>
      </c>
      <c r="B2989" s="19" t="s">
        <v>1897</v>
      </c>
      <c r="C2989" s="20"/>
      <c r="D2989" s="20"/>
      <c r="E2989" s="20"/>
      <c r="F2989" s="20">
        <v>3500</v>
      </c>
      <c r="G2989" s="20">
        <v>5100</v>
      </c>
      <c r="H2989" s="20">
        <v>5100</v>
      </c>
      <c r="I2989" s="20">
        <v>6600</v>
      </c>
      <c r="J2989" s="20">
        <v>6600</v>
      </c>
      <c r="K2989" s="20">
        <v>6600</v>
      </c>
      <c r="L2989" s="20">
        <v>6600</v>
      </c>
      <c r="M2989" s="20">
        <v>9100</v>
      </c>
      <c r="N2989" s="20">
        <v>9100</v>
      </c>
      <c r="O2989" s="20">
        <v>1500</v>
      </c>
      <c r="P2989" s="20">
        <v>1500</v>
      </c>
      <c r="Q2989" s="20">
        <v>1500</v>
      </c>
      <c r="R2989" s="20">
        <v>4500</v>
      </c>
      <c r="S2989" s="20">
        <v>12000</v>
      </c>
      <c r="T2989" s="20">
        <v>21890</v>
      </c>
      <c r="U2989" s="20">
        <v>27340</v>
      </c>
      <c r="V2989" s="20">
        <v>53925.65</v>
      </c>
      <c r="W2989" s="20">
        <v>122529.51</v>
      </c>
      <c r="X2989" s="20">
        <v>160359.95000000001</v>
      </c>
      <c r="Y2989" s="20">
        <v>174850.82</v>
      </c>
      <c r="Z2989" s="20">
        <v>183568.21</v>
      </c>
      <c r="AA2989" s="20">
        <v>6917.39</v>
      </c>
      <c r="AB2989" s="20">
        <v>13509.78</v>
      </c>
      <c r="AC2989" s="20">
        <v>23267.17</v>
      </c>
      <c r="AD2989" s="20">
        <v>34088.03</v>
      </c>
      <c r="AE2989" s="20">
        <v>38825.42</v>
      </c>
      <c r="AF2989" s="20">
        <v>47281.94</v>
      </c>
      <c r="AG2989" s="20">
        <v>68725.850000000006</v>
      </c>
      <c r="AH2989" s="20">
        <v>93258.46</v>
      </c>
      <c r="AI2989" s="20">
        <v>123758.46</v>
      </c>
      <c r="AJ2989" s="20">
        <v>141006.72</v>
      </c>
      <c r="AK2989" s="20">
        <v>159824.10999999999</v>
      </c>
      <c r="AL2989" s="20">
        <v>168274.11</v>
      </c>
      <c r="AM2989" s="20">
        <v>9070</v>
      </c>
      <c r="AN2989" s="20">
        <v>12570</v>
      </c>
      <c r="AO2989" s="20">
        <v>16070</v>
      </c>
    </row>
    <row r="2990" spans="1:41" s="15" customFormat="1" ht="14.25" x14ac:dyDescent="0.2">
      <c r="A2990" s="18">
        <v>45030109</v>
      </c>
      <c r="B2990" s="19" t="s">
        <v>830</v>
      </c>
      <c r="C2990" s="20"/>
      <c r="D2990" s="20"/>
      <c r="E2990" s="20"/>
      <c r="F2990" s="20"/>
      <c r="G2990" s="20"/>
      <c r="H2990" s="20"/>
      <c r="I2990" s="20"/>
      <c r="J2990" s="20"/>
      <c r="K2990" s="20"/>
      <c r="L2990" s="20"/>
      <c r="M2990" s="20"/>
      <c r="N2990" s="20"/>
      <c r="O2990" s="20"/>
      <c r="P2990" s="20"/>
      <c r="Q2990" s="20"/>
      <c r="R2990" s="20"/>
      <c r="S2990" s="20"/>
      <c r="T2990" s="20"/>
      <c r="U2990" s="20"/>
      <c r="V2990" s="20"/>
      <c r="W2990" s="20"/>
      <c r="X2990" s="20"/>
      <c r="Y2990" s="20"/>
      <c r="Z2990" s="20"/>
      <c r="AA2990" s="20"/>
      <c r="AB2990" s="20"/>
      <c r="AC2990" s="20"/>
      <c r="AD2990" s="20"/>
      <c r="AE2990" s="20"/>
      <c r="AF2990" s="20"/>
      <c r="AG2990" s="20"/>
      <c r="AH2990" s="20"/>
      <c r="AI2990" s="20"/>
      <c r="AJ2990" s="20"/>
      <c r="AK2990" s="20"/>
      <c r="AL2990" s="20"/>
      <c r="AM2990" s="20"/>
      <c r="AN2990" s="20"/>
      <c r="AO2990" s="20"/>
    </row>
    <row r="2991" spans="1:41" s="15" customFormat="1" ht="14.25" x14ac:dyDescent="0.2">
      <c r="A2991" s="18" t="s">
        <v>1898</v>
      </c>
      <c r="B2991" s="19" t="s">
        <v>1899</v>
      </c>
      <c r="C2991" s="20"/>
      <c r="D2991" s="20"/>
      <c r="E2991" s="20"/>
      <c r="F2991" s="20"/>
      <c r="G2991" s="20"/>
      <c r="H2991" s="20"/>
      <c r="I2991" s="20">
        <v>62.71</v>
      </c>
      <c r="J2991" s="20">
        <v>62.71</v>
      </c>
      <c r="K2991" s="20">
        <v>691.52</v>
      </c>
      <c r="L2991" s="20">
        <v>691.52</v>
      </c>
      <c r="M2991" s="20">
        <v>691.52</v>
      </c>
      <c r="N2991" s="20">
        <v>1141.52</v>
      </c>
      <c r="O2991" s="20"/>
      <c r="P2991" s="20"/>
      <c r="Q2991" s="20"/>
      <c r="R2991" s="20"/>
      <c r="S2991" s="20"/>
      <c r="T2991" s="20"/>
      <c r="U2991" s="20">
        <v>83.9</v>
      </c>
      <c r="V2991" s="20">
        <v>83.9</v>
      </c>
      <c r="W2991" s="20">
        <v>83.9</v>
      </c>
      <c r="X2991" s="20">
        <v>83.9</v>
      </c>
      <c r="Y2991" s="20">
        <v>83.9</v>
      </c>
      <c r="Z2991" s="20">
        <v>83.9</v>
      </c>
      <c r="AA2991" s="20"/>
      <c r="AB2991" s="20"/>
      <c r="AC2991" s="20"/>
      <c r="AD2991" s="20"/>
      <c r="AE2991" s="20"/>
      <c r="AF2991" s="20"/>
      <c r="AG2991" s="20">
        <v>83.9</v>
      </c>
      <c r="AH2991" s="20">
        <v>83.9</v>
      </c>
      <c r="AI2991" s="20">
        <v>465.26</v>
      </c>
      <c r="AJ2991" s="20">
        <v>465.26</v>
      </c>
      <c r="AK2991" s="20">
        <v>846.62</v>
      </c>
      <c r="AL2991" s="20">
        <v>846.62</v>
      </c>
      <c r="AM2991" s="20"/>
      <c r="AN2991" s="20"/>
      <c r="AO2991" s="20"/>
    </row>
    <row r="2992" spans="1:41" s="15" customFormat="1" ht="14.25" x14ac:dyDescent="0.2">
      <c r="A2992" s="18">
        <v>45030110</v>
      </c>
      <c r="B2992" s="19" t="s">
        <v>831</v>
      </c>
      <c r="C2992" s="20"/>
      <c r="D2992" s="20"/>
      <c r="E2992" s="20"/>
      <c r="F2992" s="20"/>
      <c r="G2992" s="20"/>
      <c r="H2992" s="20"/>
      <c r="I2992" s="20"/>
      <c r="J2992" s="20"/>
      <c r="K2992" s="20"/>
      <c r="L2992" s="20"/>
      <c r="M2992" s="20"/>
      <c r="N2992" s="20"/>
      <c r="O2992" s="20"/>
      <c r="P2992" s="20"/>
      <c r="Q2992" s="20"/>
      <c r="R2992" s="20"/>
      <c r="S2992" s="20"/>
      <c r="T2992" s="20"/>
      <c r="U2992" s="20"/>
      <c r="V2992" s="20"/>
      <c r="W2992" s="20"/>
      <c r="X2992" s="20"/>
      <c r="Y2992" s="20"/>
      <c r="Z2992" s="20"/>
      <c r="AA2992" s="20"/>
      <c r="AB2992" s="20"/>
      <c r="AC2992" s="20"/>
      <c r="AD2992" s="20"/>
      <c r="AE2992" s="20"/>
      <c r="AF2992" s="20"/>
      <c r="AG2992" s="20"/>
      <c r="AH2992" s="20"/>
      <c r="AI2992" s="20"/>
      <c r="AJ2992" s="20"/>
      <c r="AK2992" s="20"/>
      <c r="AL2992" s="20"/>
      <c r="AM2992" s="20"/>
      <c r="AN2992" s="20"/>
      <c r="AO2992" s="20"/>
    </row>
    <row r="2993" spans="1:41" s="15" customFormat="1" ht="14.25" x14ac:dyDescent="0.2">
      <c r="A2993" s="18" t="s">
        <v>1900</v>
      </c>
      <c r="B2993" s="19" t="s">
        <v>1901</v>
      </c>
      <c r="C2993" s="20">
        <v>4197.46</v>
      </c>
      <c r="D2993" s="20">
        <v>8064.41</v>
      </c>
      <c r="E2993" s="20">
        <v>13469.5</v>
      </c>
      <c r="F2993" s="20">
        <v>18016.96</v>
      </c>
      <c r="G2993" s="20">
        <v>23574.59</v>
      </c>
      <c r="H2993" s="20">
        <v>26632.22</v>
      </c>
      <c r="I2993" s="20">
        <v>30939.85</v>
      </c>
      <c r="J2993" s="20">
        <v>35247.480000000003</v>
      </c>
      <c r="K2993" s="20">
        <v>41005.11</v>
      </c>
      <c r="L2993" s="20">
        <v>45312.74</v>
      </c>
      <c r="M2993" s="20">
        <v>49708</v>
      </c>
      <c r="N2993" s="20">
        <v>52838</v>
      </c>
      <c r="O2993" s="20">
        <v>3730</v>
      </c>
      <c r="P2993" s="20">
        <v>7145.26</v>
      </c>
      <c r="Q2993" s="20">
        <v>11832.89</v>
      </c>
      <c r="R2993" s="20">
        <v>17184.080000000002</v>
      </c>
      <c r="S2993" s="20">
        <v>22285.27</v>
      </c>
      <c r="T2993" s="20">
        <v>25786.46</v>
      </c>
      <c r="U2993" s="20">
        <v>34738.839999999997</v>
      </c>
      <c r="V2993" s="20">
        <v>38839.839999999997</v>
      </c>
      <c r="W2993" s="20">
        <v>46812.22</v>
      </c>
      <c r="X2993" s="20">
        <v>50313.41</v>
      </c>
      <c r="Y2993" s="20">
        <v>55743.41</v>
      </c>
      <c r="Z2993" s="20">
        <v>60515.79</v>
      </c>
      <c r="AA2993" s="20">
        <v>6321.19</v>
      </c>
      <c r="AB2993" s="20">
        <v>9822.0400000000009</v>
      </c>
      <c r="AC2993" s="20">
        <v>14543.23</v>
      </c>
      <c r="AD2993" s="20">
        <v>19264.419999999998</v>
      </c>
      <c r="AE2993" s="20">
        <v>23985.61</v>
      </c>
      <c r="AF2993" s="20">
        <v>28706.799999999999</v>
      </c>
      <c r="AG2993" s="20">
        <v>34677.99</v>
      </c>
      <c r="AH2993" s="20">
        <v>38649.18</v>
      </c>
      <c r="AI2993" s="20">
        <v>43868.67</v>
      </c>
      <c r="AJ2993" s="20">
        <v>48439.86</v>
      </c>
      <c r="AK2993" s="20">
        <v>55044.95</v>
      </c>
      <c r="AL2993" s="20">
        <v>56744.95</v>
      </c>
      <c r="AM2993" s="20">
        <v>4406.92</v>
      </c>
      <c r="AN2993" s="20">
        <v>10001.84</v>
      </c>
      <c r="AO2993" s="20">
        <v>18496.759999999998</v>
      </c>
    </row>
    <row r="2994" spans="1:41" s="15" customFormat="1" ht="14.25" x14ac:dyDescent="0.2">
      <c r="A2994" s="18" t="s">
        <v>1902</v>
      </c>
      <c r="B2994" s="19" t="s">
        <v>1903</v>
      </c>
      <c r="C2994" s="20">
        <v>763.63</v>
      </c>
      <c r="D2994" s="20">
        <v>2190.9</v>
      </c>
      <c r="E2994" s="20">
        <v>2930.9</v>
      </c>
      <c r="F2994" s="20">
        <v>3923.17</v>
      </c>
      <c r="G2994" s="20">
        <v>5213.63</v>
      </c>
      <c r="H2994" s="20">
        <v>7574.68</v>
      </c>
      <c r="I2994" s="20">
        <v>10142.86</v>
      </c>
      <c r="J2994" s="20">
        <v>13111.94</v>
      </c>
      <c r="K2994" s="20">
        <v>13757.4</v>
      </c>
      <c r="L2994" s="20">
        <v>15744.13</v>
      </c>
      <c r="M2994" s="20">
        <v>15835.04</v>
      </c>
      <c r="N2994" s="20">
        <v>17507.78</v>
      </c>
      <c r="O2994" s="20">
        <v>181.82</v>
      </c>
      <c r="P2994" s="20">
        <v>1000.01</v>
      </c>
      <c r="Q2994" s="20">
        <v>5018.1899999999996</v>
      </c>
      <c r="R2994" s="20">
        <v>6170.92</v>
      </c>
      <c r="S2994" s="20">
        <v>7583.29</v>
      </c>
      <c r="T2994" s="20">
        <v>8865.11</v>
      </c>
      <c r="U2994" s="20">
        <v>9265.11</v>
      </c>
      <c r="V2994" s="20">
        <v>10719.66</v>
      </c>
      <c r="W2994" s="20">
        <v>15765.12</v>
      </c>
      <c r="X2994" s="20">
        <v>17833.3</v>
      </c>
      <c r="Y2994" s="20">
        <v>17924.21</v>
      </c>
      <c r="Z2994" s="20">
        <v>19228.759999999998</v>
      </c>
      <c r="AA2994" s="20">
        <v>2081.81</v>
      </c>
      <c r="AB2994" s="20">
        <v>2445.4499999999998</v>
      </c>
      <c r="AC2994" s="20">
        <v>3100</v>
      </c>
      <c r="AD2994" s="20">
        <v>4254.54</v>
      </c>
      <c r="AE2994" s="20">
        <v>5254.55</v>
      </c>
      <c r="AF2994" s="20">
        <v>6409.09</v>
      </c>
      <c r="AG2994" s="20">
        <v>7059.09</v>
      </c>
      <c r="AH2994" s="20">
        <v>8877.27</v>
      </c>
      <c r="AI2994" s="20">
        <v>9690.91</v>
      </c>
      <c r="AJ2994" s="20">
        <v>9872.73</v>
      </c>
      <c r="AK2994" s="20">
        <v>10818.19</v>
      </c>
      <c r="AL2994" s="20">
        <v>11181.83</v>
      </c>
      <c r="AM2994" s="20">
        <v>1999.51</v>
      </c>
      <c r="AN2994" s="20">
        <v>2816.87</v>
      </c>
      <c r="AO2994" s="20">
        <v>9347.57</v>
      </c>
    </row>
    <row r="2995" spans="1:41" s="15" customFormat="1" ht="14.25" x14ac:dyDescent="0.2">
      <c r="A2995" s="18" t="s">
        <v>1904</v>
      </c>
      <c r="B2995" s="19" t="s">
        <v>1905</v>
      </c>
      <c r="C2995" s="20"/>
      <c r="D2995" s="20"/>
      <c r="E2995" s="20"/>
      <c r="F2995" s="20"/>
      <c r="G2995" s="20"/>
      <c r="H2995" s="20"/>
      <c r="I2995" s="20"/>
      <c r="J2995" s="20"/>
      <c r="K2995" s="20"/>
      <c r="L2995" s="20"/>
      <c r="M2995" s="20"/>
      <c r="N2995" s="20"/>
      <c r="O2995" s="20"/>
      <c r="P2995" s="20"/>
      <c r="Q2995" s="20"/>
      <c r="R2995" s="20"/>
      <c r="S2995" s="20"/>
      <c r="T2995" s="20"/>
      <c r="U2995" s="20"/>
      <c r="V2995" s="20"/>
      <c r="W2995" s="20"/>
      <c r="X2995" s="20"/>
      <c r="Y2995" s="20"/>
      <c r="Z2995" s="20"/>
      <c r="AA2995" s="20"/>
      <c r="AB2995" s="20"/>
      <c r="AC2995" s="20"/>
      <c r="AD2995" s="20"/>
      <c r="AE2995" s="20"/>
      <c r="AF2995" s="20"/>
      <c r="AG2995" s="20">
        <v>268.81</v>
      </c>
      <c r="AH2995" s="20">
        <v>861.4</v>
      </c>
      <c r="AI2995" s="20">
        <v>1229.49</v>
      </c>
      <c r="AJ2995" s="20">
        <v>1268.07</v>
      </c>
      <c r="AK2995" s="20">
        <v>1509.5</v>
      </c>
      <c r="AL2995" s="20">
        <v>1509.5</v>
      </c>
      <c r="AM2995" s="20">
        <v>350.53</v>
      </c>
      <c r="AN2995" s="20">
        <v>350.53</v>
      </c>
      <c r="AO2995" s="20">
        <v>350.53</v>
      </c>
    </row>
    <row r="2996" spans="1:41" s="15" customFormat="1" ht="14.25" x14ac:dyDescent="0.2">
      <c r="A2996" s="18">
        <v>45030111</v>
      </c>
      <c r="B2996" s="19" t="s">
        <v>832</v>
      </c>
      <c r="C2996" s="20"/>
      <c r="D2996" s="20"/>
      <c r="E2996" s="20"/>
      <c r="F2996" s="20"/>
      <c r="G2996" s="20"/>
      <c r="H2996" s="20"/>
      <c r="I2996" s="20"/>
      <c r="J2996" s="20"/>
      <c r="K2996" s="20"/>
      <c r="L2996" s="20"/>
      <c r="M2996" s="20"/>
      <c r="N2996" s="20"/>
      <c r="O2996" s="20"/>
      <c r="P2996" s="20"/>
      <c r="Q2996" s="20"/>
      <c r="R2996" s="20"/>
      <c r="S2996" s="20"/>
      <c r="T2996" s="20"/>
      <c r="U2996" s="20"/>
      <c r="V2996" s="20"/>
      <c r="W2996" s="20"/>
      <c r="X2996" s="20"/>
      <c r="Y2996" s="20"/>
      <c r="Z2996" s="20"/>
      <c r="AA2996" s="20"/>
      <c r="AB2996" s="20"/>
      <c r="AC2996" s="20"/>
      <c r="AD2996" s="20"/>
      <c r="AE2996" s="20"/>
      <c r="AF2996" s="20"/>
      <c r="AG2996" s="20"/>
      <c r="AH2996" s="20"/>
      <c r="AI2996" s="20"/>
      <c r="AJ2996" s="20"/>
      <c r="AK2996" s="20"/>
      <c r="AL2996" s="20"/>
      <c r="AM2996" s="20"/>
      <c r="AN2996" s="20"/>
      <c r="AO2996" s="20"/>
    </row>
    <row r="2997" spans="1:41" s="15" customFormat="1" ht="14.25" x14ac:dyDescent="0.2">
      <c r="A2997" s="18" t="s">
        <v>1906</v>
      </c>
      <c r="B2997" s="19" t="s">
        <v>1907</v>
      </c>
      <c r="C2997" s="20">
        <v>38032.31</v>
      </c>
      <c r="D2997" s="20">
        <v>89687.44</v>
      </c>
      <c r="E2997" s="20">
        <v>98110.78</v>
      </c>
      <c r="F2997" s="20">
        <v>140277.51999999999</v>
      </c>
      <c r="G2997" s="20">
        <v>150954.17000000001</v>
      </c>
      <c r="H2997" s="20">
        <v>182027.75</v>
      </c>
      <c r="I2997" s="20">
        <v>184975.29</v>
      </c>
      <c r="J2997" s="20">
        <v>191597.76</v>
      </c>
      <c r="K2997" s="20">
        <v>201941.92</v>
      </c>
      <c r="L2997" s="20">
        <v>219328.91</v>
      </c>
      <c r="M2997" s="20">
        <v>224774.62</v>
      </c>
      <c r="N2997" s="20">
        <v>239468.61</v>
      </c>
      <c r="O2997" s="20">
        <v>72287.61</v>
      </c>
      <c r="P2997" s="20">
        <v>93451.75</v>
      </c>
      <c r="Q2997" s="20">
        <v>119106.08</v>
      </c>
      <c r="R2997" s="20">
        <v>121535.88</v>
      </c>
      <c r="S2997" s="20">
        <v>124715.9</v>
      </c>
      <c r="T2997" s="20">
        <v>131338.35999999999</v>
      </c>
      <c r="U2997" s="20">
        <v>132248.13</v>
      </c>
      <c r="V2997" s="20">
        <v>136644.13</v>
      </c>
      <c r="W2997" s="20">
        <v>139612.22</v>
      </c>
      <c r="X2997" s="20">
        <v>142827.46</v>
      </c>
      <c r="Y2997" s="20">
        <v>145386.73000000001</v>
      </c>
      <c r="Z2997" s="20">
        <v>161791.51</v>
      </c>
      <c r="AA2997" s="20">
        <v>11203.06</v>
      </c>
      <c r="AB2997" s="20">
        <v>22268.54</v>
      </c>
      <c r="AC2997" s="20">
        <v>27568.14</v>
      </c>
      <c r="AD2997" s="20">
        <v>30204.85</v>
      </c>
      <c r="AE2997" s="20">
        <v>32439.63</v>
      </c>
      <c r="AF2997" s="20">
        <v>48367.51</v>
      </c>
      <c r="AG2997" s="20">
        <v>57601.91</v>
      </c>
      <c r="AH2997" s="20">
        <v>83400.759999999995</v>
      </c>
      <c r="AI2997" s="20">
        <v>132297.32999999999</v>
      </c>
      <c r="AJ2997" s="20">
        <v>156835.95000000001</v>
      </c>
      <c r="AK2997" s="20">
        <v>175601.39</v>
      </c>
      <c r="AL2997" s="20">
        <v>185419.63</v>
      </c>
      <c r="AM2997" s="20">
        <v>13377.09</v>
      </c>
      <c r="AN2997" s="20">
        <v>41090.61</v>
      </c>
      <c r="AO2997" s="20">
        <v>79370.41</v>
      </c>
    </row>
    <row r="2998" spans="1:41" s="15" customFormat="1" ht="14.25" x14ac:dyDescent="0.2">
      <c r="A2998" s="18" t="s">
        <v>1908</v>
      </c>
      <c r="B2998" s="19" t="s">
        <v>1909</v>
      </c>
      <c r="C2998" s="20">
        <v>105</v>
      </c>
      <c r="D2998" s="20">
        <v>111</v>
      </c>
      <c r="E2998" s="20">
        <v>146</v>
      </c>
      <c r="F2998" s="20">
        <v>236</v>
      </c>
      <c r="G2998" s="20">
        <v>2206.17</v>
      </c>
      <c r="H2998" s="20">
        <v>2206.17</v>
      </c>
      <c r="I2998" s="20">
        <v>3680.73</v>
      </c>
      <c r="J2998" s="20">
        <v>3705.73</v>
      </c>
      <c r="K2998" s="20">
        <v>9837.94</v>
      </c>
      <c r="L2998" s="20">
        <v>10552.96</v>
      </c>
      <c r="M2998" s="20">
        <v>11317.27</v>
      </c>
      <c r="N2998" s="20">
        <v>11317.27</v>
      </c>
      <c r="O2998" s="20">
        <v>315</v>
      </c>
      <c r="P2998" s="20">
        <v>20681.98</v>
      </c>
      <c r="Q2998" s="20">
        <v>21030.78</v>
      </c>
      <c r="R2998" s="20">
        <v>21030.78</v>
      </c>
      <c r="S2998" s="20">
        <v>21065.78</v>
      </c>
      <c r="T2998" s="20">
        <v>21270.78</v>
      </c>
      <c r="U2998" s="20">
        <v>22737.64</v>
      </c>
      <c r="V2998" s="20">
        <v>22866.45</v>
      </c>
      <c r="W2998" s="20">
        <v>22866.45</v>
      </c>
      <c r="X2998" s="20">
        <v>23908.400000000001</v>
      </c>
      <c r="Y2998" s="20">
        <v>50231.62</v>
      </c>
      <c r="Z2998" s="20">
        <v>50231.62</v>
      </c>
      <c r="AA2998" s="20">
        <v>101.69</v>
      </c>
      <c r="AB2998" s="20">
        <v>2745.77</v>
      </c>
      <c r="AC2998" s="20">
        <v>6998.32</v>
      </c>
      <c r="AD2998" s="20">
        <v>10158.620000000001</v>
      </c>
      <c r="AE2998" s="20">
        <v>13435.19</v>
      </c>
      <c r="AF2998" s="20">
        <v>14791.12</v>
      </c>
      <c r="AG2998" s="20">
        <v>15078.24</v>
      </c>
      <c r="AH2998" s="20">
        <v>16298.24</v>
      </c>
      <c r="AI2998" s="20">
        <v>19278.189999999999</v>
      </c>
      <c r="AJ2998" s="20">
        <v>19816.189999999999</v>
      </c>
      <c r="AK2998" s="20">
        <v>20759.16</v>
      </c>
      <c r="AL2998" s="20">
        <v>21679.16</v>
      </c>
      <c r="AM2998" s="20">
        <v>1590.47</v>
      </c>
      <c r="AN2998" s="20">
        <v>2089.46</v>
      </c>
      <c r="AO2998" s="20">
        <v>3530.14</v>
      </c>
    </row>
    <row r="2999" spans="1:41" s="15" customFormat="1" ht="14.25" x14ac:dyDescent="0.2">
      <c r="A2999" s="18" t="s">
        <v>1910</v>
      </c>
      <c r="B2999" s="19" t="s">
        <v>1911</v>
      </c>
      <c r="C2999" s="20">
        <v>6964.3</v>
      </c>
      <c r="D2999" s="20">
        <v>10482.94</v>
      </c>
      <c r="E2999" s="20">
        <v>19559.45</v>
      </c>
      <c r="F2999" s="20">
        <v>27810.720000000001</v>
      </c>
      <c r="G2999" s="20">
        <v>40835.760000000002</v>
      </c>
      <c r="H2999" s="20">
        <v>49221.98</v>
      </c>
      <c r="I2999" s="20">
        <v>51246.05</v>
      </c>
      <c r="J2999" s="20">
        <v>53143.46</v>
      </c>
      <c r="K2999" s="20">
        <v>73297.850000000006</v>
      </c>
      <c r="L2999" s="20">
        <v>78481.52</v>
      </c>
      <c r="M2999" s="20">
        <v>82939.81</v>
      </c>
      <c r="N2999" s="20">
        <v>98949.2</v>
      </c>
      <c r="O2999" s="20">
        <v>2526.6799999999998</v>
      </c>
      <c r="P2999" s="20">
        <v>8062.81</v>
      </c>
      <c r="Q2999" s="20">
        <v>13168.26</v>
      </c>
      <c r="R2999" s="20">
        <v>18823.060000000001</v>
      </c>
      <c r="S2999" s="20">
        <v>29209.61</v>
      </c>
      <c r="T2999" s="20">
        <v>43665.279999999999</v>
      </c>
      <c r="U2999" s="20">
        <v>44133.08</v>
      </c>
      <c r="V2999" s="20">
        <v>56338.34</v>
      </c>
      <c r="W2999" s="20">
        <v>72478.850000000006</v>
      </c>
      <c r="X2999" s="20">
        <v>79926.210000000006</v>
      </c>
      <c r="Y2999" s="20">
        <v>83248.23</v>
      </c>
      <c r="Z2999" s="20">
        <v>99298.47</v>
      </c>
      <c r="AA2999" s="20">
        <v>1691.02</v>
      </c>
      <c r="AB2999" s="20">
        <v>7336.78</v>
      </c>
      <c r="AC2999" s="20">
        <v>11298.55</v>
      </c>
      <c r="AD2999" s="20">
        <v>21152.880000000001</v>
      </c>
      <c r="AE2999" s="20">
        <v>24970.35</v>
      </c>
      <c r="AF2999" s="20">
        <v>28982.94</v>
      </c>
      <c r="AG2999" s="20">
        <v>45938.95</v>
      </c>
      <c r="AH2999" s="20">
        <v>60246.75</v>
      </c>
      <c r="AI2999" s="20">
        <v>100376.82</v>
      </c>
      <c r="AJ2999" s="20">
        <v>106525.75</v>
      </c>
      <c r="AK2999" s="20">
        <v>116676.39</v>
      </c>
      <c r="AL2999" s="20">
        <v>123673.21</v>
      </c>
      <c r="AM2999" s="20">
        <v>13846.26</v>
      </c>
      <c r="AN2999" s="20">
        <v>25917.49</v>
      </c>
      <c r="AO2999" s="20">
        <v>37180.910000000003</v>
      </c>
    </row>
    <row r="3000" spans="1:41" s="15" customFormat="1" ht="14.25" x14ac:dyDescent="0.2">
      <c r="A3000" s="18" t="s">
        <v>1912</v>
      </c>
      <c r="B3000" s="19" t="s">
        <v>1913</v>
      </c>
      <c r="C3000" s="20">
        <v>11853.29</v>
      </c>
      <c r="D3000" s="20">
        <v>50704.02</v>
      </c>
      <c r="E3000" s="20">
        <v>65906.149999999994</v>
      </c>
      <c r="F3000" s="20">
        <v>100664.12</v>
      </c>
      <c r="G3000" s="20">
        <v>122088.54</v>
      </c>
      <c r="H3000" s="20">
        <v>138817.82999999999</v>
      </c>
      <c r="I3000" s="20">
        <v>187677.62</v>
      </c>
      <c r="J3000" s="20">
        <v>218421.05</v>
      </c>
      <c r="K3000" s="20">
        <v>247463.13</v>
      </c>
      <c r="L3000" s="20">
        <v>254503.35</v>
      </c>
      <c r="M3000" s="20">
        <v>275277.2</v>
      </c>
      <c r="N3000" s="20">
        <v>304566.07</v>
      </c>
      <c r="O3000" s="20">
        <v>5622.32</v>
      </c>
      <c r="P3000" s="20">
        <v>27216.11</v>
      </c>
      <c r="Q3000" s="20">
        <v>49826.83</v>
      </c>
      <c r="R3000" s="20">
        <v>58093.15</v>
      </c>
      <c r="S3000" s="20">
        <v>64595.5</v>
      </c>
      <c r="T3000" s="20">
        <v>79162.5</v>
      </c>
      <c r="U3000" s="20">
        <v>87398.38</v>
      </c>
      <c r="V3000" s="20">
        <v>108832.79</v>
      </c>
      <c r="W3000" s="20">
        <v>123647.73</v>
      </c>
      <c r="X3000" s="20">
        <v>138092.41</v>
      </c>
      <c r="Y3000" s="20">
        <v>165657.04</v>
      </c>
      <c r="Z3000" s="20">
        <v>172164.04</v>
      </c>
      <c r="AA3000" s="20">
        <v>5168.63</v>
      </c>
      <c r="AB3000" s="20">
        <v>22200.29</v>
      </c>
      <c r="AC3000" s="20">
        <v>27226.42</v>
      </c>
      <c r="AD3000" s="20">
        <v>34452.03</v>
      </c>
      <c r="AE3000" s="20">
        <v>40900.06</v>
      </c>
      <c r="AF3000" s="20">
        <v>58613.27</v>
      </c>
      <c r="AG3000" s="20">
        <v>63310.52</v>
      </c>
      <c r="AH3000" s="20">
        <v>83563.649999999994</v>
      </c>
      <c r="AI3000" s="20">
        <v>96832.42</v>
      </c>
      <c r="AJ3000" s="20">
        <v>113596.83</v>
      </c>
      <c r="AK3000" s="20">
        <v>126405.64</v>
      </c>
      <c r="AL3000" s="20">
        <v>133474.72</v>
      </c>
      <c r="AM3000" s="20">
        <v>3006.39</v>
      </c>
      <c r="AN3000" s="20">
        <v>16374.13</v>
      </c>
      <c r="AO3000" s="20">
        <v>26420.46</v>
      </c>
    </row>
    <row r="3001" spans="1:41" s="15" customFormat="1" ht="14.25" x14ac:dyDescent="0.2">
      <c r="A3001" s="18" t="s">
        <v>1914</v>
      </c>
      <c r="B3001" s="19" t="s">
        <v>1915</v>
      </c>
      <c r="C3001" s="20"/>
      <c r="D3001" s="20"/>
      <c r="E3001" s="20"/>
      <c r="F3001" s="20"/>
      <c r="G3001" s="20"/>
      <c r="H3001" s="20">
        <v>26</v>
      </c>
      <c r="I3001" s="20">
        <v>26</v>
      </c>
      <c r="J3001" s="20">
        <v>26</v>
      </c>
      <c r="K3001" s="20">
        <v>26</v>
      </c>
      <c r="L3001" s="20">
        <v>26</v>
      </c>
      <c r="M3001" s="20">
        <v>109.05</v>
      </c>
      <c r="N3001" s="20">
        <v>167.1</v>
      </c>
      <c r="O3001" s="20">
        <v>55.93</v>
      </c>
      <c r="P3001" s="20">
        <v>55.93</v>
      </c>
      <c r="Q3001" s="20">
        <v>55.93</v>
      </c>
      <c r="R3001" s="20">
        <v>55.93</v>
      </c>
      <c r="S3001" s="20">
        <v>55.93</v>
      </c>
      <c r="T3001" s="20">
        <v>55.93</v>
      </c>
      <c r="U3001" s="20">
        <v>193.22</v>
      </c>
      <c r="V3001" s="20">
        <v>193.22</v>
      </c>
      <c r="W3001" s="20">
        <v>193.22</v>
      </c>
      <c r="X3001" s="20">
        <v>193.22</v>
      </c>
      <c r="Y3001" s="20">
        <v>193.22</v>
      </c>
      <c r="Z3001" s="20">
        <v>193.22</v>
      </c>
      <c r="AA3001" s="20">
        <v>1</v>
      </c>
      <c r="AB3001" s="20">
        <v>1</v>
      </c>
      <c r="AC3001" s="20">
        <v>4323.03</v>
      </c>
      <c r="AD3001" s="20">
        <v>4323.03</v>
      </c>
      <c r="AE3001" s="20">
        <v>4323.03</v>
      </c>
      <c r="AF3001" s="20">
        <v>4492.5200000000004</v>
      </c>
      <c r="AG3001" s="20">
        <v>4546.76</v>
      </c>
      <c r="AH3001" s="20">
        <v>4546.76</v>
      </c>
      <c r="AI3001" s="20">
        <v>4546.76</v>
      </c>
      <c r="AJ3001" s="20">
        <v>4546.76</v>
      </c>
      <c r="AK3001" s="20">
        <v>4546.76</v>
      </c>
      <c r="AL3001" s="20">
        <v>4565.76</v>
      </c>
      <c r="AM3001" s="20"/>
      <c r="AN3001" s="20"/>
      <c r="AO3001" s="20"/>
    </row>
    <row r="3002" spans="1:41" s="15" customFormat="1" ht="14.25" x14ac:dyDescent="0.2">
      <c r="A3002" s="18" t="s">
        <v>1916</v>
      </c>
      <c r="B3002" s="19" t="s">
        <v>1917</v>
      </c>
      <c r="C3002" s="20">
        <v>1655.78</v>
      </c>
      <c r="D3002" s="20">
        <v>4199.62</v>
      </c>
      <c r="E3002" s="20">
        <v>5496.05</v>
      </c>
      <c r="F3002" s="20">
        <v>7502.54</v>
      </c>
      <c r="G3002" s="20">
        <v>8875.6</v>
      </c>
      <c r="H3002" s="20">
        <v>17536.14</v>
      </c>
      <c r="I3002" s="20">
        <v>20981.54</v>
      </c>
      <c r="J3002" s="20">
        <v>23460.92</v>
      </c>
      <c r="K3002" s="20">
        <v>31759.14</v>
      </c>
      <c r="L3002" s="20">
        <v>32194.04</v>
      </c>
      <c r="M3002" s="20">
        <v>33646.86</v>
      </c>
      <c r="N3002" s="20">
        <v>36343.72</v>
      </c>
      <c r="O3002" s="20">
        <v>1120.99</v>
      </c>
      <c r="P3002" s="20">
        <v>2116.83</v>
      </c>
      <c r="Q3002" s="20">
        <v>2892.65</v>
      </c>
      <c r="R3002" s="20">
        <v>4342.32</v>
      </c>
      <c r="S3002" s="20">
        <v>5699.28</v>
      </c>
      <c r="T3002" s="20">
        <v>6368.88</v>
      </c>
      <c r="U3002" s="20">
        <v>8672.48</v>
      </c>
      <c r="V3002" s="20">
        <v>9823.44</v>
      </c>
      <c r="W3002" s="20">
        <v>10807.88</v>
      </c>
      <c r="X3002" s="20">
        <v>11850.25</v>
      </c>
      <c r="Y3002" s="20">
        <v>12991.65</v>
      </c>
      <c r="Z3002" s="20">
        <v>13786.25</v>
      </c>
      <c r="AA3002" s="20">
        <v>1126.4000000000001</v>
      </c>
      <c r="AB3002" s="20">
        <v>2270.36</v>
      </c>
      <c r="AC3002" s="20">
        <v>3408.13</v>
      </c>
      <c r="AD3002" s="20">
        <v>17724.66</v>
      </c>
      <c r="AE3002" s="20">
        <v>18775.61</v>
      </c>
      <c r="AF3002" s="20">
        <v>19530.63</v>
      </c>
      <c r="AG3002" s="20">
        <v>19960.43</v>
      </c>
      <c r="AH3002" s="20">
        <v>20436.23</v>
      </c>
      <c r="AI3002" s="20">
        <v>21191.119999999999</v>
      </c>
      <c r="AJ3002" s="20">
        <v>26551.02</v>
      </c>
      <c r="AK3002" s="20">
        <v>27314.63</v>
      </c>
      <c r="AL3002" s="20">
        <v>27786.39</v>
      </c>
      <c r="AM3002" s="20">
        <v>765.89</v>
      </c>
      <c r="AN3002" s="20">
        <v>1350.93</v>
      </c>
      <c r="AO3002" s="20">
        <v>1494.61</v>
      </c>
    </row>
    <row r="3003" spans="1:41" s="15" customFormat="1" ht="14.25" x14ac:dyDescent="0.2">
      <c r="A3003" s="18" t="s">
        <v>1918</v>
      </c>
      <c r="B3003" s="19" t="s">
        <v>1919</v>
      </c>
      <c r="C3003" s="20">
        <v>4113.6499999999996</v>
      </c>
      <c r="D3003" s="20">
        <v>8396.61</v>
      </c>
      <c r="E3003" s="20">
        <v>9216.9599999999991</v>
      </c>
      <c r="F3003" s="20">
        <v>11660.54</v>
      </c>
      <c r="G3003" s="20">
        <v>14705.72</v>
      </c>
      <c r="H3003" s="20">
        <v>18377.75</v>
      </c>
      <c r="I3003" s="20">
        <v>19323.59</v>
      </c>
      <c r="J3003" s="20">
        <v>22311.38</v>
      </c>
      <c r="K3003" s="20">
        <v>23227.8</v>
      </c>
      <c r="L3003" s="20">
        <v>23380.34</v>
      </c>
      <c r="M3003" s="20">
        <v>23380.34</v>
      </c>
      <c r="N3003" s="20">
        <v>23380.34</v>
      </c>
      <c r="O3003" s="20">
        <v>3787.66</v>
      </c>
      <c r="P3003" s="20">
        <v>3787.66</v>
      </c>
      <c r="Q3003" s="20">
        <v>3787.66</v>
      </c>
      <c r="R3003" s="20">
        <v>78282.53</v>
      </c>
      <c r="S3003" s="20">
        <v>79893.55</v>
      </c>
      <c r="T3003" s="20">
        <v>103297.44</v>
      </c>
      <c r="U3003" s="20">
        <v>107434.73</v>
      </c>
      <c r="V3003" s="20">
        <v>118431.34</v>
      </c>
      <c r="W3003" s="20">
        <v>129967.05</v>
      </c>
      <c r="X3003" s="20">
        <v>156600</v>
      </c>
      <c r="Y3003" s="20">
        <v>178197</v>
      </c>
      <c r="Z3003" s="20">
        <v>186807.17</v>
      </c>
      <c r="AA3003" s="20">
        <v>5569.74</v>
      </c>
      <c r="AB3003" s="20">
        <v>14204.1</v>
      </c>
      <c r="AC3003" s="20">
        <v>15617.23</v>
      </c>
      <c r="AD3003" s="20">
        <v>51450.8</v>
      </c>
      <c r="AE3003" s="20">
        <v>54753.5</v>
      </c>
      <c r="AF3003" s="20">
        <v>62596.72</v>
      </c>
      <c r="AG3003" s="20">
        <v>65200.11</v>
      </c>
      <c r="AH3003" s="20">
        <v>68126.39</v>
      </c>
      <c r="AI3003" s="20">
        <v>70870.41</v>
      </c>
      <c r="AJ3003" s="20">
        <v>71776.17</v>
      </c>
      <c r="AK3003" s="20">
        <v>71927.02</v>
      </c>
      <c r="AL3003" s="20">
        <v>78910.070000000007</v>
      </c>
      <c r="AM3003" s="20">
        <v>25378.94</v>
      </c>
      <c r="AN3003" s="20">
        <v>35794.76</v>
      </c>
      <c r="AO3003" s="20">
        <v>40400.559999999998</v>
      </c>
    </row>
    <row r="3004" spans="1:41" s="15" customFormat="1" ht="14.25" x14ac:dyDescent="0.2">
      <c r="A3004" s="18" t="s">
        <v>1920</v>
      </c>
      <c r="B3004" s="19" t="s">
        <v>1921</v>
      </c>
      <c r="C3004" s="20">
        <v>2695.95</v>
      </c>
      <c r="D3004" s="20">
        <v>10787.4</v>
      </c>
      <c r="E3004" s="20">
        <v>12429.94</v>
      </c>
      <c r="F3004" s="20">
        <v>15312.46</v>
      </c>
      <c r="G3004" s="20">
        <v>25621.23</v>
      </c>
      <c r="H3004" s="20">
        <v>32819.25</v>
      </c>
      <c r="I3004" s="20">
        <v>41051.86</v>
      </c>
      <c r="J3004" s="20">
        <v>48753.45</v>
      </c>
      <c r="K3004" s="20">
        <v>57547.85</v>
      </c>
      <c r="L3004" s="20">
        <v>60136.44</v>
      </c>
      <c r="M3004" s="20">
        <v>63583.95</v>
      </c>
      <c r="N3004" s="20">
        <v>64371.55</v>
      </c>
      <c r="O3004" s="20">
        <v>171.6</v>
      </c>
      <c r="P3004" s="20">
        <v>2270.3200000000002</v>
      </c>
      <c r="Q3004" s="20">
        <v>6856.55</v>
      </c>
      <c r="R3004" s="20">
        <v>9336.81</v>
      </c>
      <c r="S3004" s="20">
        <v>27853.15</v>
      </c>
      <c r="T3004" s="20">
        <v>30609.17</v>
      </c>
      <c r="U3004" s="20">
        <v>31677.81</v>
      </c>
      <c r="V3004" s="20">
        <v>33726.629999999997</v>
      </c>
      <c r="W3004" s="20">
        <v>35451.129999999997</v>
      </c>
      <c r="X3004" s="20">
        <v>38221.339999999997</v>
      </c>
      <c r="Y3004" s="20">
        <v>42877.33</v>
      </c>
      <c r="Z3004" s="20">
        <v>44557.13</v>
      </c>
      <c r="AA3004" s="20">
        <v>159.03</v>
      </c>
      <c r="AB3004" s="20">
        <v>1567.77</v>
      </c>
      <c r="AC3004" s="20">
        <v>2703.55</v>
      </c>
      <c r="AD3004" s="20">
        <v>5841.19</v>
      </c>
      <c r="AE3004" s="20">
        <v>9175.59</v>
      </c>
      <c r="AF3004" s="20">
        <v>11720.17</v>
      </c>
      <c r="AG3004" s="20">
        <v>18928.98</v>
      </c>
      <c r="AH3004" s="20">
        <v>19661.32</v>
      </c>
      <c r="AI3004" s="20">
        <v>21854.52</v>
      </c>
      <c r="AJ3004" s="20">
        <v>23598.95</v>
      </c>
      <c r="AK3004" s="20">
        <v>24566.31</v>
      </c>
      <c r="AL3004" s="20">
        <v>25899.63</v>
      </c>
      <c r="AM3004" s="20">
        <v>17966.88</v>
      </c>
      <c r="AN3004" s="20">
        <v>28625.74</v>
      </c>
      <c r="AO3004" s="20">
        <v>63413.54</v>
      </c>
    </row>
    <row r="3005" spans="1:41" s="15" customFormat="1" ht="14.25" x14ac:dyDescent="0.2">
      <c r="A3005" s="18" t="s">
        <v>1922</v>
      </c>
      <c r="B3005" s="19" t="s">
        <v>1484</v>
      </c>
      <c r="C3005" s="20">
        <v>118.64</v>
      </c>
      <c r="D3005" s="20">
        <v>118.64</v>
      </c>
      <c r="E3005" s="20">
        <v>118.64</v>
      </c>
      <c r="F3005" s="20">
        <v>118.64</v>
      </c>
      <c r="G3005" s="20">
        <v>118.64</v>
      </c>
      <c r="H3005" s="20">
        <v>118.64</v>
      </c>
      <c r="I3005" s="20">
        <v>45666.09</v>
      </c>
      <c r="J3005" s="20">
        <v>72941.960000000006</v>
      </c>
      <c r="K3005" s="20">
        <v>74708.06</v>
      </c>
      <c r="L3005" s="20">
        <v>74991.960000000006</v>
      </c>
      <c r="M3005" s="20">
        <v>74991.960000000006</v>
      </c>
      <c r="N3005" s="20">
        <v>75271.62</v>
      </c>
      <c r="O3005" s="20"/>
      <c r="P3005" s="20"/>
      <c r="Q3005" s="20"/>
      <c r="R3005" s="20"/>
      <c r="S3005" s="20"/>
      <c r="T3005" s="20"/>
      <c r="U3005" s="20">
        <v>6084.97</v>
      </c>
      <c r="V3005" s="20">
        <v>19847.169999999998</v>
      </c>
      <c r="W3005" s="20">
        <v>30427.55</v>
      </c>
      <c r="X3005" s="20">
        <v>37298.29</v>
      </c>
      <c r="Y3005" s="20">
        <v>50947.95</v>
      </c>
      <c r="Z3005" s="20">
        <v>53782.97</v>
      </c>
      <c r="AA3005" s="20">
        <v>6364.56</v>
      </c>
      <c r="AB3005" s="20">
        <v>18513.77</v>
      </c>
      <c r="AC3005" s="20">
        <v>35451.42</v>
      </c>
      <c r="AD3005" s="20">
        <v>45060.55</v>
      </c>
      <c r="AE3005" s="20">
        <v>56284.4</v>
      </c>
      <c r="AF3005" s="20">
        <v>61315.05</v>
      </c>
      <c r="AG3005" s="20">
        <v>62799.839999999997</v>
      </c>
      <c r="AH3005" s="20">
        <v>81362.7</v>
      </c>
      <c r="AI3005" s="20">
        <v>118521.11</v>
      </c>
      <c r="AJ3005" s="20">
        <v>134571.76999999999</v>
      </c>
      <c r="AK3005" s="20">
        <v>136479.17000000001</v>
      </c>
      <c r="AL3005" s="20">
        <v>141712.48000000001</v>
      </c>
      <c r="AM3005" s="20">
        <v>775.42</v>
      </c>
      <c r="AN3005" s="20">
        <v>18187.490000000002</v>
      </c>
      <c r="AO3005" s="20">
        <v>21103.49</v>
      </c>
    </row>
    <row r="3006" spans="1:41" s="15" customFormat="1" ht="14.25" x14ac:dyDescent="0.2">
      <c r="A3006" s="18" t="s">
        <v>1923</v>
      </c>
      <c r="B3006" s="19" t="s">
        <v>1924</v>
      </c>
      <c r="C3006" s="20">
        <v>630</v>
      </c>
      <c r="D3006" s="20">
        <v>5841.22</v>
      </c>
      <c r="E3006" s="20">
        <v>5841.22</v>
      </c>
      <c r="F3006" s="20">
        <v>6985.34</v>
      </c>
      <c r="G3006" s="20">
        <v>6985.34</v>
      </c>
      <c r="H3006" s="20">
        <v>6985.34</v>
      </c>
      <c r="I3006" s="20">
        <v>6985.34</v>
      </c>
      <c r="J3006" s="20">
        <v>6985.34</v>
      </c>
      <c r="K3006" s="20">
        <v>7027.94</v>
      </c>
      <c r="L3006" s="20">
        <v>7067.34</v>
      </c>
      <c r="M3006" s="20">
        <v>7067.34</v>
      </c>
      <c r="N3006" s="20">
        <v>7067.34</v>
      </c>
      <c r="O3006" s="20"/>
      <c r="P3006" s="20"/>
      <c r="Q3006" s="20"/>
      <c r="R3006" s="20"/>
      <c r="S3006" s="20"/>
      <c r="T3006" s="20"/>
      <c r="U3006" s="20"/>
      <c r="V3006" s="20"/>
      <c r="W3006" s="20"/>
      <c r="X3006" s="20"/>
      <c r="Y3006" s="20"/>
      <c r="Z3006" s="20"/>
      <c r="AA3006" s="20"/>
      <c r="AB3006" s="20"/>
      <c r="AC3006" s="20"/>
      <c r="AD3006" s="20"/>
      <c r="AE3006" s="20"/>
      <c r="AF3006" s="20"/>
      <c r="AG3006" s="20"/>
      <c r="AH3006" s="20"/>
      <c r="AI3006" s="20"/>
      <c r="AJ3006" s="20"/>
      <c r="AK3006" s="20"/>
      <c r="AL3006" s="20"/>
      <c r="AM3006" s="20"/>
      <c r="AN3006" s="20"/>
      <c r="AO3006" s="20"/>
    </row>
    <row r="3007" spans="1:41" s="15" customFormat="1" ht="14.25" x14ac:dyDescent="0.2">
      <c r="A3007" s="18" t="s">
        <v>1925</v>
      </c>
      <c r="B3007" s="19" t="s">
        <v>1926</v>
      </c>
      <c r="C3007" s="20"/>
      <c r="D3007" s="20"/>
      <c r="E3007" s="20"/>
      <c r="F3007" s="20"/>
      <c r="G3007" s="20"/>
      <c r="H3007" s="20"/>
      <c r="I3007" s="20"/>
      <c r="J3007" s="20"/>
      <c r="K3007" s="20"/>
      <c r="L3007" s="20"/>
      <c r="M3007" s="20"/>
      <c r="N3007" s="20"/>
      <c r="O3007" s="20"/>
      <c r="P3007" s="20"/>
      <c r="Q3007" s="20"/>
      <c r="R3007" s="20"/>
      <c r="S3007" s="20"/>
      <c r="T3007" s="20"/>
      <c r="U3007" s="20">
        <v>248.04</v>
      </c>
      <c r="V3007" s="20">
        <v>4472.2</v>
      </c>
      <c r="W3007" s="20">
        <v>8251.08</v>
      </c>
      <c r="X3007" s="20">
        <v>8506.33</v>
      </c>
      <c r="Y3007" s="20">
        <v>12145.93</v>
      </c>
      <c r="Z3007" s="20">
        <v>13155.93</v>
      </c>
      <c r="AA3007" s="20">
        <v>11548.22</v>
      </c>
      <c r="AB3007" s="20">
        <v>14576.42</v>
      </c>
      <c r="AC3007" s="20">
        <v>22398.37</v>
      </c>
      <c r="AD3007" s="20">
        <v>24503.43</v>
      </c>
      <c r="AE3007" s="20">
        <v>25445.37</v>
      </c>
      <c r="AF3007" s="20">
        <v>27053.17</v>
      </c>
      <c r="AG3007" s="20">
        <v>27831.97</v>
      </c>
      <c r="AH3007" s="20">
        <v>28386.62</v>
      </c>
      <c r="AI3007" s="20">
        <v>28420.86</v>
      </c>
      <c r="AJ3007" s="20">
        <v>43899.33</v>
      </c>
      <c r="AK3007" s="20">
        <v>44383.05</v>
      </c>
      <c r="AL3007" s="20">
        <v>44383.05</v>
      </c>
      <c r="AM3007" s="20"/>
      <c r="AN3007" s="20">
        <v>148.22</v>
      </c>
      <c r="AO3007" s="20">
        <v>148.22</v>
      </c>
    </row>
    <row r="3008" spans="1:41" s="15" customFormat="1" ht="14.25" x14ac:dyDescent="0.2">
      <c r="A3008" s="18" t="s">
        <v>1927</v>
      </c>
      <c r="B3008" s="19" t="s">
        <v>1928</v>
      </c>
      <c r="C3008" s="20"/>
      <c r="D3008" s="20"/>
      <c r="E3008" s="20"/>
      <c r="F3008" s="20"/>
      <c r="G3008" s="20"/>
      <c r="H3008" s="20"/>
      <c r="I3008" s="20"/>
      <c r="J3008" s="20"/>
      <c r="K3008" s="20"/>
      <c r="L3008" s="20"/>
      <c r="M3008" s="20"/>
      <c r="N3008" s="20"/>
      <c r="O3008" s="20"/>
      <c r="P3008" s="20"/>
      <c r="Q3008" s="20"/>
      <c r="R3008" s="20"/>
      <c r="S3008" s="20"/>
      <c r="T3008" s="20"/>
      <c r="U3008" s="20"/>
      <c r="V3008" s="20"/>
      <c r="W3008" s="20"/>
      <c r="X3008" s="20"/>
      <c r="Y3008" s="20">
        <v>48712.32</v>
      </c>
      <c r="Z3008" s="20">
        <v>49559.78</v>
      </c>
      <c r="AA3008" s="20">
        <v>56641.02</v>
      </c>
      <c r="AB3008" s="20">
        <v>93501.19</v>
      </c>
      <c r="AC3008" s="20">
        <v>103879.16</v>
      </c>
      <c r="AD3008" s="20">
        <v>112536.79</v>
      </c>
      <c r="AE3008" s="20">
        <v>121143.14</v>
      </c>
      <c r="AF3008" s="20">
        <v>187696.38</v>
      </c>
      <c r="AG3008" s="20">
        <v>198796.21</v>
      </c>
      <c r="AH3008" s="20">
        <v>253327.74</v>
      </c>
      <c r="AI3008" s="20">
        <v>298776.03000000003</v>
      </c>
      <c r="AJ3008" s="20">
        <v>323296.5</v>
      </c>
      <c r="AK3008" s="20">
        <v>360538.17</v>
      </c>
      <c r="AL3008" s="20">
        <v>366996.63</v>
      </c>
      <c r="AM3008" s="20"/>
      <c r="AN3008" s="20"/>
      <c r="AO3008" s="20"/>
    </row>
    <row r="3009" spans="1:41" s="15" customFormat="1" ht="14.25" x14ac:dyDescent="0.2">
      <c r="A3009" s="18" t="s">
        <v>1929</v>
      </c>
      <c r="B3009" s="19" t="s">
        <v>1813</v>
      </c>
      <c r="C3009" s="20"/>
      <c r="D3009" s="20"/>
      <c r="E3009" s="20"/>
      <c r="F3009" s="20"/>
      <c r="G3009" s="20"/>
      <c r="H3009" s="20"/>
      <c r="I3009" s="20"/>
      <c r="J3009" s="20"/>
      <c r="K3009" s="20"/>
      <c r="L3009" s="20"/>
      <c r="M3009" s="20"/>
      <c r="N3009" s="20"/>
      <c r="O3009" s="20"/>
      <c r="P3009" s="20"/>
      <c r="Q3009" s="20">
        <v>66.59</v>
      </c>
      <c r="R3009" s="20">
        <v>216.59</v>
      </c>
      <c r="S3009" s="20">
        <v>216.59</v>
      </c>
      <c r="T3009" s="20">
        <v>216.59</v>
      </c>
      <c r="U3009" s="20">
        <v>216.59</v>
      </c>
      <c r="V3009" s="20">
        <v>216.59</v>
      </c>
      <c r="W3009" s="20">
        <v>216.59</v>
      </c>
      <c r="X3009" s="20">
        <v>216.59</v>
      </c>
      <c r="Y3009" s="20">
        <v>216.59</v>
      </c>
      <c r="Z3009" s="20">
        <v>216.59</v>
      </c>
      <c r="AA3009" s="20"/>
      <c r="AB3009" s="20"/>
      <c r="AC3009" s="20"/>
      <c r="AD3009" s="20"/>
      <c r="AE3009" s="20"/>
      <c r="AF3009" s="20"/>
      <c r="AG3009" s="20"/>
      <c r="AH3009" s="20"/>
      <c r="AI3009" s="20"/>
      <c r="AJ3009" s="20"/>
      <c r="AK3009" s="20"/>
      <c r="AL3009" s="20"/>
      <c r="AM3009" s="20"/>
      <c r="AN3009" s="20"/>
      <c r="AO3009" s="20"/>
    </row>
    <row r="3010" spans="1:41" s="15" customFormat="1" ht="14.25" x14ac:dyDescent="0.2">
      <c r="A3010" s="18" t="s">
        <v>1930</v>
      </c>
      <c r="B3010" s="19" t="s">
        <v>1931</v>
      </c>
      <c r="C3010" s="20"/>
      <c r="D3010" s="20"/>
      <c r="E3010" s="20"/>
      <c r="F3010" s="20"/>
      <c r="G3010" s="20"/>
      <c r="H3010" s="20"/>
      <c r="I3010" s="20"/>
      <c r="J3010" s="20"/>
      <c r="K3010" s="20"/>
      <c r="L3010" s="20"/>
      <c r="M3010" s="20"/>
      <c r="N3010" s="20"/>
      <c r="O3010" s="20"/>
      <c r="P3010" s="20"/>
      <c r="Q3010" s="20"/>
      <c r="R3010" s="20"/>
      <c r="S3010" s="20"/>
      <c r="T3010" s="20"/>
      <c r="U3010" s="20"/>
      <c r="V3010" s="20"/>
      <c r="W3010" s="20"/>
      <c r="X3010" s="20"/>
      <c r="Y3010" s="20"/>
      <c r="Z3010" s="20"/>
      <c r="AA3010" s="20"/>
      <c r="AB3010" s="20"/>
      <c r="AC3010" s="20"/>
      <c r="AD3010" s="20"/>
      <c r="AE3010" s="20"/>
      <c r="AF3010" s="20"/>
      <c r="AG3010" s="20"/>
      <c r="AH3010" s="20"/>
      <c r="AI3010" s="20"/>
      <c r="AJ3010" s="20"/>
      <c r="AK3010" s="20"/>
      <c r="AL3010" s="20"/>
      <c r="AM3010" s="20"/>
      <c r="AN3010" s="20">
        <v>134.77000000000001</v>
      </c>
      <c r="AO3010" s="20">
        <v>194.17</v>
      </c>
    </row>
    <row r="3011" spans="1:41" s="15" customFormat="1" ht="14.25" x14ac:dyDescent="0.2">
      <c r="A3011" s="18" t="s">
        <v>1932</v>
      </c>
      <c r="B3011" s="19" t="s">
        <v>1933</v>
      </c>
      <c r="C3011" s="20">
        <v>22</v>
      </c>
      <c r="D3011" s="20">
        <v>851.73</v>
      </c>
      <c r="E3011" s="20">
        <v>851.73</v>
      </c>
      <c r="F3011" s="20">
        <v>2199.19</v>
      </c>
      <c r="G3011" s="20">
        <v>2563.17</v>
      </c>
      <c r="H3011" s="20">
        <v>3391.14</v>
      </c>
      <c r="I3011" s="20">
        <v>7987.75</v>
      </c>
      <c r="J3011" s="20">
        <v>7987.75</v>
      </c>
      <c r="K3011" s="20">
        <v>8082.67</v>
      </c>
      <c r="L3011" s="20">
        <v>11686.07</v>
      </c>
      <c r="M3011" s="20">
        <v>11816.92</v>
      </c>
      <c r="N3011" s="20">
        <v>12024.54</v>
      </c>
      <c r="O3011" s="20">
        <v>1047.44</v>
      </c>
      <c r="P3011" s="20">
        <v>4443.16</v>
      </c>
      <c r="Q3011" s="20">
        <v>7630.95</v>
      </c>
      <c r="R3011" s="20">
        <v>8647.9</v>
      </c>
      <c r="S3011" s="20">
        <v>9566.94</v>
      </c>
      <c r="T3011" s="20">
        <v>9715.25</v>
      </c>
      <c r="U3011" s="20">
        <v>15798.46</v>
      </c>
      <c r="V3011" s="20">
        <v>15798.46</v>
      </c>
      <c r="W3011" s="20">
        <v>15874.39</v>
      </c>
      <c r="X3011" s="20">
        <v>16034.39</v>
      </c>
      <c r="Y3011" s="20">
        <v>16193.71</v>
      </c>
      <c r="Z3011" s="20">
        <v>16193.71</v>
      </c>
      <c r="AA3011" s="20">
        <v>423.73</v>
      </c>
      <c r="AB3011" s="20">
        <v>423.73</v>
      </c>
      <c r="AC3011" s="20">
        <v>423.73</v>
      </c>
      <c r="AD3011" s="20">
        <v>1855.68</v>
      </c>
      <c r="AE3011" s="20">
        <v>1860.76</v>
      </c>
      <c r="AF3011" s="20">
        <v>2598.0500000000002</v>
      </c>
      <c r="AG3011" s="20">
        <v>2598.0500000000002</v>
      </c>
      <c r="AH3011" s="20">
        <v>3666.39</v>
      </c>
      <c r="AI3011" s="20">
        <v>3666.39</v>
      </c>
      <c r="AJ3011" s="20">
        <v>4937.58</v>
      </c>
      <c r="AK3011" s="20">
        <v>5325.38</v>
      </c>
      <c r="AL3011" s="20">
        <v>5410.13</v>
      </c>
      <c r="AM3011" s="20"/>
      <c r="AN3011" s="20">
        <v>3900</v>
      </c>
      <c r="AO3011" s="20">
        <v>3900</v>
      </c>
    </row>
    <row r="3012" spans="1:41" s="15" customFormat="1" ht="14.25" x14ac:dyDescent="0.2">
      <c r="A3012" s="18" t="s">
        <v>1934</v>
      </c>
      <c r="B3012" s="19" t="s">
        <v>1935</v>
      </c>
      <c r="C3012" s="20">
        <v>6</v>
      </c>
      <c r="D3012" s="20">
        <v>6</v>
      </c>
      <c r="E3012" s="20">
        <v>66</v>
      </c>
      <c r="F3012" s="20">
        <v>96</v>
      </c>
      <c r="G3012" s="20">
        <v>126</v>
      </c>
      <c r="H3012" s="20">
        <v>320</v>
      </c>
      <c r="I3012" s="20">
        <v>410</v>
      </c>
      <c r="J3012" s="20">
        <v>410</v>
      </c>
      <c r="K3012" s="20">
        <v>2076</v>
      </c>
      <c r="L3012" s="20">
        <v>3754</v>
      </c>
      <c r="M3012" s="20">
        <v>3796</v>
      </c>
      <c r="N3012" s="20">
        <v>3796</v>
      </c>
      <c r="O3012" s="20"/>
      <c r="P3012" s="20"/>
      <c r="Q3012" s="20">
        <v>12.2</v>
      </c>
      <c r="R3012" s="20">
        <v>12.2</v>
      </c>
      <c r="S3012" s="20">
        <v>42.7</v>
      </c>
      <c r="T3012" s="20">
        <v>115.9</v>
      </c>
      <c r="U3012" s="20">
        <v>152.9</v>
      </c>
      <c r="V3012" s="20">
        <v>2535.63</v>
      </c>
      <c r="W3012" s="20">
        <v>8214.19</v>
      </c>
      <c r="X3012" s="20">
        <v>9476.4500000000007</v>
      </c>
      <c r="Y3012" s="20">
        <v>9476.4500000000007</v>
      </c>
      <c r="Z3012" s="20">
        <v>9476.4500000000007</v>
      </c>
      <c r="AA3012" s="20">
        <v>87.6</v>
      </c>
      <c r="AB3012" s="20">
        <v>87.6</v>
      </c>
      <c r="AC3012" s="20">
        <v>222.3</v>
      </c>
      <c r="AD3012" s="20">
        <v>222.3</v>
      </c>
      <c r="AE3012" s="20">
        <v>3122.3</v>
      </c>
      <c r="AF3012" s="20">
        <v>3218.3</v>
      </c>
      <c r="AG3012" s="20">
        <v>3594.5</v>
      </c>
      <c r="AH3012" s="20">
        <v>3643.7</v>
      </c>
      <c r="AI3012" s="20">
        <v>3905.8</v>
      </c>
      <c r="AJ3012" s="20">
        <v>4227.1000000000004</v>
      </c>
      <c r="AK3012" s="20">
        <v>4717.7</v>
      </c>
      <c r="AL3012" s="20">
        <v>5020.7</v>
      </c>
      <c r="AM3012" s="20">
        <v>2796.71</v>
      </c>
      <c r="AN3012" s="20">
        <v>6120.58</v>
      </c>
      <c r="AO3012" s="20">
        <v>10737.08</v>
      </c>
    </row>
    <row r="3013" spans="1:41" s="15" customFormat="1" ht="14.25" x14ac:dyDescent="0.2">
      <c r="A3013" s="18">
        <v>45030114</v>
      </c>
      <c r="B3013" s="19" t="s">
        <v>834</v>
      </c>
      <c r="C3013" s="20"/>
      <c r="D3013" s="20"/>
      <c r="E3013" s="20"/>
      <c r="F3013" s="20"/>
      <c r="G3013" s="20"/>
      <c r="H3013" s="20"/>
      <c r="I3013" s="20"/>
      <c r="J3013" s="20"/>
      <c r="K3013" s="20"/>
      <c r="L3013" s="20"/>
      <c r="M3013" s="20"/>
      <c r="N3013" s="20"/>
      <c r="O3013" s="20"/>
      <c r="P3013" s="20"/>
      <c r="Q3013" s="20"/>
      <c r="R3013" s="20"/>
      <c r="S3013" s="20"/>
      <c r="T3013" s="20"/>
      <c r="U3013" s="20"/>
      <c r="V3013" s="20"/>
      <c r="W3013" s="20"/>
      <c r="X3013" s="20"/>
      <c r="Y3013" s="20"/>
      <c r="Z3013" s="20"/>
      <c r="AA3013" s="20"/>
      <c r="AB3013" s="20"/>
      <c r="AC3013" s="20"/>
      <c r="AD3013" s="20"/>
      <c r="AE3013" s="20"/>
      <c r="AF3013" s="20"/>
      <c r="AG3013" s="20"/>
      <c r="AH3013" s="20"/>
      <c r="AI3013" s="20"/>
      <c r="AJ3013" s="20"/>
      <c r="AK3013" s="20"/>
      <c r="AL3013" s="20"/>
      <c r="AM3013" s="20"/>
      <c r="AN3013" s="20"/>
      <c r="AO3013" s="20"/>
    </row>
    <row r="3014" spans="1:41" s="15" customFormat="1" ht="14.25" x14ac:dyDescent="0.2">
      <c r="A3014" s="18" t="s">
        <v>1936</v>
      </c>
      <c r="B3014" s="19" t="s">
        <v>1937</v>
      </c>
      <c r="C3014" s="20">
        <v>105.6</v>
      </c>
      <c r="D3014" s="20">
        <v>105.6</v>
      </c>
      <c r="E3014" s="20">
        <v>105.6</v>
      </c>
      <c r="F3014" s="20">
        <v>313.8</v>
      </c>
      <c r="G3014" s="20">
        <v>313.8</v>
      </c>
      <c r="H3014" s="20">
        <v>366.6</v>
      </c>
      <c r="I3014" s="20">
        <v>366.6</v>
      </c>
      <c r="J3014" s="20">
        <v>366.6</v>
      </c>
      <c r="K3014" s="20">
        <v>458.16</v>
      </c>
      <c r="L3014" s="20">
        <v>458.16</v>
      </c>
      <c r="M3014" s="20">
        <v>458.16</v>
      </c>
      <c r="N3014" s="20">
        <v>458.16</v>
      </c>
      <c r="O3014" s="20">
        <v>21.2</v>
      </c>
      <c r="P3014" s="20">
        <v>21.2</v>
      </c>
      <c r="Q3014" s="20">
        <v>21.2</v>
      </c>
      <c r="R3014" s="20">
        <v>21.2</v>
      </c>
      <c r="S3014" s="20">
        <v>21.2</v>
      </c>
      <c r="T3014" s="20">
        <v>21.2</v>
      </c>
      <c r="U3014" s="20">
        <v>145.4</v>
      </c>
      <c r="V3014" s="20">
        <v>331.6</v>
      </c>
      <c r="W3014" s="20">
        <v>342.2</v>
      </c>
      <c r="X3014" s="20">
        <v>440.6</v>
      </c>
      <c r="Y3014" s="20">
        <v>440.6</v>
      </c>
      <c r="Z3014" s="20">
        <v>440.6</v>
      </c>
      <c r="AA3014" s="20">
        <v>113.6</v>
      </c>
      <c r="AB3014" s="20">
        <v>113.6</v>
      </c>
      <c r="AC3014" s="20">
        <v>113.6</v>
      </c>
      <c r="AD3014" s="20">
        <v>1113.5999999999999</v>
      </c>
      <c r="AE3014" s="20">
        <v>2485.64</v>
      </c>
      <c r="AF3014" s="20">
        <v>2824.64</v>
      </c>
      <c r="AG3014" s="20">
        <v>7279.64</v>
      </c>
      <c r="AH3014" s="20">
        <v>7408.64</v>
      </c>
      <c r="AI3014" s="20">
        <v>7408.64</v>
      </c>
      <c r="AJ3014" s="20">
        <v>7419.64</v>
      </c>
      <c r="AK3014" s="20">
        <v>7441.64</v>
      </c>
      <c r="AL3014" s="20">
        <v>7441.64</v>
      </c>
      <c r="AM3014" s="20"/>
      <c r="AN3014" s="20">
        <v>3529.01</v>
      </c>
      <c r="AO3014" s="20">
        <v>3529.01</v>
      </c>
    </row>
    <row r="3015" spans="1:41" s="15" customFormat="1" ht="14.25" x14ac:dyDescent="0.2">
      <c r="A3015" s="18" t="s">
        <v>1938</v>
      </c>
      <c r="B3015" s="19" t="s">
        <v>1939</v>
      </c>
      <c r="C3015" s="20">
        <v>10.199999999999999</v>
      </c>
      <c r="D3015" s="20">
        <v>10.199999999999999</v>
      </c>
      <c r="E3015" s="20">
        <v>10.199999999999999</v>
      </c>
      <c r="F3015" s="20">
        <v>10.199999999999999</v>
      </c>
      <c r="G3015" s="20">
        <v>10.199999999999999</v>
      </c>
      <c r="H3015" s="20">
        <v>10.199999999999999</v>
      </c>
      <c r="I3015" s="20">
        <v>10.199999999999999</v>
      </c>
      <c r="J3015" s="20">
        <v>10.199999999999999</v>
      </c>
      <c r="K3015" s="20">
        <v>115.8</v>
      </c>
      <c r="L3015" s="20">
        <v>126</v>
      </c>
      <c r="M3015" s="20">
        <v>126</v>
      </c>
      <c r="N3015" s="20">
        <v>126</v>
      </c>
      <c r="O3015" s="20"/>
      <c r="P3015" s="20"/>
      <c r="Q3015" s="20"/>
      <c r="R3015" s="20"/>
      <c r="S3015" s="20"/>
      <c r="T3015" s="20"/>
      <c r="U3015" s="20"/>
      <c r="V3015" s="20"/>
      <c r="W3015" s="20"/>
      <c r="X3015" s="20"/>
      <c r="Y3015" s="20"/>
      <c r="Z3015" s="20"/>
      <c r="AA3015" s="20"/>
      <c r="AB3015" s="20"/>
      <c r="AC3015" s="20"/>
      <c r="AD3015" s="20"/>
      <c r="AE3015" s="20"/>
      <c r="AF3015" s="20"/>
      <c r="AG3015" s="20"/>
      <c r="AH3015" s="20"/>
      <c r="AI3015" s="20"/>
      <c r="AJ3015" s="20"/>
      <c r="AK3015" s="20"/>
      <c r="AL3015" s="20"/>
      <c r="AM3015" s="20"/>
      <c r="AN3015" s="20"/>
      <c r="AO3015" s="20"/>
    </row>
    <row r="3016" spans="1:41" s="15" customFormat="1" ht="14.25" x14ac:dyDescent="0.2">
      <c r="A3016" s="18" t="s">
        <v>1940</v>
      </c>
      <c r="B3016" s="19" t="s">
        <v>1941</v>
      </c>
      <c r="C3016" s="20">
        <v>102.85</v>
      </c>
      <c r="D3016" s="20">
        <v>102.85</v>
      </c>
      <c r="E3016" s="20">
        <v>102.85</v>
      </c>
      <c r="F3016" s="20">
        <v>102.85</v>
      </c>
      <c r="G3016" s="20">
        <v>18467.849999999999</v>
      </c>
      <c r="H3016" s="20">
        <v>18467.849999999999</v>
      </c>
      <c r="I3016" s="20">
        <v>18467.849999999999</v>
      </c>
      <c r="J3016" s="20">
        <v>18467.849999999999</v>
      </c>
      <c r="K3016" s="20">
        <v>25111.83</v>
      </c>
      <c r="L3016" s="20">
        <v>25111.83</v>
      </c>
      <c r="M3016" s="20">
        <v>25111.83</v>
      </c>
      <c r="N3016" s="20">
        <v>25111.83</v>
      </c>
      <c r="O3016" s="20"/>
      <c r="P3016" s="20"/>
      <c r="Q3016" s="20"/>
      <c r="R3016" s="20"/>
      <c r="S3016" s="20"/>
      <c r="T3016" s="20"/>
      <c r="U3016" s="20"/>
      <c r="V3016" s="20"/>
      <c r="W3016" s="20"/>
      <c r="X3016" s="20"/>
      <c r="Y3016" s="20"/>
      <c r="Z3016" s="20"/>
      <c r="AA3016" s="20"/>
      <c r="AB3016" s="20"/>
      <c r="AC3016" s="20"/>
      <c r="AD3016" s="20"/>
      <c r="AE3016" s="20"/>
      <c r="AF3016" s="20"/>
      <c r="AG3016" s="20"/>
      <c r="AH3016" s="20"/>
      <c r="AI3016" s="20"/>
      <c r="AJ3016" s="20"/>
      <c r="AK3016" s="20"/>
      <c r="AL3016" s="20"/>
      <c r="AM3016" s="20"/>
      <c r="AN3016" s="20"/>
      <c r="AO3016" s="20"/>
    </row>
    <row r="3017" spans="1:41" s="15" customFormat="1" ht="14.25" x14ac:dyDescent="0.2">
      <c r="A3017" s="18" t="s">
        <v>1942</v>
      </c>
      <c r="B3017" s="19" t="s">
        <v>1943</v>
      </c>
      <c r="C3017" s="20">
        <v>81.599999999999994</v>
      </c>
      <c r="D3017" s="20">
        <v>81.599999999999994</v>
      </c>
      <c r="E3017" s="20">
        <v>212.8</v>
      </c>
      <c r="F3017" s="20">
        <v>212.8</v>
      </c>
      <c r="G3017" s="20">
        <v>216.9</v>
      </c>
      <c r="H3017" s="20">
        <v>216.9</v>
      </c>
      <c r="I3017" s="20">
        <v>216.9</v>
      </c>
      <c r="J3017" s="20">
        <v>320.89999999999998</v>
      </c>
      <c r="K3017" s="20">
        <v>450.5</v>
      </c>
      <c r="L3017" s="20">
        <v>528.9</v>
      </c>
      <c r="M3017" s="20">
        <v>613.70000000000005</v>
      </c>
      <c r="N3017" s="20">
        <v>663.3</v>
      </c>
      <c r="O3017" s="20">
        <v>64</v>
      </c>
      <c r="P3017" s="20">
        <v>64</v>
      </c>
      <c r="Q3017" s="20">
        <v>64</v>
      </c>
      <c r="R3017" s="20">
        <v>64</v>
      </c>
      <c r="S3017" s="20">
        <v>64</v>
      </c>
      <c r="T3017" s="20">
        <v>392</v>
      </c>
      <c r="U3017" s="20">
        <v>420.2</v>
      </c>
      <c r="V3017" s="20">
        <v>470.2</v>
      </c>
      <c r="W3017" s="20">
        <v>542</v>
      </c>
      <c r="X3017" s="20">
        <v>592</v>
      </c>
      <c r="Y3017" s="20">
        <v>1249.0999999999999</v>
      </c>
      <c r="Z3017" s="20">
        <v>1660.4</v>
      </c>
      <c r="AA3017" s="20">
        <v>44.7</v>
      </c>
      <c r="AB3017" s="20">
        <v>190.9</v>
      </c>
      <c r="AC3017" s="20">
        <v>291</v>
      </c>
      <c r="AD3017" s="20">
        <v>384</v>
      </c>
      <c r="AE3017" s="20">
        <v>396</v>
      </c>
      <c r="AF3017" s="20">
        <v>420.1</v>
      </c>
      <c r="AG3017" s="20">
        <v>541.79999999999995</v>
      </c>
      <c r="AH3017" s="20">
        <v>577.79999999999995</v>
      </c>
      <c r="AI3017" s="20">
        <v>612.29999999999995</v>
      </c>
      <c r="AJ3017" s="20">
        <v>645.29999999999995</v>
      </c>
      <c r="AK3017" s="20">
        <v>663.3</v>
      </c>
      <c r="AL3017" s="20">
        <v>714.5</v>
      </c>
      <c r="AM3017" s="20">
        <v>778.7</v>
      </c>
      <c r="AN3017" s="20">
        <v>807.7</v>
      </c>
      <c r="AO3017" s="20">
        <v>823.5</v>
      </c>
    </row>
    <row r="3018" spans="1:41" s="15" customFormat="1" ht="14.25" x14ac:dyDescent="0.2">
      <c r="A3018" s="18" t="s">
        <v>1944</v>
      </c>
      <c r="B3018" s="19" t="s">
        <v>1945</v>
      </c>
      <c r="C3018" s="20">
        <v>1257.6300000000001</v>
      </c>
      <c r="D3018" s="20">
        <v>1528.82</v>
      </c>
      <c r="E3018" s="20">
        <v>6457.64</v>
      </c>
      <c r="F3018" s="20">
        <v>7226.64</v>
      </c>
      <c r="G3018" s="20">
        <v>7226.64</v>
      </c>
      <c r="H3018" s="20">
        <v>7226.64</v>
      </c>
      <c r="I3018" s="20">
        <v>7226.64</v>
      </c>
      <c r="J3018" s="20">
        <v>8236.64</v>
      </c>
      <c r="K3018" s="20">
        <v>8236.64</v>
      </c>
      <c r="L3018" s="20">
        <v>8236.64</v>
      </c>
      <c r="M3018" s="20">
        <v>8236.64</v>
      </c>
      <c r="N3018" s="20">
        <v>8236.64</v>
      </c>
      <c r="O3018" s="20">
        <v>1112.56</v>
      </c>
      <c r="P3018" s="20">
        <v>2883.75</v>
      </c>
      <c r="Q3018" s="20">
        <v>3053.24</v>
      </c>
      <c r="R3018" s="20">
        <v>4553.24</v>
      </c>
      <c r="S3018" s="20">
        <v>4553.24</v>
      </c>
      <c r="T3018" s="20">
        <v>4553.24</v>
      </c>
      <c r="U3018" s="20">
        <v>4722.7299999999996</v>
      </c>
      <c r="V3018" s="20">
        <v>19861.39</v>
      </c>
      <c r="W3018" s="20">
        <v>19861.39</v>
      </c>
      <c r="X3018" s="20">
        <v>19941.39</v>
      </c>
      <c r="Y3018" s="20">
        <v>19941.39</v>
      </c>
      <c r="Z3018" s="20">
        <v>20884.84</v>
      </c>
      <c r="AA3018" s="20">
        <v>13928.76</v>
      </c>
      <c r="AB3018" s="20">
        <v>15326.72</v>
      </c>
      <c r="AC3018" s="20">
        <v>17423.32</v>
      </c>
      <c r="AD3018" s="20">
        <v>17423.32</v>
      </c>
      <c r="AE3018" s="20">
        <v>17423.32</v>
      </c>
      <c r="AF3018" s="20">
        <v>17423.32</v>
      </c>
      <c r="AG3018" s="20">
        <v>17423.32</v>
      </c>
      <c r="AH3018" s="20">
        <v>17423.32</v>
      </c>
      <c r="AI3018" s="20">
        <v>23343.63</v>
      </c>
      <c r="AJ3018" s="20">
        <v>23423.63</v>
      </c>
      <c r="AK3018" s="20">
        <v>23423.63</v>
      </c>
      <c r="AL3018" s="20">
        <v>25183.51</v>
      </c>
      <c r="AM3018" s="20">
        <v>686.61</v>
      </c>
      <c r="AN3018" s="20">
        <v>886.61</v>
      </c>
      <c r="AO3018" s="20">
        <v>1525.37</v>
      </c>
    </row>
    <row r="3019" spans="1:41" s="15" customFormat="1" ht="14.25" x14ac:dyDescent="0.2">
      <c r="A3019" s="18" t="s">
        <v>1946</v>
      </c>
      <c r="B3019" s="19" t="s">
        <v>1947</v>
      </c>
      <c r="C3019" s="20"/>
      <c r="D3019" s="20"/>
      <c r="E3019" s="20"/>
      <c r="F3019" s="20"/>
      <c r="G3019" s="20"/>
      <c r="H3019" s="20"/>
      <c r="I3019" s="20"/>
      <c r="J3019" s="20"/>
      <c r="K3019" s="20"/>
      <c r="L3019" s="20"/>
      <c r="M3019" s="20"/>
      <c r="N3019" s="20"/>
      <c r="O3019" s="20"/>
      <c r="P3019" s="20"/>
      <c r="Q3019" s="20"/>
      <c r="R3019" s="20"/>
      <c r="S3019" s="20"/>
      <c r="T3019" s="20"/>
      <c r="U3019" s="20"/>
      <c r="V3019" s="20"/>
      <c r="W3019" s="20"/>
      <c r="X3019" s="20"/>
      <c r="Y3019" s="20"/>
      <c r="Z3019" s="20">
        <v>269</v>
      </c>
      <c r="AA3019" s="20"/>
      <c r="AB3019" s="20"/>
      <c r="AC3019" s="20"/>
      <c r="AD3019" s="20"/>
      <c r="AE3019" s="20"/>
      <c r="AF3019" s="20"/>
      <c r="AG3019" s="20"/>
      <c r="AH3019" s="20"/>
      <c r="AI3019" s="20"/>
      <c r="AJ3019" s="20"/>
      <c r="AK3019" s="20"/>
      <c r="AL3019" s="20"/>
      <c r="AM3019" s="20"/>
      <c r="AN3019" s="20"/>
      <c r="AO3019" s="20"/>
    </row>
    <row r="3020" spans="1:41" s="15" customFormat="1" ht="14.25" x14ac:dyDescent="0.2">
      <c r="A3020" s="18" t="s">
        <v>1948</v>
      </c>
      <c r="B3020" s="19" t="s">
        <v>1949</v>
      </c>
      <c r="C3020" s="20">
        <v>380</v>
      </c>
      <c r="D3020" s="20">
        <v>560</v>
      </c>
      <c r="E3020" s="20">
        <v>1550</v>
      </c>
      <c r="F3020" s="20">
        <v>1790</v>
      </c>
      <c r="G3020" s="20">
        <v>2420</v>
      </c>
      <c r="H3020" s="20">
        <v>2620</v>
      </c>
      <c r="I3020" s="20">
        <v>3030</v>
      </c>
      <c r="J3020" s="20">
        <v>3350</v>
      </c>
      <c r="K3020" s="20">
        <v>5440</v>
      </c>
      <c r="L3020" s="20">
        <v>5850</v>
      </c>
      <c r="M3020" s="20">
        <v>5990</v>
      </c>
      <c r="N3020" s="20">
        <v>6090</v>
      </c>
      <c r="O3020" s="20"/>
      <c r="P3020" s="20">
        <v>2350</v>
      </c>
      <c r="Q3020" s="20">
        <v>3950</v>
      </c>
      <c r="R3020" s="20">
        <v>8590</v>
      </c>
      <c r="S3020" s="20">
        <v>8730</v>
      </c>
      <c r="T3020" s="20">
        <v>12510</v>
      </c>
      <c r="U3020" s="20">
        <v>12670</v>
      </c>
      <c r="V3020" s="20">
        <v>12850</v>
      </c>
      <c r="W3020" s="20">
        <v>16816.439999999999</v>
      </c>
      <c r="X3020" s="20">
        <v>18233.3</v>
      </c>
      <c r="Y3020" s="20">
        <v>19937.78</v>
      </c>
      <c r="Z3020" s="20">
        <v>23237.78</v>
      </c>
      <c r="AA3020" s="20">
        <v>1660</v>
      </c>
      <c r="AB3020" s="20">
        <v>3782.97</v>
      </c>
      <c r="AC3020" s="20">
        <v>4022.97</v>
      </c>
      <c r="AD3020" s="20">
        <v>4694.83</v>
      </c>
      <c r="AE3020" s="20">
        <v>7504.83</v>
      </c>
      <c r="AF3020" s="20">
        <v>9224.83</v>
      </c>
      <c r="AG3020" s="20">
        <v>11994.83</v>
      </c>
      <c r="AH3020" s="20">
        <v>13454.83</v>
      </c>
      <c r="AI3020" s="20">
        <v>19215.68</v>
      </c>
      <c r="AJ3020" s="20">
        <v>19515.68</v>
      </c>
      <c r="AK3020" s="20">
        <v>22175.68</v>
      </c>
      <c r="AL3020" s="20">
        <v>23665.68</v>
      </c>
      <c r="AM3020" s="20">
        <v>2285</v>
      </c>
      <c r="AN3020" s="20">
        <v>4945</v>
      </c>
      <c r="AO3020" s="20">
        <v>8165</v>
      </c>
    </row>
    <row r="3021" spans="1:41" s="15" customFormat="1" ht="14.25" x14ac:dyDescent="0.2">
      <c r="A3021" s="18" t="s">
        <v>1950</v>
      </c>
      <c r="B3021" s="19" t="s">
        <v>1951</v>
      </c>
      <c r="C3021" s="20">
        <v>14479.77</v>
      </c>
      <c r="D3021" s="20">
        <v>33698.35</v>
      </c>
      <c r="E3021" s="20">
        <v>51965.71</v>
      </c>
      <c r="F3021" s="20">
        <v>59675.72</v>
      </c>
      <c r="G3021" s="20">
        <v>88910.5</v>
      </c>
      <c r="H3021" s="20">
        <v>106023.3</v>
      </c>
      <c r="I3021" s="20">
        <v>124466.37</v>
      </c>
      <c r="J3021" s="20">
        <v>143654.57</v>
      </c>
      <c r="K3021" s="20">
        <v>161796.73000000001</v>
      </c>
      <c r="L3021" s="20">
        <v>180461.08</v>
      </c>
      <c r="M3021" s="20">
        <v>191860.1</v>
      </c>
      <c r="N3021" s="20">
        <v>215566.68</v>
      </c>
      <c r="O3021" s="20">
        <v>12939.8</v>
      </c>
      <c r="P3021" s="20">
        <v>26530.07</v>
      </c>
      <c r="Q3021" s="20">
        <v>49266.94</v>
      </c>
      <c r="R3021" s="20">
        <v>63219.81</v>
      </c>
      <c r="S3021" s="20">
        <v>93657.4</v>
      </c>
      <c r="T3021" s="20">
        <v>113569.26</v>
      </c>
      <c r="U3021" s="20">
        <v>127595.78</v>
      </c>
      <c r="V3021" s="20">
        <v>139816.79999999999</v>
      </c>
      <c r="W3021" s="20">
        <v>159346.99</v>
      </c>
      <c r="X3021" s="20">
        <v>165138.88</v>
      </c>
      <c r="Y3021" s="20">
        <v>178592.9</v>
      </c>
      <c r="Z3021" s="20">
        <v>228704.14</v>
      </c>
      <c r="AA3021" s="20">
        <v>14567.8</v>
      </c>
      <c r="AB3021" s="20">
        <v>27802.55</v>
      </c>
      <c r="AC3021" s="20">
        <v>63899.83</v>
      </c>
      <c r="AD3021" s="20">
        <v>77134.58</v>
      </c>
      <c r="AE3021" s="20">
        <v>90369.33</v>
      </c>
      <c r="AF3021" s="20">
        <v>132713.79</v>
      </c>
      <c r="AG3021" s="20">
        <v>155266.72</v>
      </c>
      <c r="AH3021" s="20">
        <v>177791.73</v>
      </c>
      <c r="AI3021" s="20">
        <v>199168.28</v>
      </c>
      <c r="AJ3021" s="20">
        <v>220505.56</v>
      </c>
      <c r="AK3021" s="20">
        <v>241879.72</v>
      </c>
      <c r="AL3021" s="20">
        <v>256954.31</v>
      </c>
      <c r="AM3021" s="20">
        <v>26301.97</v>
      </c>
      <c r="AN3021" s="20">
        <v>47519.51</v>
      </c>
      <c r="AO3021" s="20">
        <v>70087.95</v>
      </c>
    </row>
    <row r="3022" spans="1:41" s="15" customFormat="1" ht="14.25" x14ac:dyDescent="0.2">
      <c r="A3022" s="18">
        <v>45030119</v>
      </c>
      <c r="B3022" s="19" t="s">
        <v>837</v>
      </c>
      <c r="C3022" s="20"/>
      <c r="D3022" s="20"/>
      <c r="E3022" s="20"/>
      <c r="F3022" s="20"/>
      <c r="G3022" s="20"/>
      <c r="H3022" s="20"/>
      <c r="I3022" s="20"/>
      <c r="J3022" s="20"/>
      <c r="K3022" s="20"/>
      <c r="L3022" s="20"/>
      <c r="M3022" s="20"/>
      <c r="N3022" s="20"/>
      <c r="O3022" s="20"/>
      <c r="P3022" s="20"/>
      <c r="Q3022" s="20"/>
      <c r="R3022" s="20"/>
      <c r="S3022" s="20"/>
      <c r="T3022" s="20"/>
      <c r="U3022" s="20"/>
      <c r="V3022" s="20"/>
      <c r="W3022" s="20"/>
      <c r="X3022" s="20"/>
      <c r="Y3022" s="20"/>
      <c r="Z3022" s="20"/>
      <c r="AA3022" s="20"/>
      <c r="AB3022" s="20"/>
      <c r="AC3022" s="20"/>
      <c r="AD3022" s="20"/>
      <c r="AE3022" s="20"/>
      <c r="AF3022" s="20"/>
      <c r="AG3022" s="20"/>
      <c r="AH3022" s="20"/>
      <c r="AI3022" s="20"/>
      <c r="AJ3022" s="20"/>
      <c r="AK3022" s="20"/>
      <c r="AL3022" s="20"/>
      <c r="AM3022" s="20"/>
      <c r="AN3022" s="20"/>
      <c r="AO3022" s="20"/>
    </row>
    <row r="3023" spans="1:41" s="15" customFormat="1" ht="14.25" x14ac:dyDescent="0.2">
      <c r="A3023" s="18">
        <v>45030120</v>
      </c>
      <c r="B3023" s="19" t="s">
        <v>838</v>
      </c>
      <c r="C3023" s="20"/>
      <c r="D3023" s="20"/>
      <c r="E3023" s="20"/>
      <c r="F3023" s="20"/>
      <c r="G3023" s="20"/>
      <c r="H3023" s="20"/>
      <c r="I3023" s="20"/>
      <c r="J3023" s="20"/>
      <c r="K3023" s="20"/>
      <c r="L3023" s="20"/>
      <c r="M3023" s="20"/>
      <c r="N3023" s="20"/>
      <c r="O3023" s="20"/>
      <c r="P3023" s="20"/>
      <c r="Q3023" s="20"/>
      <c r="R3023" s="20"/>
      <c r="S3023" s="20"/>
      <c r="T3023" s="20"/>
      <c r="U3023" s="20"/>
      <c r="V3023" s="20"/>
      <c r="W3023" s="20"/>
      <c r="X3023" s="20"/>
      <c r="Y3023" s="20"/>
      <c r="Z3023" s="20"/>
      <c r="AA3023" s="20"/>
      <c r="AB3023" s="20"/>
      <c r="AC3023" s="20"/>
      <c r="AD3023" s="20"/>
      <c r="AE3023" s="20"/>
      <c r="AF3023" s="20"/>
      <c r="AG3023" s="20"/>
      <c r="AH3023" s="20"/>
      <c r="AI3023" s="20"/>
      <c r="AJ3023" s="20"/>
      <c r="AK3023" s="20"/>
      <c r="AL3023" s="20"/>
      <c r="AM3023" s="20"/>
      <c r="AN3023" s="20"/>
      <c r="AO3023" s="20"/>
    </row>
    <row r="3024" spans="1:41" s="15" customFormat="1" ht="14.25" x14ac:dyDescent="0.2">
      <c r="A3024" s="18" t="s">
        <v>1952</v>
      </c>
      <c r="B3024" s="19" t="s">
        <v>1953</v>
      </c>
      <c r="C3024" s="20"/>
      <c r="D3024" s="20"/>
      <c r="E3024" s="20"/>
      <c r="F3024" s="20"/>
      <c r="G3024" s="20"/>
      <c r="H3024" s="20"/>
      <c r="I3024" s="20"/>
      <c r="J3024" s="20"/>
      <c r="K3024" s="20"/>
      <c r="L3024" s="20"/>
      <c r="M3024" s="20"/>
      <c r="N3024" s="20"/>
      <c r="O3024" s="20"/>
      <c r="P3024" s="20"/>
      <c r="Q3024" s="20"/>
      <c r="R3024" s="20"/>
      <c r="S3024" s="20"/>
      <c r="T3024" s="20"/>
      <c r="U3024" s="20"/>
      <c r="V3024" s="20"/>
      <c r="W3024" s="20"/>
      <c r="X3024" s="20"/>
      <c r="Y3024" s="20">
        <v>1275.3800000000001</v>
      </c>
      <c r="Z3024" s="20">
        <v>1275.3800000000001</v>
      </c>
      <c r="AA3024" s="20"/>
      <c r="AB3024" s="20"/>
      <c r="AC3024" s="20"/>
      <c r="AD3024" s="20"/>
      <c r="AE3024" s="20"/>
      <c r="AF3024" s="20"/>
      <c r="AG3024" s="20"/>
      <c r="AH3024" s="20"/>
      <c r="AI3024" s="20"/>
      <c r="AJ3024" s="20"/>
      <c r="AK3024" s="20"/>
      <c r="AL3024" s="20"/>
      <c r="AM3024" s="20"/>
      <c r="AN3024" s="20"/>
      <c r="AO3024" s="20"/>
    </row>
    <row r="3025" spans="1:41" s="15" customFormat="1" ht="14.25" x14ac:dyDescent="0.2">
      <c r="A3025" s="18" t="s">
        <v>1954</v>
      </c>
      <c r="B3025" s="19" t="s">
        <v>1955</v>
      </c>
      <c r="C3025" s="20"/>
      <c r="D3025" s="20"/>
      <c r="E3025" s="20"/>
      <c r="F3025" s="20">
        <v>890.48</v>
      </c>
      <c r="G3025" s="20">
        <v>4280.2700000000004</v>
      </c>
      <c r="H3025" s="20">
        <v>8923.43</v>
      </c>
      <c r="I3025" s="20">
        <v>13177.36</v>
      </c>
      <c r="J3025" s="20">
        <v>14434.75</v>
      </c>
      <c r="K3025" s="20">
        <v>14434.75</v>
      </c>
      <c r="L3025" s="20">
        <v>16114.6</v>
      </c>
      <c r="M3025" s="20">
        <v>16114.6</v>
      </c>
      <c r="N3025" s="20">
        <v>16114.6</v>
      </c>
      <c r="O3025" s="20">
        <v>1409.03</v>
      </c>
      <c r="P3025" s="20">
        <v>2069.34</v>
      </c>
      <c r="Q3025" s="20">
        <v>2069.34</v>
      </c>
      <c r="R3025" s="20">
        <v>2069.34</v>
      </c>
      <c r="S3025" s="20">
        <v>2069.34</v>
      </c>
      <c r="T3025" s="20">
        <v>2069.34</v>
      </c>
      <c r="U3025" s="20">
        <v>5471.93</v>
      </c>
      <c r="V3025" s="20">
        <v>6822.43</v>
      </c>
      <c r="W3025" s="20">
        <v>11377.3</v>
      </c>
      <c r="X3025" s="20">
        <v>17014.37</v>
      </c>
      <c r="Y3025" s="20">
        <v>17014.37</v>
      </c>
      <c r="Z3025" s="20">
        <v>20202.57</v>
      </c>
      <c r="AA3025" s="20">
        <v>350.98</v>
      </c>
      <c r="AB3025" s="20">
        <v>2430.23</v>
      </c>
      <c r="AC3025" s="20">
        <v>2430.23</v>
      </c>
      <c r="AD3025" s="20">
        <v>3776.56</v>
      </c>
      <c r="AE3025" s="20">
        <v>5632.09</v>
      </c>
      <c r="AF3025" s="20">
        <v>6510.46</v>
      </c>
      <c r="AG3025" s="20">
        <v>10319.42</v>
      </c>
      <c r="AH3025" s="20">
        <v>10897.18</v>
      </c>
      <c r="AI3025" s="20">
        <v>16535.439999999999</v>
      </c>
      <c r="AJ3025" s="20">
        <v>19662.53</v>
      </c>
      <c r="AK3025" s="20">
        <v>23869.45</v>
      </c>
      <c r="AL3025" s="20">
        <v>34847.760000000002</v>
      </c>
      <c r="AM3025" s="20">
        <v>7738.56</v>
      </c>
      <c r="AN3025" s="20">
        <v>8645.33</v>
      </c>
      <c r="AO3025" s="20">
        <v>26585.93</v>
      </c>
    </row>
    <row r="3026" spans="1:41" s="15" customFormat="1" ht="14.25" x14ac:dyDescent="0.2">
      <c r="A3026" s="18" t="s">
        <v>1956</v>
      </c>
      <c r="B3026" s="19" t="s">
        <v>1957</v>
      </c>
      <c r="C3026" s="20">
        <v>1699.85</v>
      </c>
      <c r="D3026" s="20">
        <v>2574.71</v>
      </c>
      <c r="E3026" s="20">
        <v>6507.41</v>
      </c>
      <c r="F3026" s="20">
        <v>10652.53</v>
      </c>
      <c r="G3026" s="20">
        <v>20943.61</v>
      </c>
      <c r="H3026" s="20">
        <v>34083.660000000003</v>
      </c>
      <c r="I3026" s="20">
        <v>43764.33</v>
      </c>
      <c r="J3026" s="20">
        <v>51797.91</v>
      </c>
      <c r="K3026" s="20">
        <v>57603.96</v>
      </c>
      <c r="L3026" s="20">
        <v>62778.85</v>
      </c>
      <c r="M3026" s="20">
        <v>66044.160000000003</v>
      </c>
      <c r="N3026" s="20">
        <v>72433.02</v>
      </c>
      <c r="O3026" s="20">
        <v>3474.39</v>
      </c>
      <c r="P3026" s="20">
        <v>24555.84</v>
      </c>
      <c r="Q3026" s="20">
        <v>24555.84</v>
      </c>
      <c r="R3026" s="20">
        <v>28946.1</v>
      </c>
      <c r="S3026" s="20">
        <v>29764.18</v>
      </c>
      <c r="T3026" s="20">
        <v>29764.18</v>
      </c>
      <c r="U3026" s="20">
        <v>36699.67</v>
      </c>
      <c r="V3026" s="20">
        <v>42470.32</v>
      </c>
      <c r="W3026" s="20">
        <v>51930.03</v>
      </c>
      <c r="X3026" s="20">
        <v>55814.13</v>
      </c>
      <c r="Y3026" s="20">
        <v>56620.99</v>
      </c>
      <c r="Z3026" s="20">
        <v>71029.08</v>
      </c>
      <c r="AA3026" s="20">
        <v>6158.41</v>
      </c>
      <c r="AB3026" s="20">
        <v>11238.48</v>
      </c>
      <c r="AC3026" s="20">
        <v>14059.46</v>
      </c>
      <c r="AD3026" s="20">
        <v>15712.51</v>
      </c>
      <c r="AE3026" s="20">
        <v>20895.62</v>
      </c>
      <c r="AF3026" s="20">
        <v>27423.88</v>
      </c>
      <c r="AG3026" s="20">
        <v>31004.35</v>
      </c>
      <c r="AH3026" s="20">
        <v>35090.25</v>
      </c>
      <c r="AI3026" s="20">
        <v>54759.89</v>
      </c>
      <c r="AJ3026" s="20">
        <v>55844.55</v>
      </c>
      <c r="AK3026" s="20">
        <v>58934.29</v>
      </c>
      <c r="AL3026" s="20">
        <v>65858.149999999994</v>
      </c>
      <c r="AM3026" s="20">
        <v>5216.34</v>
      </c>
      <c r="AN3026" s="20">
        <v>8032.13</v>
      </c>
      <c r="AO3026" s="20">
        <v>18544.75</v>
      </c>
    </row>
    <row r="3027" spans="1:41" s="15" customFormat="1" ht="14.25" x14ac:dyDescent="0.2">
      <c r="A3027" s="18">
        <v>45030121</v>
      </c>
      <c r="B3027" s="19" t="s">
        <v>839</v>
      </c>
      <c r="C3027" s="20"/>
      <c r="D3027" s="20"/>
      <c r="E3027" s="20"/>
      <c r="F3027" s="20"/>
      <c r="G3027" s="20"/>
      <c r="H3027" s="20"/>
      <c r="I3027" s="20"/>
      <c r="J3027" s="20"/>
      <c r="K3027" s="20"/>
      <c r="L3027" s="20"/>
      <c r="M3027" s="20"/>
      <c r="N3027" s="20"/>
      <c r="O3027" s="20"/>
      <c r="P3027" s="20"/>
      <c r="Q3027" s="20"/>
      <c r="R3027" s="20"/>
      <c r="S3027" s="20"/>
      <c r="T3027" s="20"/>
      <c r="U3027" s="20"/>
      <c r="V3027" s="20"/>
      <c r="W3027" s="20"/>
      <c r="X3027" s="20"/>
      <c r="Y3027" s="20"/>
      <c r="Z3027" s="20"/>
      <c r="AA3027" s="20"/>
      <c r="AB3027" s="20"/>
      <c r="AC3027" s="20"/>
      <c r="AD3027" s="20"/>
      <c r="AE3027" s="20"/>
      <c r="AF3027" s="20"/>
      <c r="AG3027" s="20"/>
      <c r="AH3027" s="20"/>
      <c r="AI3027" s="20"/>
      <c r="AJ3027" s="20"/>
      <c r="AK3027" s="20"/>
      <c r="AL3027" s="20"/>
      <c r="AM3027" s="20"/>
      <c r="AN3027" s="20"/>
      <c r="AO3027" s="20"/>
    </row>
    <row r="3028" spans="1:41" s="15" customFormat="1" ht="14.25" x14ac:dyDescent="0.2">
      <c r="A3028" s="18" t="s">
        <v>1958</v>
      </c>
      <c r="B3028" s="19" t="s">
        <v>1959</v>
      </c>
      <c r="C3028" s="20"/>
      <c r="D3028" s="20"/>
      <c r="E3028" s="20"/>
      <c r="F3028" s="20"/>
      <c r="G3028" s="20"/>
      <c r="H3028" s="20"/>
      <c r="I3028" s="20"/>
      <c r="J3028" s="20"/>
      <c r="K3028" s="20"/>
      <c r="L3028" s="20"/>
      <c r="M3028" s="20"/>
      <c r="N3028" s="20"/>
      <c r="O3028" s="20"/>
      <c r="P3028" s="20"/>
      <c r="Q3028" s="20"/>
      <c r="R3028" s="20">
        <v>7500</v>
      </c>
      <c r="S3028" s="20">
        <v>7500</v>
      </c>
      <c r="T3028" s="20">
        <v>7500</v>
      </c>
      <c r="U3028" s="20">
        <v>7500</v>
      </c>
      <c r="V3028" s="20">
        <v>7500</v>
      </c>
      <c r="W3028" s="20">
        <v>7500</v>
      </c>
      <c r="X3028" s="20">
        <v>7500</v>
      </c>
      <c r="Y3028" s="20">
        <v>7500</v>
      </c>
      <c r="Z3028" s="20">
        <v>7500</v>
      </c>
      <c r="AA3028" s="20"/>
      <c r="AB3028" s="20"/>
      <c r="AC3028" s="20"/>
      <c r="AD3028" s="20"/>
      <c r="AE3028" s="20"/>
      <c r="AF3028" s="20"/>
      <c r="AG3028" s="20"/>
      <c r="AH3028" s="20"/>
      <c r="AI3028" s="20"/>
      <c r="AJ3028" s="20"/>
      <c r="AK3028" s="20"/>
      <c r="AL3028" s="20"/>
      <c r="AM3028" s="20"/>
      <c r="AN3028" s="20"/>
      <c r="AO3028" s="20"/>
    </row>
    <row r="3029" spans="1:41" s="15" customFormat="1" ht="14.25" x14ac:dyDescent="0.2">
      <c r="A3029" s="18">
        <v>45030122</v>
      </c>
      <c r="B3029" s="19" t="s">
        <v>840</v>
      </c>
      <c r="C3029" s="20"/>
      <c r="D3029" s="20"/>
      <c r="E3029" s="20"/>
      <c r="F3029" s="20"/>
      <c r="G3029" s="20"/>
      <c r="H3029" s="20"/>
      <c r="I3029" s="20"/>
      <c r="J3029" s="20"/>
      <c r="K3029" s="20"/>
      <c r="L3029" s="20"/>
      <c r="M3029" s="20"/>
      <c r="N3029" s="20"/>
      <c r="O3029" s="20"/>
      <c r="P3029" s="20"/>
      <c r="Q3029" s="20"/>
      <c r="R3029" s="20"/>
      <c r="S3029" s="20"/>
      <c r="T3029" s="20"/>
      <c r="U3029" s="20"/>
      <c r="V3029" s="20"/>
      <c r="W3029" s="20"/>
      <c r="X3029" s="20"/>
      <c r="Y3029" s="20"/>
      <c r="Z3029" s="20"/>
      <c r="AA3029" s="20"/>
      <c r="AB3029" s="20"/>
      <c r="AC3029" s="20"/>
      <c r="AD3029" s="20"/>
      <c r="AE3029" s="20"/>
      <c r="AF3029" s="20"/>
      <c r="AG3029" s="20"/>
      <c r="AH3029" s="20"/>
      <c r="AI3029" s="20"/>
      <c r="AJ3029" s="20"/>
      <c r="AK3029" s="20"/>
      <c r="AL3029" s="20"/>
      <c r="AM3029" s="20"/>
      <c r="AN3029" s="20"/>
      <c r="AO3029" s="20"/>
    </row>
    <row r="3030" spans="1:41" s="15" customFormat="1" ht="14.25" x14ac:dyDescent="0.2">
      <c r="A3030" s="18" t="s">
        <v>1960</v>
      </c>
      <c r="B3030" s="19" t="s">
        <v>1961</v>
      </c>
      <c r="C3030" s="20"/>
      <c r="D3030" s="20"/>
      <c r="E3030" s="20">
        <v>13500</v>
      </c>
      <c r="F3030" s="20">
        <v>13500</v>
      </c>
      <c r="G3030" s="20">
        <v>13500</v>
      </c>
      <c r="H3030" s="20">
        <v>13500</v>
      </c>
      <c r="I3030" s="20">
        <v>13500</v>
      </c>
      <c r="J3030" s="20">
        <v>13500</v>
      </c>
      <c r="K3030" s="20">
        <v>13500</v>
      </c>
      <c r="L3030" s="20">
        <v>13500</v>
      </c>
      <c r="M3030" s="20">
        <v>13500</v>
      </c>
      <c r="N3030" s="20">
        <v>13500</v>
      </c>
      <c r="O3030" s="20"/>
      <c r="P3030" s="20"/>
      <c r="Q3030" s="20"/>
      <c r="R3030" s="20"/>
      <c r="S3030" s="20"/>
      <c r="T3030" s="20">
        <v>5000</v>
      </c>
      <c r="U3030" s="20">
        <v>5000</v>
      </c>
      <c r="V3030" s="20">
        <v>13686.38</v>
      </c>
      <c r="W3030" s="20">
        <v>13686.38</v>
      </c>
      <c r="X3030" s="20">
        <v>13686.38</v>
      </c>
      <c r="Y3030" s="20">
        <v>13686.38</v>
      </c>
      <c r="Z3030" s="20">
        <v>13686.38</v>
      </c>
      <c r="AA3030" s="20"/>
      <c r="AB3030" s="20"/>
      <c r="AC3030" s="20"/>
      <c r="AD3030" s="20"/>
      <c r="AE3030" s="20"/>
      <c r="AF3030" s="20"/>
      <c r="AG3030" s="20"/>
      <c r="AH3030" s="20"/>
      <c r="AI3030" s="20"/>
      <c r="AJ3030" s="20"/>
      <c r="AK3030" s="20"/>
      <c r="AL3030" s="20"/>
      <c r="AM3030" s="20"/>
      <c r="AN3030" s="20">
        <v>1750</v>
      </c>
      <c r="AO3030" s="20">
        <v>5250</v>
      </c>
    </row>
    <row r="3031" spans="1:41" s="15" customFormat="1" ht="14.25" x14ac:dyDescent="0.2">
      <c r="A3031" s="18">
        <v>45030123</v>
      </c>
      <c r="B3031" s="19" t="s">
        <v>841</v>
      </c>
      <c r="C3031" s="20"/>
      <c r="D3031" s="20"/>
      <c r="E3031" s="20"/>
      <c r="F3031" s="20"/>
      <c r="G3031" s="20"/>
      <c r="H3031" s="20"/>
      <c r="I3031" s="20"/>
      <c r="J3031" s="20"/>
      <c r="K3031" s="20"/>
      <c r="L3031" s="20"/>
      <c r="M3031" s="20"/>
      <c r="N3031" s="20"/>
      <c r="O3031" s="20"/>
      <c r="P3031" s="20"/>
      <c r="Q3031" s="20"/>
      <c r="R3031" s="20"/>
      <c r="S3031" s="20"/>
      <c r="T3031" s="20"/>
      <c r="U3031" s="20"/>
      <c r="V3031" s="20"/>
      <c r="W3031" s="20"/>
      <c r="X3031" s="20"/>
      <c r="Y3031" s="20"/>
      <c r="Z3031" s="20"/>
      <c r="AA3031" s="20"/>
      <c r="AB3031" s="20"/>
      <c r="AC3031" s="20"/>
      <c r="AD3031" s="20"/>
      <c r="AE3031" s="20"/>
      <c r="AF3031" s="20"/>
      <c r="AG3031" s="20"/>
      <c r="AH3031" s="20"/>
      <c r="AI3031" s="20"/>
      <c r="AJ3031" s="20"/>
      <c r="AK3031" s="20"/>
      <c r="AL3031" s="20"/>
      <c r="AM3031" s="20"/>
      <c r="AN3031" s="20"/>
      <c r="AO3031" s="20"/>
    </row>
    <row r="3032" spans="1:41" s="15" customFormat="1" ht="14.25" x14ac:dyDescent="0.2">
      <c r="A3032" s="18" t="s">
        <v>1962</v>
      </c>
      <c r="B3032" s="19" t="s">
        <v>1963</v>
      </c>
      <c r="C3032" s="20"/>
      <c r="D3032" s="20"/>
      <c r="E3032" s="20">
        <v>4950</v>
      </c>
      <c r="F3032" s="20">
        <v>4950</v>
      </c>
      <c r="G3032" s="20">
        <v>4950</v>
      </c>
      <c r="H3032" s="20">
        <v>4950</v>
      </c>
      <c r="I3032" s="20">
        <v>4950</v>
      </c>
      <c r="J3032" s="20">
        <v>4950</v>
      </c>
      <c r="K3032" s="20">
        <v>11550</v>
      </c>
      <c r="L3032" s="20">
        <v>11550</v>
      </c>
      <c r="M3032" s="20">
        <v>11550</v>
      </c>
      <c r="N3032" s="20">
        <v>11550</v>
      </c>
      <c r="O3032" s="20">
        <v>4950</v>
      </c>
      <c r="P3032" s="20">
        <v>4950</v>
      </c>
      <c r="Q3032" s="20">
        <v>9900</v>
      </c>
      <c r="R3032" s="20">
        <v>9900</v>
      </c>
      <c r="S3032" s="20">
        <v>9900</v>
      </c>
      <c r="T3032" s="20">
        <v>9900</v>
      </c>
      <c r="U3032" s="20">
        <v>9900</v>
      </c>
      <c r="V3032" s="20">
        <v>9900</v>
      </c>
      <c r="W3032" s="20">
        <v>9900</v>
      </c>
      <c r="X3032" s="20">
        <v>9900</v>
      </c>
      <c r="Y3032" s="20">
        <v>9900</v>
      </c>
      <c r="Z3032" s="20">
        <v>9900</v>
      </c>
      <c r="AA3032" s="20"/>
      <c r="AB3032" s="20"/>
      <c r="AC3032" s="20"/>
      <c r="AD3032" s="20"/>
      <c r="AE3032" s="20"/>
      <c r="AF3032" s="20"/>
      <c r="AG3032" s="20"/>
      <c r="AH3032" s="20"/>
      <c r="AI3032" s="20">
        <v>6600</v>
      </c>
      <c r="AJ3032" s="20">
        <v>6600</v>
      </c>
      <c r="AK3032" s="20">
        <v>6600</v>
      </c>
      <c r="AL3032" s="20">
        <v>6600</v>
      </c>
      <c r="AM3032" s="20">
        <v>4950</v>
      </c>
      <c r="AN3032" s="20">
        <v>4950</v>
      </c>
      <c r="AO3032" s="20">
        <v>9900</v>
      </c>
    </row>
    <row r="3033" spans="1:41" s="15" customFormat="1" ht="14.25" x14ac:dyDescent="0.2">
      <c r="A3033" s="18">
        <v>45030124</v>
      </c>
      <c r="B3033" s="19" t="s">
        <v>842</v>
      </c>
      <c r="C3033" s="20"/>
      <c r="D3033" s="20"/>
      <c r="E3033" s="20"/>
      <c r="F3033" s="20"/>
      <c r="G3033" s="20"/>
      <c r="H3033" s="20"/>
      <c r="I3033" s="20"/>
      <c r="J3033" s="20"/>
      <c r="K3033" s="20"/>
      <c r="L3033" s="20"/>
      <c r="M3033" s="20"/>
      <c r="N3033" s="20"/>
      <c r="O3033" s="20"/>
      <c r="P3033" s="20"/>
      <c r="Q3033" s="20"/>
      <c r="R3033" s="20"/>
      <c r="S3033" s="20"/>
      <c r="T3033" s="20"/>
      <c r="U3033" s="20"/>
      <c r="V3033" s="20"/>
      <c r="W3033" s="20"/>
      <c r="X3033" s="20"/>
      <c r="Y3033" s="20"/>
      <c r="Z3033" s="20"/>
      <c r="AA3033" s="20"/>
      <c r="AB3033" s="20"/>
      <c r="AC3033" s="20"/>
      <c r="AD3033" s="20"/>
      <c r="AE3033" s="20"/>
      <c r="AF3033" s="20"/>
      <c r="AG3033" s="20"/>
      <c r="AH3033" s="20"/>
      <c r="AI3033" s="20"/>
      <c r="AJ3033" s="20"/>
      <c r="AK3033" s="20"/>
      <c r="AL3033" s="20"/>
      <c r="AM3033" s="20"/>
      <c r="AN3033" s="20"/>
      <c r="AO3033" s="20"/>
    </row>
    <row r="3034" spans="1:41" s="15" customFormat="1" ht="14.25" x14ac:dyDescent="0.2">
      <c r="A3034" s="18">
        <v>45030129</v>
      </c>
      <c r="B3034" s="19" t="s">
        <v>843</v>
      </c>
      <c r="C3034" s="20"/>
      <c r="D3034" s="20"/>
      <c r="E3034" s="20"/>
      <c r="F3034" s="20"/>
      <c r="G3034" s="20"/>
      <c r="H3034" s="20"/>
      <c r="I3034" s="20"/>
      <c r="J3034" s="20"/>
      <c r="K3034" s="20"/>
      <c r="L3034" s="20"/>
      <c r="M3034" s="20"/>
      <c r="N3034" s="20"/>
      <c r="O3034" s="20"/>
      <c r="P3034" s="20"/>
      <c r="Q3034" s="20"/>
      <c r="R3034" s="20"/>
      <c r="S3034" s="20"/>
      <c r="T3034" s="20"/>
      <c r="U3034" s="20"/>
      <c r="V3034" s="20"/>
      <c r="W3034" s="20"/>
      <c r="X3034" s="20"/>
      <c r="Y3034" s="20"/>
      <c r="Z3034" s="20"/>
      <c r="AA3034" s="20"/>
      <c r="AB3034" s="20"/>
      <c r="AC3034" s="20"/>
      <c r="AD3034" s="20"/>
      <c r="AE3034" s="20"/>
      <c r="AF3034" s="20"/>
      <c r="AG3034" s="20"/>
      <c r="AH3034" s="20"/>
      <c r="AI3034" s="20"/>
      <c r="AJ3034" s="20"/>
      <c r="AK3034" s="20"/>
      <c r="AL3034" s="20"/>
      <c r="AM3034" s="20"/>
      <c r="AN3034" s="20"/>
      <c r="AO3034" s="20"/>
    </row>
    <row r="3035" spans="1:41" s="15" customFormat="1" ht="14.25" x14ac:dyDescent="0.2">
      <c r="A3035" s="18" t="s">
        <v>1964</v>
      </c>
      <c r="B3035" s="19" t="s">
        <v>1965</v>
      </c>
      <c r="C3035" s="20">
        <v>18132.45</v>
      </c>
      <c r="D3035" s="20">
        <v>50487.93</v>
      </c>
      <c r="E3035" s="20">
        <v>77101.899999999994</v>
      </c>
      <c r="F3035" s="20">
        <v>101652.31</v>
      </c>
      <c r="G3035" s="20">
        <v>125100.82</v>
      </c>
      <c r="H3035" s="20">
        <v>155707.49</v>
      </c>
      <c r="I3035" s="20">
        <v>195661.68</v>
      </c>
      <c r="J3035" s="20">
        <v>229019.82</v>
      </c>
      <c r="K3035" s="20">
        <v>287706.86</v>
      </c>
      <c r="L3035" s="20">
        <v>323899.02</v>
      </c>
      <c r="M3035" s="20">
        <v>371157</v>
      </c>
      <c r="N3035" s="20">
        <v>398957.93</v>
      </c>
      <c r="O3035" s="20">
        <v>37017.599999999999</v>
      </c>
      <c r="P3035" s="20">
        <v>103479.73</v>
      </c>
      <c r="Q3035" s="20">
        <v>151094.15</v>
      </c>
      <c r="R3035" s="20">
        <v>175923.64</v>
      </c>
      <c r="S3035" s="20">
        <v>193070.36</v>
      </c>
      <c r="T3035" s="20">
        <v>193070.36</v>
      </c>
      <c r="U3035" s="20">
        <v>197886.28</v>
      </c>
      <c r="V3035" s="20">
        <v>197954.42</v>
      </c>
      <c r="W3035" s="20">
        <v>203425.99</v>
      </c>
      <c r="X3035" s="20">
        <v>204756.88</v>
      </c>
      <c r="Y3035" s="20">
        <v>209834.32</v>
      </c>
      <c r="Z3035" s="20">
        <v>212593.5</v>
      </c>
      <c r="AA3035" s="20">
        <v>1708.4</v>
      </c>
      <c r="AB3035" s="20">
        <v>5724.64</v>
      </c>
      <c r="AC3035" s="20">
        <v>10016.42</v>
      </c>
      <c r="AD3035" s="20">
        <v>10841.44</v>
      </c>
      <c r="AE3035" s="20">
        <v>12315.86</v>
      </c>
      <c r="AF3035" s="20">
        <v>16816.59</v>
      </c>
      <c r="AG3035" s="20">
        <v>17756.240000000002</v>
      </c>
      <c r="AH3035" s="20">
        <v>18850.72</v>
      </c>
      <c r="AI3035" s="20">
        <v>19836.48</v>
      </c>
      <c r="AJ3035" s="20">
        <v>22280.48</v>
      </c>
      <c r="AK3035" s="20">
        <v>22710.14</v>
      </c>
      <c r="AL3035" s="20">
        <v>34462.25</v>
      </c>
      <c r="AM3035" s="20">
        <v>5061.7</v>
      </c>
      <c r="AN3035" s="20">
        <v>7453.4</v>
      </c>
      <c r="AO3035" s="20">
        <v>27137.32</v>
      </c>
    </row>
    <row r="3036" spans="1:41" s="15" customFormat="1" ht="14.25" x14ac:dyDescent="0.2">
      <c r="A3036" s="18" t="s">
        <v>1966</v>
      </c>
      <c r="B3036" s="19" t="s">
        <v>1967</v>
      </c>
      <c r="C3036" s="20">
        <v>8686.39</v>
      </c>
      <c r="D3036" s="20">
        <v>19404.02</v>
      </c>
      <c r="E3036" s="20">
        <v>34160.35</v>
      </c>
      <c r="F3036" s="20">
        <v>37817.360000000001</v>
      </c>
      <c r="G3036" s="20">
        <v>53263.21</v>
      </c>
      <c r="H3036" s="20">
        <v>86152.7</v>
      </c>
      <c r="I3036" s="20">
        <v>119438.55</v>
      </c>
      <c r="J3036" s="20">
        <v>156859.69</v>
      </c>
      <c r="K3036" s="20">
        <v>176983.97</v>
      </c>
      <c r="L3036" s="20">
        <v>187960.75</v>
      </c>
      <c r="M3036" s="20">
        <v>205262.33</v>
      </c>
      <c r="N3036" s="20">
        <v>262781.68</v>
      </c>
      <c r="O3036" s="20">
        <v>46744.74</v>
      </c>
      <c r="P3036" s="20">
        <v>78828.289999999994</v>
      </c>
      <c r="Q3036" s="20">
        <v>162056.21</v>
      </c>
      <c r="R3036" s="20">
        <v>226243.12</v>
      </c>
      <c r="S3036" s="20">
        <v>279123.76</v>
      </c>
      <c r="T3036" s="20">
        <v>293292.09000000003</v>
      </c>
      <c r="U3036" s="20">
        <v>298604.03999999998</v>
      </c>
      <c r="V3036" s="20">
        <v>308305.26</v>
      </c>
      <c r="W3036" s="20">
        <v>326078.52</v>
      </c>
      <c r="X3036" s="20">
        <v>326606.02</v>
      </c>
      <c r="Y3036" s="20">
        <v>326798.25</v>
      </c>
      <c r="Z3036" s="20">
        <v>326798.25</v>
      </c>
      <c r="AA3036" s="20">
        <v>4145.8100000000004</v>
      </c>
      <c r="AB3036" s="20">
        <v>4679.7</v>
      </c>
      <c r="AC3036" s="20">
        <v>4716.92</v>
      </c>
      <c r="AD3036" s="20">
        <v>5090.8</v>
      </c>
      <c r="AE3036" s="20">
        <v>5820.47</v>
      </c>
      <c r="AF3036" s="20">
        <v>10057.76</v>
      </c>
      <c r="AG3036" s="20">
        <v>10069.15</v>
      </c>
      <c r="AH3036" s="20">
        <v>10069.15</v>
      </c>
      <c r="AI3036" s="20">
        <v>10069.15</v>
      </c>
      <c r="AJ3036" s="20">
        <v>10069.15</v>
      </c>
      <c r="AK3036" s="20">
        <v>10069.219999999999</v>
      </c>
      <c r="AL3036" s="20">
        <v>10109.219999999999</v>
      </c>
      <c r="AM3036" s="20"/>
      <c r="AN3036" s="20"/>
      <c r="AO3036" s="20">
        <v>52.1</v>
      </c>
    </row>
    <row r="3037" spans="1:41" s="15" customFormat="1" ht="14.25" x14ac:dyDescent="0.2">
      <c r="A3037" s="18" t="s">
        <v>1968</v>
      </c>
      <c r="B3037" s="19" t="s">
        <v>1969</v>
      </c>
      <c r="C3037" s="20"/>
      <c r="D3037" s="20"/>
      <c r="E3037" s="20"/>
      <c r="F3037" s="20"/>
      <c r="G3037" s="20"/>
      <c r="H3037" s="20"/>
      <c r="I3037" s="20"/>
      <c r="J3037" s="20"/>
      <c r="K3037" s="20"/>
      <c r="L3037" s="20"/>
      <c r="M3037" s="20"/>
      <c r="N3037" s="20"/>
      <c r="O3037" s="20"/>
      <c r="P3037" s="20"/>
      <c r="Q3037" s="20"/>
      <c r="R3037" s="20"/>
      <c r="S3037" s="20"/>
      <c r="T3037" s="20"/>
      <c r="U3037" s="20"/>
      <c r="V3037" s="20"/>
      <c r="W3037" s="20"/>
      <c r="X3037" s="20"/>
      <c r="Y3037" s="20"/>
      <c r="Z3037" s="20"/>
      <c r="AA3037" s="20"/>
      <c r="AB3037" s="20"/>
      <c r="AC3037" s="20"/>
      <c r="AD3037" s="20"/>
      <c r="AE3037" s="20"/>
      <c r="AF3037" s="20"/>
      <c r="AG3037" s="20"/>
      <c r="AH3037" s="20"/>
      <c r="AI3037" s="20"/>
      <c r="AJ3037" s="20"/>
      <c r="AK3037" s="20"/>
      <c r="AL3037" s="20"/>
      <c r="AM3037" s="20"/>
      <c r="AN3037" s="20"/>
      <c r="AO3037" s="20">
        <v>4196.6099999999997</v>
      </c>
    </row>
    <row r="3038" spans="1:41" s="15" customFormat="1" ht="14.25" x14ac:dyDescent="0.2">
      <c r="A3038" s="18" t="s">
        <v>1970</v>
      </c>
      <c r="B3038" s="19" t="s">
        <v>1971</v>
      </c>
      <c r="C3038" s="20">
        <v>135.59</v>
      </c>
      <c r="D3038" s="20">
        <v>2154.83</v>
      </c>
      <c r="E3038" s="20">
        <v>2771.58</v>
      </c>
      <c r="F3038" s="20">
        <v>5048.1099999999997</v>
      </c>
      <c r="G3038" s="20">
        <v>9679.23</v>
      </c>
      <c r="H3038" s="20">
        <v>24145.040000000001</v>
      </c>
      <c r="I3038" s="20">
        <v>25751.040000000001</v>
      </c>
      <c r="J3038" s="20">
        <v>30342</v>
      </c>
      <c r="K3038" s="20">
        <v>38100.18</v>
      </c>
      <c r="L3038" s="20">
        <v>70074.100000000006</v>
      </c>
      <c r="M3038" s="20">
        <v>71328.72</v>
      </c>
      <c r="N3038" s="20">
        <v>106446.43</v>
      </c>
      <c r="O3038" s="20">
        <v>3082.76</v>
      </c>
      <c r="P3038" s="20">
        <v>3845.32</v>
      </c>
      <c r="Q3038" s="20">
        <v>6122.85</v>
      </c>
      <c r="R3038" s="20">
        <v>6684.82</v>
      </c>
      <c r="S3038" s="20">
        <v>6915.67</v>
      </c>
      <c r="T3038" s="20">
        <v>7160.86</v>
      </c>
      <c r="U3038" s="20">
        <v>7497.82</v>
      </c>
      <c r="V3038" s="20">
        <v>9578.92</v>
      </c>
      <c r="W3038" s="20">
        <v>41347.96</v>
      </c>
      <c r="X3038" s="20">
        <v>43130.93</v>
      </c>
      <c r="Y3038" s="20">
        <v>52094.23</v>
      </c>
      <c r="Z3038" s="20">
        <v>71116.62</v>
      </c>
      <c r="AA3038" s="20">
        <v>6064.93</v>
      </c>
      <c r="AB3038" s="20">
        <v>10241.42</v>
      </c>
      <c r="AC3038" s="20">
        <v>50449.35</v>
      </c>
      <c r="AD3038" s="20">
        <v>83792.759999999995</v>
      </c>
      <c r="AE3038" s="20">
        <v>117237.37</v>
      </c>
      <c r="AF3038" s="20">
        <v>120827.39</v>
      </c>
      <c r="AG3038" s="20">
        <v>121782.17</v>
      </c>
      <c r="AH3038" s="20">
        <v>127898.91</v>
      </c>
      <c r="AI3038" s="20">
        <v>132489.69</v>
      </c>
      <c r="AJ3038" s="20">
        <v>135418.43</v>
      </c>
      <c r="AK3038" s="20">
        <v>137138.37</v>
      </c>
      <c r="AL3038" s="20">
        <v>140635.54</v>
      </c>
      <c r="AM3038" s="20">
        <v>5369.77</v>
      </c>
      <c r="AN3038" s="20">
        <v>8698.5300000000007</v>
      </c>
      <c r="AO3038" s="20">
        <v>9843.2199999999993</v>
      </c>
    </row>
    <row r="3039" spans="1:41" s="15" customFormat="1" ht="14.25" x14ac:dyDescent="0.2">
      <c r="A3039" s="18" t="s">
        <v>1972</v>
      </c>
      <c r="B3039" s="19" t="s">
        <v>1973</v>
      </c>
      <c r="C3039" s="20"/>
      <c r="D3039" s="20"/>
      <c r="E3039" s="20"/>
      <c r="F3039" s="20"/>
      <c r="G3039" s="20"/>
      <c r="H3039" s="20"/>
      <c r="I3039" s="20"/>
      <c r="J3039" s="20"/>
      <c r="K3039" s="20"/>
      <c r="L3039" s="20"/>
      <c r="M3039" s="20"/>
      <c r="N3039" s="20"/>
      <c r="O3039" s="20"/>
      <c r="P3039" s="20"/>
      <c r="Q3039" s="20"/>
      <c r="R3039" s="20"/>
      <c r="S3039" s="20"/>
      <c r="T3039" s="20"/>
      <c r="U3039" s="20"/>
      <c r="V3039" s="20"/>
      <c r="W3039" s="20"/>
      <c r="X3039" s="20"/>
      <c r="Y3039" s="20"/>
      <c r="Z3039" s="20"/>
      <c r="AA3039" s="20"/>
      <c r="AB3039" s="20"/>
      <c r="AC3039" s="20"/>
      <c r="AD3039" s="20">
        <v>3192</v>
      </c>
      <c r="AE3039" s="20">
        <v>4936</v>
      </c>
      <c r="AF3039" s="20">
        <v>4936</v>
      </c>
      <c r="AG3039" s="20">
        <v>4936</v>
      </c>
      <c r="AH3039" s="20">
        <v>4936</v>
      </c>
      <c r="AI3039" s="20">
        <v>4936</v>
      </c>
      <c r="AJ3039" s="20">
        <v>4936</v>
      </c>
      <c r="AK3039" s="20">
        <v>4936</v>
      </c>
      <c r="AL3039" s="20">
        <v>4936</v>
      </c>
      <c r="AM3039" s="20"/>
      <c r="AN3039" s="20"/>
      <c r="AO3039" s="20"/>
    </row>
    <row r="3040" spans="1:41" s="15" customFormat="1" ht="14.25" x14ac:dyDescent="0.2">
      <c r="A3040" s="18" t="s">
        <v>1974</v>
      </c>
      <c r="B3040" s="21" t="s">
        <v>2005</v>
      </c>
      <c r="C3040" s="20"/>
      <c r="D3040" s="20"/>
      <c r="E3040" s="20"/>
      <c r="F3040" s="20"/>
      <c r="G3040" s="20"/>
      <c r="H3040" s="20"/>
      <c r="I3040" s="20"/>
      <c r="J3040" s="20"/>
      <c r="K3040" s="20"/>
      <c r="L3040" s="20"/>
      <c r="M3040" s="20"/>
      <c r="N3040" s="20"/>
      <c r="O3040" s="20"/>
      <c r="P3040" s="20"/>
      <c r="Q3040" s="20"/>
      <c r="R3040" s="20"/>
      <c r="S3040" s="20"/>
      <c r="T3040" s="20"/>
      <c r="U3040" s="20"/>
      <c r="V3040" s="20"/>
      <c r="W3040" s="20">
        <v>0.04</v>
      </c>
      <c r="X3040" s="20">
        <v>0.04</v>
      </c>
      <c r="Y3040" s="20">
        <v>0.04</v>
      </c>
      <c r="Z3040" s="20">
        <v>0.04</v>
      </c>
      <c r="AA3040" s="20"/>
      <c r="AB3040" s="20"/>
      <c r="AC3040" s="20"/>
      <c r="AD3040" s="20"/>
      <c r="AE3040" s="20"/>
      <c r="AF3040" s="20"/>
      <c r="AG3040" s="20"/>
      <c r="AH3040" s="20"/>
      <c r="AI3040" s="20"/>
      <c r="AJ3040" s="20"/>
      <c r="AK3040" s="20"/>
      <c r="AL3040" s="20"/>
      <c r="AM3040" s="20">
        <v>5.76</v>
      </c>
      <c r="AN3040" s="20">
        <v>5.76</v>
      </c>
      <c r="AO3040" s="20">
        <v>5.76</v>
      </c>
    </row>
    <row r="3041" spans="1:41" s="15" customFormat="1" ht="14.25" x14ac:dyDescent="0.2">
      <c r="A3041" s="18" t="s">
        <v>1975</v>
      </c>
      <c r="B3041" s="19" t="s">
        <v>1976</v>
      </c>
      <c r="C3041" s="20"/>
      <c r="D3041" s="20"/>
      <c r="E3041" s="20"/>
      <c r="F3041" s="20"/>
      <c r="G3041" s="20"/>
      <c r="H3041" s="20"/>
      <c r="I3041" s="20"/>
      <c r="J3041" s="20">
        <v>0.38</v>
      </c>
      <c r="K3041" s="20">
        <v>0.38</v>
      </c>
      <c r="L3041" s="20">
        <v>0.38</v>
      </c>
      <c r="M3041" s="20">
        <v>0.38</v>
      </c>
      <c r="N3041" s="20">
        <v>0.38</v>
      </c>
      <c r="O3041" s="20"/>
      <c r="P3041" s="20"/>
      <c r="Q3041" s="20"/>
      <c r="R3041" s="20"/>
      <c r="S3041" s="20"/>
      <c r="T3041" s="20"/>
      <c r="U3041" s="20"/>
      <c r="V3041" s="20"/>
      <c r="W3041" s="20"/>
      <c r="X3041" s="20"/>
      <c r="Y3041" s="20"/>
      <c r="Z3041" s="20"/>
      <c r="AA3041" s="20"/>
      <c r="AB3041" s="20"/>
      <c r="AC3041" s="20"/>
      <c r="AD3041" s="20"/>
      <c r="AE3041" s="20"/>
      <c r="AF3041" s="20"/>
      <c r="AG3041" s="20"/>
      <c r="AH3041" s="20"/>
      <c r="AI3041" s="20"/>
      <c r="AJ3041" s="20"/>
      <c r="AK3041" s="20"/>
      <c r="AL3041" s="20"/>
      <c r="AM3041" s="20"/>
      <c r="AN3041" s="20"/>
      <c r="AO3041" s="20"/>
    </row>
    <row r="3042" spans="1:41" s="15" customFormat="1" ht="14.25" x14ac:dyDescent="0.2">
      <c r="A3042" s="18" t="s">
        <v>1977</v>
      </c>
      <c r="B3042" s="19" t="s">
        <v>1978</v>
      </c>
      <c r="C3042" s="20">
        <v>100</v>
      </c>
      <c r="D3042" s="20">
        <v>9957.0300000000007</v>
      </c>
      <c r="E3042" s="20">
        <v>10547.03</v>
      </c>
      <c r="F3042" s="20">
        <v>14147.94</v>
      </c>
      <c r="G3042" s="20">
        <v>15841.63</v>
      </c>
      <c r="H3042" s="20">
        <v>18581.849999999999</v>
      </c>
      <c r="I3042" s="20">
        <v>20219.849999999999</v>
      </c>
      <c r="J3042" s="20">
        <v>26368.11</v>
      </c>
      <c r="K3042" s="20">
        <v>29652.86</v>
      </c>
      <c r="L3042" s="20">
        <v>32219.99</v>
      </c>
      <c r="M3042" s="20">
        <v>33419.99</v>
      </c>
      <c r="N3042" s="20">
        <v>33969.99</v>
      </c>
      <c r="O3042" s="20">
        <v>1340</v>
      </c>
      <c r="P3042" s="20">
        <v>1410</v>
      </c>
      <c r="Q3042" s="20">
        <v>1410</v>
      </c>
      <c r="R3042" s="20">
        <v>1990</v>
      </c>
      <c r="S3042" s="20">
        <v>4838</v>
      </c>
      <c r="T3042" s="20">
        <v>7837.32</v>
      </c>
      <c r="U3042" s="20">
        <v>8666.64</v>
      </c>
      <c r="V3042" s="20">
        <v>8666.64</v>
      </c>
      <c r="W3042" s="20">
        <v>8666.64</v>
      </c>
      <c r="X3042" s="20">
        <v>8666.64</v>
      </c>
      <c r="Y3042" s="20">
        <v>12069.18</v>
      </c>
      <c r="Z3042" s="20">
        <v>12323.42</v>
      </c>
      <c r="AA3042" s="20"/>
      <c r="AB3042" s="20">
        <v>200</v>
      </c>
      <c r="AC3042" s="20">
        <v>200</v>
      </c>
      <c r="AD3042" s="20">
        <v>670</v>
      </c>
      <c r="AE3042" s="20">
        <v>2632.14</v>
      </c>
      <c r="AF3042" s="20">
        <v>6598.33</v>
      </c>
      <c r="AG3042" s="20">
        <v>10121.6</v>
      </c>
      <c r="AH3042" s="20">
        <v>12895.78</v>
      </c>
      <c r="AI3042" s="20">
        <v>20929.990000000002</v>
      </c>
      <c r="AJ3042" s="20">
        <v>22172.39</v>
      </c>
      <c r="AK3042" s="20">
        <v>22652.39</v>
      </c>
      <c r="AL3042" s="20">
        <v>23812.39</v>
      </c>
      <c r="AM3042" s="20">
        <v>100</v>
      </c>
      <c r="AN3042" s="20">
        <v>1840</v>
      </c>
      <c r="AO3042" s="20">
        <v>7713</v>
      </c>
    </row>
    <row r="3043" spans="1:41" s="15" customFormat="1" ht="14.25" x14ac:dyDescent="0.2">
      <c r="A3043" s="18" t="s">
        <v>1979</v>
      </c>
      <c r="B3043" s="19" t="s">
        <v>1980</v>
      </c>
      <c r="C3043" s="20">
        <v>1705.52</v>
      </c>
      <c r="D3043" s="20">
        <v>2723.75</v>
      </c>
      <c r="E3043" s="20">
        <v>3910.51</v>
      </c>
      <c r="F3043" s="20">
        <v>7560.13</v>
      </c>
      <c r="G3043" s="20">
        <v>11583.63</v>
      </c>
      <c r="H3043" s="20">
        <v>12616.5</v>
      </c>
      <c r="I3043" s="20">
        <v>13906.87</v>
      </c>
      <c r="J3043" s="20">
        <v>17693.96</v>
      </c>
      <c r="K3043" s="20">
        <v>21621.25</v>
      </c>
      <c r="L3043" s="20">
        <v>23584.46</v>
      </c>
      <c r="M3043" s="20">
        <v>27888.23</v>
      </c>
      <c r="N3043" s="20">
        <v>28371.53</v>
      </c>
      <c r="O3043" s="20">
        <v>3850.42</v>
      </c>
      <c r="P3043" s="20">
        <v>7484.54</v>
      </c>
      <c r="Q3043" s="20">
        <v>9396</v>
      </c>
      <c r="R3043" s="20">
        <v>12951.76</v>
      </c>
      <c r="S3043" s="20">
        <v>17704.240000000002</v>
      </c>
      <c r="T3043" s="20">
        <v>22784.2</v>
      </c>
      <c r="U3043" s="20">
        <v>22784.2</v>
      </c>
      <c r="V3043" s="20">
        <v>22784.2</v>
      </c>
      <c r="W3043" s="20">
        <v>22784.2</v>
      </c>
      <c r="X3043" s="20">
        <v>23507.93</v>
      </c>
      <c r="Y3043" s="20">
        <v>25480.75</v>
      </c>
      <c r="Z3043" s="20">
        <v>27315.99</v>
      </c>
      <c r="AA3043" s="20"/>
      <c r="AB3043" s="20"/>
      <c r="AC3043" s="20"/>
      <c r="AD3043" s="20">
        <v>366</v>
      </c>
      <c r="AE3043" s="20">
        <v>366</v>
      </c>
      <c r="AF3043" s="20">
        <v>366</v>
      </c>
      <c r="AG3043" s="20">
        <v>366</v>
      </c>
      <c r="AH3043" s="20">
        <v>366</v>
      </c>
      <c r="AI3043" s="20">
        <v>366</v>
      </c>
      <c r="AJ3043" s="20">
        <v>366</v>
      </c>
      <c r="AK3043" s="20">
        <v>366</v>
      </c>
      <c r="AL3043" s="20">
        <v>366</v>
      </c>
      <c r="AM3043" s="20"/>
      <c r="AN3043" s="20">
        <v>453.39</v>
      </c>
      <c r="AO3043" s="20">
        <v>453.39</v>
      </c>
    </row>
    <row r="3044" spans="1:41" s="15" customFormat="1" ht="14.25" x14ac:dyDescent="0.2">
      <c r="A3044" s="18" t="s">
        <v>1981</v>
      </c>
      <c r="B3044" s="19" t="s">
        <v>1982</v>
      </c>
      <c r="C3044" s="20"/>
      <c r="D3044" s="20"/>
      <c r="E3044" s="20"/>
      <c r="F3044" s="20"/>
      <c r="G3044" s="20">
        <v>1296.19</v>
      </c>
      <c r="H3044" s="20">
        <v>1296.19</v>
      </c>
      <c r="I3044" s="20">
        <v>1296.19</v>
      </c>
      <c r="J3044" s="20">
        <v>6317.38</v>
      </c>
      <c r="K3044" s="20">
        <v>6317.38</v>
      </c>
      <c r="L3044" s="20">
        <v>8132.8</v>
      </c>
      <c r="M3044" s="20">
        <v>8132.8</v>
      </c>
      <c r="N3044" s="20">
        <v>14243.99</v>
      </c>
      <c r="O3044" s="20"/>
      <c r="P3044" s="20"/>
      <c r="Q3044" s="20"/>
      <c r="R3044" s="20"/>
      <c r="S3044" s="20"/>
      <c r="T3044" s="20"/>
      <c r="U3044" s="20"/>
      <c r="V3044" s="20">
        <v>5250.66</v>
      </c>
      <c r="W3044" s="20">
        <v>5250.66</v>
      </c>
      <c r="X3044" s="20">
        <v>21115.61</v>
      </c>
      <c r="Y3044" s="20">
        <v>29862.46</v>
      </c>
      <c r="Z3044" s="20">
        <v>31854.27</v>
      </c>
      <c r="AA3044" s="20">
        <v>4075.36</v>
      </c>
      <c r="AB3044" s="20">
        <v>7214.8</v>
      </c>
      <c r="AC3044" s="20">
        <v>10066.89</v>
      </c>
      <c r="AD3044" s="20">
        <v>12815.59</v>
      </c>
      <c r="AE3044" s="20">
        <v>15642.66</v>
      </c>
      <c r="AF3044" s="20">
        <v>21252.14</v>
      </c>
      <c r="AG3044" s="20">
        <v>26148.09</v>
      </c>
      <c r="AH3044" s="20">
        <v>31916.51</v>
      </c>
      <c r="AI3044" s="20">
        <v>36177.07</v>
      </c>
      <c r="AJ3044" s="20">
        <v>44340.75</v>
      </c>
      <c r="AK3044" s="20">
        <v>50377.61</v>
      </c>
      <c r="AL3044" s="20">
        <v>54672.33</v>
      </c>
      <c r="AM3044" s="20">
        <v>4989.07</v>
      </c>
      <c r="AN3044" s="20">
        <v>8108.75</v>
      </c>
      <c r="AO3044" s="20">
        <v>16071.97</v>
      </c>
    </row>
    <row r="3045" spans="1:41" s="15" customFormat="1" ht="14.25" x14ac:dyDescent="0.2">
      <c r="A3045" s="18" t="s">
        <v>1983</v>
      </c>
      <c r="B3045" s="19" t="s">
        <v>1984</v>
      </c>
      <c r="C3045" s="20"/>
      <c r="D3045" s="20"/>
      <c r="E3045" s="20">
        <v>15</v>
      </c>
      <c r="F3045" s="20">
        <v>15</v>
      </c>
      <c r="G3045" s="20">
        <v>25</v>
      </c>
      <c r="H3045" s="20">
        <v>357</v>
      </c>
      <c r="I3045" s="20">
        <v>367</v>
      </c>
      <c r="J3045" s="20">
        <v>382</v>
      </c>
      <c r="K3045" s="20">
        <v>486</v>
      </c>
      <c r="L3045" s="20">
        <v>496</v>
      </c>
      <c r="M3045" s="20">
        <v>496</v>
      </c>
      <c r="N3045" s="20">
        <v>516</v>
      </c>
      <c r="O3045" s="20">
        <v>113.9</v>
      </c>
      <c r="P3045" s="20">
        <v>128.9</v>
      </c>
      <c r="Q3045" s="20">
        <v>242.8</v>
      </c>
      <c r="R3045" s="20">
        <v>242.8</v>
      </c>
      <c r="S3045" s="20">
        <v>252.8</v>
      </c>
      <c r="T3045" s="20">
        <v>346.7</v>
      </c>
      <c r="U3045" s="20">
        <v>346.7</v>
      </c>
      <c r="V3045" s="20">
        <v>346.7</v>
      </c>
      <c r="W3045" s="20">
        <v>346.7</v>
      </c>
      <c r="X3045" s="20">
        <v>346.7</v>
      </c>
      <c r="Y3045" s="20">
        <v>346.7</v>
      </c>
      <c r="Z3045" s="20">
        <v>346.7</v>
      </c>
      <c r="AA3045" s="20"/>
      <c r="AB3045" s="20"/>
      <c r="AC3045" s="20"/>
      <c r="AD3045" s="20"/>
      <c r="AE3045" s="20"/>
      <c r="AF3045" s="20"/>
      <c r="AG3045" s="20"/>
      <c r="AH3045" s="20"/>
      <c r="AI3045" s="20"/>
      <c r="AJ3045" s="20"/>
      <c r="AK3045" s="20"/>
      <c r="AL3045" s="20"/>
      <c r="AM3045" s="20"/>
      <c r="AN3045" s="20"/>
      <c r="AO3045" s="20"/>
    </row>
    <row r="3046" spans="1:41" s="15" customFormat="1" ht="14.25" x14ac:dyDescent="0.2">
      <c r="A3046" s="18" t="s">
        <v>1985</v>
      </c>
      <c r="B3046" s="19" t="s">
        <v>1986</v>
      </c>
      <c r="C3046" s="20">
        <v>3063.2</v>
      </c>
      <c r="D3046" s="20">
        <v>6119.2</v>
      </c>
      <c r="E3046" s="20">
        <v>9126.4</v>
      </c>
      <c r="F3046" s="20">
        <v>9126.4</v>
      </c>
      <c r="G3046" s="20">
        <v>15038.4</v>
      </c>
      <c r="H3046" s="20">
        <v>17947.2</v>
      </c>
      <c r="I3046" s="20">
        <v>17947.2</v>
      </c>
      <c r="J3046" s="20">
        <v>23811.200000000001</v>
      </c>
      <c r="K3046" s="20">
        <v>26848.799999999999</v>
      </c>
      <c r="L3046" s="20">
        <v>26848.799999999999</v>
      </c>
      <c r="M3046" s="20">
        <v>32919.199999999997</v>
      </c>
      <c r="N3046" s="20">
        <v>35874.400000000001</v>
      </c>
      <c r="O3046" s="20"/>
      <c r="P3046" s="20">
        <v>3106.4</v>
      </c>
      <c r="Q3046" s="20">
        <v>9109.6</v>
      </c>
      <c r="R3046" s="20">
        <v>9109.6</v>
      </c>
      <c r="S3046" s="20">
        <v>12096.8</v>
      </c>
      <c r="T3046" s="20">
        <v>15099.2</v>
      </c>
      <c r="U3046" s="20">
        <v>21173.599999999999</v>
      </c>
      <c r="V3046" s="20">
        <v>21173.599999999999</v>
      </c>
      <c r="W3046" s="20">
        <v>24172</v>
      </c>
      <c r="X3046" s="20">
        <v>27156</v>
      </c>
      <c r="Y3046" s="20">
        <v>33182.400000000001</v>
      </c>
      <c r="Z3046" s="20">
        <v>33182.400000000001</v>
      </c>
      <c r="AA3046" s="20">
        <v>6001.6</v>
      </c>
      <c r="AB3046" s="20">
        <v>6001.6</v>
      </c>
      <c r="AC3046" s="20">
        <v>11864</v>
      </c>
      <c r="AD3046" s="20">
        <v>14801.6</v>
      </c>
      <c r="AE3046" s="20">
        <v>14801.6</v>
      </c>
      <c r="AF3046" s="20">
        <v>17705.599999999999</v>
      </c>
      <c r="AG3046" s="20">
        <v>23486.400000000001</v>
      </c>
      <c r="AH3046" s="20">
        <v>26396.799999999999</v>
      </c>
      <c r="AI3046" s="20">
        <v>29198.400000000001</v>
      </c>
      <c r="AJ3046" s="20">
        <v>29198.400000000001</v>
      </c>
      <c r="AK3046" s="20">
        <v>31993.599999999999</v>
      </c>
      <c r="AL3046" s="20">
        <v>37390.400000000001</v>
      </c>
      <c r="AM3046" s="20"/>
      <c r="AN3046" s="20">
        <v>5364</v>
      </c>
      <c r="AO3046" s="20">
        <v>5364</v>
      </c>
    </row>
    <row r="3047" spans="1:41" s="15" customFormat="1" ht="14.25" x14ac:dyDescent="0.2">
      <c r="A3047" s="18" t="s">
        <v>1987</v>
      </c>
      <c r="B3047" s="19" t="s">
        <v>1988</v>
      </c>
      <c r="C3047" s="20"/>
      <c r="D3047" s="20"/>
      <c r="E3047" s="20"/>
      <c r="F3047" s="20"/>
      <c r="G3047" s="20"/>
      <c r="H3047" s="20"/>
      <c r="I3047" s="20"/>
      <c r="J3047" s="20"/>
      <c r="K3047" s="20">
        <v>10993.22</v>
      </c>
      <c r="L3047" s="20">
        <v>10993.22</v>
      </c>
      <c r="M3047" s="20">
        <v>10993.22</v>
      </c>
      <c r="N3047" s="20">
        <v>10993.22</v>
      </c>
      <c r="O3047" s="20"/>
      <c r="P3047" s="20"/>
      <c r="Q3047" s="20"/>
      <c r="R3047" s="20"/>
      <c r="S3047" s="20"/>
      <c r="T3047" s="20"/>
      <c r="U3047" s="20"/>
      <c r="V3047" s="20"/>
      <c r="W3047" s="20"/>
      <c r="X3047" s="20"/>
      <c r="Y3047" s="20"/>
      <c r="Z3047" s="20"/>
      <c r="AA3047" s="20"/>
      <c r="AB3047" s="20"/>
      <c r="AC3047" s="20"/>
      <c r="AD3047" s="20"/>
      <c r="AE3047" s="20"/>
      <c r="AF3047" s="20"/>
      <c r="AG3047" s="20"/>
      <c r="AH3047" s="20"/>
      <c r="AI3047" s="20"/>
      <c r="AJ3047" s="20"/>
      <c r="AK3047" s="20"/>
      <c r="AL3047" s="20"/>
      <c r="AM3047" s="20"/>
      <c r="AN3047" s="20"/>
      <c r="AO3047" s="20"/>
    </row>
    <row r="3048" spans="1:41" s="15" customFormat="1" ht="14.25" x14ac:dyDescent="0.2">
      <c r="A3048" s="18" t="s">
        <v>1989</v>
      </c>
      <c r="B3048" s="19" t="s">
        <v>1990</v>
      </c>
      <c r="C3048" s="20"/>
      <c r="D3048" s="20"/>
      <c r="E3048" s="20"/>
      <c r="F3048" s="20"/>
      <c r="G3048" s="20">
        <v>18984.080000000002</v>
      </c>
      <c r="H3048" s="20">
        <v>18984.080000000002</v>
      </c>
      <c r="I3048" s="20">
        <v>18984.080000000002</v>
      </c>
      <c r="J3048" s="20">
        <v>18984.080000000002</v>
      </c>
      <c r="K3048" s="20">
        <v>18984.080000000002</v>
      </c>
      <c r="L3048" s="20">
        <v>18984.080000000002</v>
      </c>
      <c r="M3048" s="20">
        <v>18984.080000000002</v>
      </c>
      <c r="N3048" s="20">
        <v>18984.080000000002</v>
      </c>
      <c r="O3048" s="20"/>
      <c r="P3048" s="20"/>
      <c r="Q3048" s="20"/>
      <c r="R3048" s="20">
        <v>841.53</v>
      </c>
      <c r="S3048" s="20">
        <v>3177.73</v>
      </c>
      <c r="T3048" s="20">
        <v>4330.29</v>
      </c>
      <c r="U3048" s="20">
        <v>4330.29</v>
      </c>
      <c r="V3048" s="20">
        <v>4330.29</v>
      </c>
      <c r="W3048" s="20">
        <v>4330.29</v>
      </c>
      <c r="X3048" s="20">
        <v>4330.29</v>
      </c>
      <c r="Y3048" s="20">
        <v>4330.29</v>
      </c>
      <c r="Z3048" s="20">
        <v>4330.29</v>
      </c>
      <c r="AA3048" s="20"/>
      <c r="AB3048" s="20"/>
      <c r="AC3048" s="20"/>
      <c r="AD3048" s="20">
        <v>64032.2</v>
      </c>
      <c r="AE3048" s="20">
        <v>114168.75</v>
      </c>
      <c r="AF3048" s="20">
        <v>114168.75</v>
      </c>
      <c r="AG3048" s="20">
        <v>114168.75</v>
      </c>
      <c r="AH3048" s="20">
        <v>114168.75</v>
      </c>
      <c r="AI3048" s="20">
        <v>114168.75</v>
      </c>
      <c r="AJ3048" s="20">
        <v>114168.75</v>
      </c>
      <c r="AK3048" s="20">
        <v>114168.75</v>
      </c>
      <c r="AL3048" s="20">
        <v>114168.75</v>
      </c>
      <c r="AM3048" s="20"/>
      <c r="AN3048" s="20"/>
      <c r="AO3048" s="20"/>
    </row>
    <row r="3049" spans="1:41" s="15" customFormat="1" ht="14.25" x14ac:dyDescent="0.2">
      <c r="A3049" s="18" t="s">
        <v>1991</v>
      </c>
      <c r="B3049" s="19" t="s">
        <v>1992</v>
      </c>
      <c r="C3049" s="20">
        <v>26725.74</v>
      </c>
      <c r="D3049" s="20">
        <v>30183.919999999998</v>
      </c>
      <c r="E3049" s="20">
        <v>30183.919999999998</v>
      </c>
      <c r="F3049" s="20">
        <v>31696.12</v>
      </c>
      <c r="G3049" s="20">
        <v>31827.84</v>
      </c>
      <c r="H3049" s="20">
        <v>31827.84</v>
      </c>
      <c r="I3049" s="20">
        <v>31852.92</v>
      </c>
      <c r="J3049" s="20">
        <v>53369.36</v>
      </c>
      <c r="K3049" s="20">
        <v>67839.27</v>
      </c>
      <c r="L3049" s="20">
        <v>97665.4</v>
      </c>
      <c r="M3049" s="20">
        <v>106304.57</v>
      </c>
      <c r="N3049" s="20">
        <v>109141.93</v>
      </c>
      <c r="O3049" s="20">
        <v>3208.34</v>
      </c>
      <c r="P3049" s="20">
        <v>4406.34</v>
      </c>
      <c r="Q3049" s="20">
        <v>55427.01</v>
      </c>
      <c r="R3049" s="20">
        <v>57575.01</v>
      </c>
      <c r="S3049" s="20">
        <v>59404.79</v>
      </c>
      <c r="T3049" s="20">
        <v>63859.23</v>
      </c>
      <c r="U3049" s="20">
        <v>66255.23</v>
      </c>
      <c r="V3049" s="20">
        <v>70145.86</v>
      </c>
      <c r="W3049" s="20">
        <v>72479.5</v>
      </c>
      <c r="X3049" s="20">
        <v>75717.97</v>
      </c>
      <c r="Y3049" s="20">
        <v>76915.97</v>
      </c>
      <c r="Z3049" s="20">
        <v>76962.710000000006</v>
      </c>
      <c r="AA3049" s="20">
        <v>3479</v>
      </c>
      <c r="AB3049" s="20">
        <v>4008.32</v>
      </c>
      <c r="AC3049" s="20">
        <v>6780.04</v>
      </c>
      <c r="AD3049" s="20">
        <v>10042.86</v>
      </c>
      <c r="AE3049" s="20">
        <v>13195.47</v>
      </c>
      <c r="AF3049" s="20">
        <v>14005.39</v>
      </c>
      <c r="AG3049" s="20">
        <v>14005.39</v>
      </c>
      <c r="AH3049" s="20">
        <v>14005.39</v>
      </c>
      <c r="AI3049" s="20">
        <v>14005.39</v>
      </c>
      <c r="AJ3049" s="20">
        <v>14005.39</v>
      </c>
      <c r="AK3049" s="20">
        <v>14005.39</v>
      </c>
      <c r="AL3049" s="20">
        <v>14160.29</v>
      </c>
      <c r="AM3049" s="20">
        <v>450</v>
      </c>
      <c r="AN3049" s="20">
        <v>450</v>
      </c>
      <c r="AO3049" s="20">
        <v>450</v>
      </c>
    </row>
    <row r="3050" spans="1:41" s="15" customFormat="1" ht="14.25" x14ac:dyDescent="0.2">
      <c r="A3050" s="18" t="s">
        <v>1993</v>
      </c>
      <c r="B3050" s="19" t="s">
        <v>1994</v>
      </c>
      <c r="C3050" s="20"/>
      <c r="D3050" s="20"/>
      <c r="E3050" s="20">
        <v>160</v>
      </c>
      <c r="F3050" s="20">
        <v>340</v>
      </c>
      <c r="G3050" s="20">
        <v>340</v>
      </c>
      <c r="H3050" s="20">
        <v>360</v>
      </c>
      <c r="I3050" s="20">
        <v>360</v>
      </c>
      <c r="J3050" s="20">
        <v>360</v>
      </c>
      <c r="K3050" s="20">
        <v>1144.07</v>
      </c>
      <c r="L3050" s="20">
        <v>1734.07</v>
      </c>
      <c r="M3050" s="20">
        <v>1734.07</v>
      </c>
      <c r="N3050" s="20">
        <v>1734.07</v>
      </c>
      <c r="O3050" s="20"/>
      <c r="P3050" s="20">
        <v>570</v>
      </c>
      <c r="Q3050" s="20">
        <v>570</v>
      </c>
      <c r="R3050" s="20">
        <v>570</v>
      </c>
      <c r="S3050" s="20">
        <v>570</v>
      </c>
      <c r="T3050" s="20">
        <v>731.02</v>
      </c>
      <c r="U3050" s="20">
        <v>731.02</v>
      </c>
      <c r="V3050" s="20">
        <v>731.02</v>
      </c>
      <c r="W3050" s="20">
        <v>901.02</v>
      </c>
      <c r="X3050" s="20">
        <v>901.02</v>
      </c>
      <c r="Y3050" s="20">
        <v>901.02</v>
      </c>
      <c r="Z3050" s="20">
        <v>901.02</v>
      </c>
      <c r="AA3050" s="20">
        <v>459</v>
      </c>
      <c r="AB3050" s="20">
        <v>459</v>
      </c>
      <c r="AC3050" s="20">
        <v>559</v>
      </c>
      <c r="AD3050" s="20">
        <v>559</v>
      </c>
      <c r="AE3050" s="20">
        <v>559</v>
      </c>
      <c r="AF3050" s="20">
        <v>559</v>
      </c>
      <c r="AG3050" s="20">
        <v>559</v>
      </c>
      <c r="AH3050" s="20">
        <v>559</v>
      </c>
      <c r="AI3050" s="20">
        <v>849</v>
      </c>
      <c r="AJ3050" s="20">
        <v>849</v>
      </c>
      <c r="AK3050" s="20">
        <v>849</v>
      </c>
      <c r="AL3050" s="20">
        <v>849</v>
      </c>
      <c r="AM3050" s="20">
        <v>320</v>
      </c>
      <c r="AN3050" s="20">
        <v>320</v>
      </c>
      <c r="AO3050" s="20">
        <v>320</v>
      </c>
    </row>
    <row r="3051" spans="1:41" s="15" customFormat="1" ht="14.25" x14ac:dyDescent="0.2">
      <c r="A3051" s="18" t="s">
        <v>1995</v>
      </c>
      <c r="B3051" s="19" t="s">
        <v>1996</v>
      </c>
      <c r="C3051" s="20"/>
      <c r="D3051" s="20"/>
      <c r="E3051" s="20"/>
      <c r="F3051" s="20"/>
      <c r="G3051" s="20"/>
      <c r="H3051" s="20">
        <v>60763.99</v>
      </c>
      <c r="I3051" s="20">
        <v>60763.99</v>
      </c>
      <c r="J3051" s="20">
        <v>60763.99</v>
      </c>
      <c r="K3051" s="20">
        <v>61679.24</v>
      </c>
      <c r="L3051" s="20">
        <v>61679.24</v>
      </c>
      <c r="M3051" s="20">
        <v>61679.24</v>
      </c>
      <c r="N3051" s="20">
        <v>61679.24</v>
      </c>
      <c r="O3051" s="20"/>
      <c r="P3051" s="20"/>
      <c r="Q3051" s="20"/>
      <c r="R3051" s="20"/>
      <c r="S3051" s="20">
        <v>284.75</v>
      </c>
      <c r="T3051" s="20">
        <v>16632.88</v>
      </c>
      <c r="U3051" s="20">
        <v>16632.88</v>
      </c>
      <c r="V3051" s="20">
        <v>16632.88</v>
      </c>
      <c r="W3051" s="20">
        <v>16632.88</v>
      </c>
      <c r="X3051" s="20">
        <v>16632.88</v>
      </c>
      <c r="Y3051" s="20">
        <v>16632.88</v>
      </c>
      <c r="Z3051" s="20">
        <v>16632.88</v>
      </c>
      <c r="AA3051" s="20"/>
      <c r="AB3051" s="20"/>
      <c r="AC3051" s="20"/>
      <c r="AD3051" s="20"/>
      <c r="AE3051" s="20"/>
      <c r="AF3051" s="20">
        <v>1324.42</v>
      </c>
      <c r="AG3051" s="20">
        <v>1324.42</v>
      </c>
      <c r="AH3051" s="20">
        <v>1324.42</v>
      </c>
      <c r="AI3051" s="20">
        <v>1324.42</v>
      </c>
      <c r="AJ3051" s="20">
        <v>1324.42</v>
      </c>
      <c r="AK3051" s="20">
        <v>1324.42</v>
      </c>
      <c r="AL3051" s="20">
        <v>1324.42</v>
      </c>
      <c r="AM3051" s="20"/>
      <c r="AN3051" s="20"/>
      <c r="AO3051" s="20"/>
    </row>
    <row r="3052" spans="1:41" s="15" customFormat="1" ht="14.25" x14ac:dyDescent="0.2">
      <c r="A3052" s="18" t="s">
        <v>1997</v>
      </c>
      <c r="B3052" s="19" t="s">
        <v>1998</v>
      </c>
      <c r="C3052" s="20"/>
      <c r="D3052" s="20"/>
      <c r="E3052" s="20"/>
      <c r="F3052" s="20"/>
      <c r="G3052" s="20"/>
      <c r="H3052" s="20">
        <v>0.27</v>
      </c>
      <c r="I3052" s="20">
        <v>0.27</v>
      </c>
      <c r="J3052" s="20">
        <v>0.27</v>
      </c>
      <c r="K3052" s="20">
        <v>0.27</v>
      </c>
      <c r="L3052" s="20">
        <v>0.28999999999999998</v>
      </c>
      <c r="M3052" s="20">
        <v>0.14000000000000001</v>
      </c>
      <c r="N3052" s="20">
        <v>-11.35</v>
      </c>
      <c r="O3052" s="20"/>
      <c r="P3052" s="20"/>
      <c r="Q3052" s="20"/>
      <c r="R3052" s="20"/>
      <c r="S3052" s="20"/>
      <c r="T3052" s="20"/>
      <c r="U3052" s="20"/>
      <c r="V3052" s="20">
        <v>0.69</v>
      </c>
      <c r="W3052" s="20">
        <v>254.84</v>
      </c>
      <c r="X3052" s="20">
        <v>254.84</v>
      </c>
      <c r="Y3052" s="20">
        <v>254.84</v>
      </c>
      <c r="Z3052" s="20">
        <v>254.84</v>
      </c>
      <c r="AA3052" s="20">
        <v>0.02</v>
      </c>
      <c r="AB3052" s="20">
        <v>0.51</v>
      </c>
      <c r="AC3052" s="20">
        <v>0.51</v>
      </c>
      <c r="AD3052" s="20">
        <v>0.53</v>
      </c>
      <c r="AE3052" s="20">
        <v>0.6</v>
      </c>
      <c r="AF3052" s="20">
        <v>0.6</v>
      </c>
      <c r="AG3052" s="20">
        <v>0.6</v>
      </c>
      <c r="AH3052" s="20">
        <v>0.6</v>
      </c>
      <c r="AI3052" s="20">
        <v>0.6</v>
      </c>
      <c r="AJ3052" s="20">
        <v>5.28</v>
      </c>
      <c r="AK3052" s="20">
        <v>5.16</v>
      </c>
      <c r="AL3052" s="20">
        <v>5.48</v>
      </c>
      <c r="AM3052" s="20"/>
      <c r="AN3052" s="20"/>
      <c r="AO3052" s="20"/>
    </row>
    <row r="3053" spans="1:41" s="15" customFormat="1" ht="14.25" x14ac:dyDescent="0.2">
      <c r="A3053" s="18" t="s">
        <v>1999</v>
      </c>
      <c r="B3053" s="19" t="s">
        <v>2000</v>
      </c>
      <c r="C3053" s="20"/>
      <c r="D3053" s="20"/>
      <c r="E3053" s="20"/>
      <c r="F3053" s="20"/>
      <c r="G3053" s="20"/>
      <c r="H3053" s="20"/>
      <c r="I3053" s="20"/>
      <c r="J3053" s="20"/>
      <c r="K3053" s="20"/>
      <c r="L3053" s="20">
        <v>24820.51</v>
      </c>
      <c r="M3053" s="20">
        <v>122584.38</v>
      </c>
      <c r="N3053" s="20">
        <v>142614.74</v>
      </c>
      <c r="O3053" s="20"/>
      <c r="P3053" s="20"/>
      <c r="Q3053" s="20"/>
      <c r="R3053" s="20"/>
      <c r="S3053" s="20"/>
      <c r="T3053" s="20"/>
      <c r="U3053" s="20"/>
      <c r="V3053" s="20"/>
      <c r="W3053" s="20"/>
      <c r="X3053" s="20"/>
      <c r="Y3053" s="20"/>
      <c r="Z3053" s="20"/>
      <c r="AA3053" s="20"/>
      <c r="AB3053" s="20"/>
      <c r="AC3053" s="20"/>
      <c r="AD3053" s="20"/>
      <c r="AE3053" s="20"/>
      <c r="AF3053" s="20"/>
      <c r="AG3053" s="20"/>
      <c r="AH3053" s="20"/>
      <c r="AI3053" s="20"/>
      <c r="AJ3053" s="20"/>
      <c r="AK3053" s="20"/>
      <c r="AL3053" s="20"/>
      <c r="AM3053" s="20"/>
      <c r="AN3053" s="20"/>
      <c r="AO3053" s="20"/>
    </row>
    <row r="3054" spans="1:41" s="15" customFormat="1" ht="14.25" x14ac:dyDescent="0.2">
      <c r="A3054" s="18" t="s">
        <v>2001</v>
      </c>
      <c r="B3054" s="19" t="s">
        <v>2002</v>
      </c>
      <c r="C3054" s="20"/>
      <c r="D3054" s="20"/>
      <c r="E3054" s="20"/>
      <c r="F3054" s="20"/>
      <c r="G3054" s="20"/>
      <c r="H3054" s="20"/>
      <c r="I3054" s="20"/>
      <c r="J3054" s="20"/>
      <c r="K3054" s="20"/>
      <c r="L3054" s="20"/>
      <c r="M3054" s="20"/>
      <c r="N3054" s="20"/>
      <c r="O3054" s="20"/>
      <c r="P3054" s="20"/>
      <c r="Q3054" s="20"/>
      <c r="R3054" s="20"/>
      <c r="S3054" s="20"/>
      <c r="T3054" s="20"/>
      <c r="U3054" s="20">
        <v>473.73</v>
      </c>
      <c r="V3054" s="20">
        <v>473.73</v>
      </c>
      <c r="W3054" s="20">
        <v>673.73</v>
      </c>
      <c r="X3054" s="20">
        <v>673.73</v>
      </c>
      <c r="Y3054" s="20">
        <v>673.73</v>
      </c>
      <c r="Z3054" s="20">
        <v>673.73</v>
      </c>
      <c r="AA3054" s="20">
        <v>1974.58</v>
      </c>
      <c r="AB3054" s="20">
        <v>1974.58</v>
      </c>
      <c r="AC3054" s="20">
        <v>1974.58</v>
      </c>
      <c r="AD3054" s="20">
        <v>2118.65</v>
      </c>
      <c r="AE3054" s="20">
        <v>2118.65</v>
      </c>
      <c r="AF3054" s="20">
        <v>2627.12</v>
      </c>
      <c r="AG3054" s="20">
        <v>2627.12</v>
      </c>
      <c r="AH3054" s="20">
        <v>2627.12</v>
      </c>
      <c r="AI3054" s="20">
        <v>2627.12</v>
      </c>
      <c r="AJ3054" s="20">
        <v>2627.12</v>
      </c>
      <c r="AK3054" s="20">
        <v>2627.12</v>
      </c>
      <c r="AL3054" s="20">
        <v>2627.12</v>
      </c>
      <c r="AM3054" s="20"/>
      <c r="AN3054" s="20"/>
      <c r="AO3054" s="20">
        <v>465.25</v>
      </c>
    </row>
    <row r="3055" spans="1:41" s="15" customFormat="1" ht="14.25" x14ac:dyDescent="0.2">
      <c r="A3055" s="18" t="s">
        <v>2003</v>
      </c>
      <c r="B3055" s="19" t="s">
        <v>2004</v>
      </c>
      <c r="C3055" s="20"/>
      <c r="D3055" s="20"/>
      <c r="E3055" s="20"/>
      <c r="F3055" s="20"/>
      <c r="G3055" s="20"/>
      <c r="H3055" s="20"/>
      <c r="I3055" s="20"/>
      <c r="J3055" s="20"/>
      <c r="K3055" s="20"/>
      <c r="L3055" s="20"/>
      <c r="M3055" s="20"/>
      <c r="N3055" s="20"/>
      <c r="O3055" s="20"/>
      <c r="P3055" s="20"/>
      <c r="Q3055" s="20"/>
      <c r="R3055" s="20">
        <v>5000</v>
      </c>
      <c r="S3055" s="20">
        <v>10000</v>
      </c>
      <c r="T3055" s="20">
        <v>10000</v>
      </c>
      <c r="U3055" s="20">
        <v>10000</v>
      </c>
      <c r="V3055" s="20">
        <v>10000</v>
      </c>
      <c r="W3055" s="20">
        <v>10000</v>
      </c>
      <c r="X3055" s="20">
        <v>10000</v>
      </c>
      <c r="Y3055" s="20">
        <v>10000</v>
      </c>
      <c r="Z3055" s="20">
        <v>10000</v>
      </c>
      <c r="AA3055" s="20"/>
      <c r="AB3055" s="20"/>
      <c r="AC3055" s="20"/>
      <c r="AD3055" s="20"/>
      <c r="AE3055" s="20"/>
      <c r="AF3055" s="20"/>
      <c r="AG3055" s="20"/>
      <c r="AH3055" s="20"/>
      <c r="AI3055" s="20"/>
      <c r="AJ3055" s="20"/>
      <c r="AK3055" s="20"/>
      <c r="AL3055" s="20"/>
      <c r="AM3055" s="20"/>
      <c r="AN3055" s="20"/>
      <c r="AO3055" s="20"/>
    </row>
    <row r="3056" spans="1:41" ht="14.25" x14ac:dyDescent="0.2">
      <c r="A3056" s="2">
        <v>450302</v>
      </c>
      <c r="B3056" s="3" t="s">
        <v>844</v>
      </c>
      <c r="C3056" s="9"/>
      <c r="D3056" s="9"/>
      <c r="E3056" s="9"/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9"/>
      <c r="AL3056" s="9"/>
      <c r="AM3056" s="9"/>
      <c r="AN3056" s="9"/>
      <c r="AO3056" s="9"/>
    </row>
    <row r="3057" spans="1:41" ht="14.25" x14ac:dyDescent="0.2">
      <c r="A3057" s="2">
        <v>45030201</v>
      </c>
      <c r="B3057" s="3" t="s">
        <v>824</v>
      </c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9"/>
      <c r="AL3057" s="9"/>
      <c r="AM3057" s="9"/>
      <c r="AN3057" s="9"/>
      <c r="AO3057" s="9"/>
    </row>
    <row r="3058" spans="1:41" s="15" customFormat="1" ht="14.25" x14ac:dyDescent="0.2">
      <c r="A3058" s="18" t="s">
        <v>2006</v>
      </c>
      <c r="B3058" s="19" t="s">
        <v>1859</v>
      </c>
      <c r="C3058" s="20"/>
      <c r="D3058" s="20"/>
      <c r="E3058" s="20"/>
      <c r="F3058" s="20"/>
      <c r="G3058" s="20"/>
      <c r="H3058" s="20"/>
      <c r="I3058" s="20"/>
      <c r="J3058" s="20"/>
      <c r="K3058" s="20"/>
      <c r="L3058" s="20"/>
      <c r="M3058" s="20"/>
      <c r="N3058" s="20"/>
      <c r="O3058" s="20"/>
      <c r="P3058" s="20"/>
      <c r="Q3058" s="20"/>
      <c r="R3058" s="20"/>
      <c r="S3058" s="20"/>
      <c r="T3058" s="20"/>
      <c r="U3058" s="20">
        <v>1525.41</v>
      </c>
      <c r="V3058" s="20">
        <v>1525.41</v>
      </c>
      <c r="W3058" s="20">
        <v>1525.41</v>
      </c>
      <c r="X3058" s="20">
        <v>1525.41</v>
      </c>
      <c r="Y3058" s="20">
        <v>1525.41</v>
      </c>
      <c r="Z3058" s="20">
        <v>1525.41</v>
      </c>
      <c r="AA3058" s="20"/>
      <c r="AB3058" s="20"/>
      <c r="AC3058" s="20"/>
      <c r="AD3058" s="20"/>
      <c r="AE3058" s="20"/>
      <c r="AF3058" s="20"/>
      <c r="AG3058" s="20"/>
      <c r="AH3058" s="20"/>
      <c r="AI3058" s="20"/>
      <c r="AJ3058" s="20"/>
      <c r="AK3058" s="20"/>
      <c r="AL3058" s="20"/>
      <c r="AM3058" s="20"/>
      <c r="AN3058" s="20"/>
      <c r="AO3058" s="20">
        <v>30</v>
      </c>
    </row>
    <row r="3059" spans="1:41" ht="14.25" x14ac:dyDescent="0.2">
      <c r="A3059" s="2">
        <v>45030203</v>
      </c>
      <c r="B3059" s="3" t="s">
        <v>825</v>
      </c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  <c r="AA3059" s="9"/>
      <c r="AB3059" s="9"/>
      <c r="AC3059" s="9"/>
      <c r="AD3059" s="9"/>
      <c r="AE3059" s="9"/>
      <c r="AF3059" s="9"/>
      <c r="AG3059" s="9"/>
      <c r="AH3059" s="9"/>
      <c r="AI3059" s="9"/>
      <c r="AJ3059" s="9"/>
      <c r="AK3059" s="9"/>
      <c r="AL3059" s="9"/>
      <c r="AM3059" s="9"/>
      <c r="AN3059" s="9"/>
      <c r="AO3059" s="9"/>
    </row>
    <row r="3060" spans="1:41" s="15" customFormat="1" ht="14.25" x14ac:dyDescent="0.2">
      <c r="A3060" s="18" t="s">
        <v>2007</v>
      </c>
      <c r="B3060" s="19" t="s">
        <v>1871</v>
      </c>
      <c r="C3060" s="20"/>
      <c r="D3060" s="20"/>
      <c r="E3060" s="20"/>
      <c r="F3060" s="20"/>
      <c r="G3060" s="20"/>
      <c r="H3060" s="20"/>
      <c r="I3060" s="20"/>
      <c r="J3060" s="20"/>
      <c r="K3060" s="20"/>
      <c r="L3060" s="20"/>
      <c r="M3060" s="20"/>
      <c r="N3060" s="20"/>
      <c r="O3060" s="20"/>
      <c r="P3060" s="20"/>
      <c r="Q3060" s="20"/>
      <c r="R3060" s="20"/>
      <c r="S3060" s="20"/>
      <c r="T3060" s="20"/>
      <c r="U3060" s="20"/>
      <c r="V3060" s="20"/>
      <c r="W3060" s="20"/>
      <c r="X3060" s="20"/>
      <c r="Y3060" s="20"/>
      <c r="Z3060" s="20">
        <v>700</v>
      </c>
      <c r="AA3060" s="20"/>
      <c r="AB3060" s="20"/>
      <c r="AC3060" s="20"/>
      <c r="AD3060" s="20"/>
      <c r="AE3060" s="20"/>
      <c r="AF3060" s="20"/>
      <c r="AG3060" s="20"/>
      <c r="AH3060" s="20"/>
      <c r="AI3060" s="20"/>
      <c r="AJ3060" s="20"/>
      <c r="AK3060" s="20"/>
      <c r="AL3060" s="20"/>
      <c r="AM3060" s="20"/>
      <c r="AN3060" s="20"/>
      <c r="AO3060" s="20"/>
    </row>
    <row r="3061" spans="1:41" ht="14.25" x14ac:dyDescent="0.2">
      <c r="A3061" s="2">
        <v>45030205</v>
      </c>
      <c r="B3061" s="3" t="s">
        <v>826</v>
      </c>
      <c r="C3061" s="9"/>
      <c r="D3061" s="9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9"/>
      <c r="AL3061" s="9"/>
      <c r="AM3061" s="9"/>
      <c r="AN3061" s="9"/>
      <c r="AO3061" s="9"/>
    </row>
    <row r="3062" spans="1:41" ht="14.25" x14ac:dyDescent="0.2">
      <c r="A3062" s="2">
        <v>45030206</v>
      </c>
      <c r="B3062" s="3" t="s">
        <v>827</v>
      </c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9"/>
      <c r="AL3062" s="9"/>
      <c r="AM3062" s="9"/>
      <c r="AN3062" s="9"/>
      <c r="AO3062" s="9"/>
    </row>
    <row r="3063" spans="1:41" ht="14.25" x14ac:dyDescent="0.2">
      <c r="A3063" s="2">
        <v>45030207</v>
      </c>
      <c r="B3063" s="3" t="s">
        <v>828</v>
      </c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9"/>
    </row>
    <row r="3064" spans="1:41" s="15" customFormat="1" ht="14.25" x14ac:dyDescent="0.2">
      <c r="A3064" s="18" t="s">
        <v>2008</v>
      </c>
      <c r="B3064" s="19" t="s">
        <v>2009</v>
      </c>
      <c r="C3064" s="20"/>
      <c r="D3064" s="20"/>
      <c r="E3064" s="20"/>
      <c r="F3064" s="20"/>
      <c r="G3064" s="20"/>
      <c r="H3064" s="20"/>
      <c r="I3064" s="20"/>
      <c r="J3064" s="20"/>
      <c r="K3064" s="20"/>
      <c r="L3064" s="20"/>
      <c r="M3064" s="20"/>
      <c r="N3064" s="20"/>
      <c r="O3064" s="20"/>
      <c r="P3064" s="20"/>
      <c r="Q3064" s="20"/>
      <c r="R3064" s="20"/>
      <c r="S3064" s="20"/>
      <c r="T3064" s="20"/>
      <c r="U3064" s="20"/>
      <c r="V3064" s="20"/>
      <c r="W3064" s="20"/>
      <c r="X3064" s="20"/>
      <c r="Y3064" s="20"/>
      <c r="Z3064" s="20"/>
      <c r="AA3064" s="20"/>
      <c r="AB3064" s="20"/>
      <c r="AC3064" s="20"/>
      <c r="AD3064" s="20">
        <v>789</v>
      </c>
      <c r="AE3064" s="20">
        <v>789</v>
      </c>
      <c r="AF3064" s="20">
        <v>789</v>
      </c>
      <c r="AG3064" s="20">
        <v>789</v>
      </c>
      <c r="AH3064" s="20">
        <v>789</v>
      </c>
      <c r="AI3064" s="20">
        <v>789</v>
      </c>
      <c r="AJ3064" s="20">
        <v>789</v>
      </c>
      <c r="AK3064" s="20">
        <v>1309</v>
      </c>
      <c r="AL3064" s="20">
        <v>1309</v>
      </c>
      <c r="AM3064" s="20"/>
      <c r="AN3064" s="20"/>
      <c r="AO3064" s="20"/>
    </row>
    <row r="3065" spans="1:41" ht="14.25" x14ac:dyDescent="0.2">
      <c r="A3065" s="2">
        <v>45030209</v>
      </c>
      <c r="B3065" s="3" t="s">
        <v>830</v>
      </c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9"/>
    </row>
    <row r="3066" spans="1:41" ht="14.25" x14ac:dyDescent="0.2">
      <c r="A3066" s="2">
        <v>45030210</v>
      </c>
      <c r="B3066" s="3" t="s">
        <v>831</v>
      </c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9"/>
    </row>
    <row r="3067" spans="1:41" s="15" customFormat="1" ht="14.25" x14ac:dyDescent="0.2">
      <c r="A3067" s="18" t="s">
        <v>2010</v>
      </c>
      <c r="B3067" s="19" t="s">
        <v>2011</v>
      </c>
      <c r="C3067" s="20"/>
      <c r="D3067" s="20"/>
      <c r="E3067" s="20"/>
      <c r="F3067" s="20"/>
      <c r="G3067" s="20"/>
      <c r="H3067" s="20"/>
      <c r="I3067" s="20"/>
      <c r="J3067" s="20"/>
      <c r="K3067" s="20"/>
      <c r="L3067" s="20"/>
      <c r="M3067" s="20"/>
      <c r="N3067" s="20"/>
      <c r="O3067" s="20"/>
      <c r="P3067" s="20"/>
      <c r="Q3067" s="20"/>
      <c r="R3067" s="20"/>
      <c r="S3067" s="20"/>
      <c r="T3067" s="20"/>
      <c r="U3067" s="20"/>
      <c r="V3067" s="20"/>
      <c r="W3067" s="20"/>
      <c r="X3067" s="20"/>
      <c r="Y3067" s="20"/>
      <c r="Z3067" s="20">
        <v>145.76</v>
      </c>
      <c r="AA3067" s="20"/>
      <c r="AB3067" s="20"/>
      <c r="AC3067" s="20"/>
      <c r="AD3067" s="20"/>
      <c r="AE3067" s="20"/>
      <c r="AF3067" s="20"/>
      <c r="AG3067" s="20"/>
      <c r="AH3067" s="20"/>
      <c r="AI3067" s="20"/>
      <c r="AJ3067" s="20"/>
      <c r="AK3067" s="20"/>
      <c r="AL3067" s="20"/>
      <c r="AM3067" s="20"/>
      <c r="AN3067" s="20"/>
      <c r="AO3067" s="20">
        <v>20.34</v>
      </c>
    </row>
    <row r="3068" spans="1:41" ht="14.25" x14ac:dyDescent="0.2">
      <c r="A3068" s="2">
        <v>45030212</v>
      </c>
      <c r="B3068" s="3" t="s">
        <v>816</v>
      </c>
      <c r="C3068" s="9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9"/>
    </row>
    <row r="3069" spans="1:41" ht="14.25" x14ac:dyDescent="0.2">
      <c r="A3069" s="2">
        <v>45030213</v>
      </c>
      <c r="B3069" s="3" t="s">
        <v>833</v>
      </c>
      <c r="C3069" s="9"/>
      <c r="D3069" s="9"/>
      <c r="E3069" s="9"/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  <c r="AO3069" s="9"/>
    </row>
    <row r="3070" spans="1:41" s="15" customFormat="1" ht="14.25" x14ac:dyDescent="0.2">
      <c r="A3070" s="18" t="s">
        <v>2012</v>
      </c>
      <c r="B3070" s="19" t="s">
        <v>2013</v>
      </c>
      <c r="C3070" s="20"/>
      <c r="D3070" s="20"/>
      <c r="E3070" s="20"/>
      <c r="F3070" s="20"/>
      <c r="G3070" s="20"/>
      <c r="H3070" s="20"/>
      <c r="I3070" s="20"/>
      <c r="J3070" s="20"/>
      <c r="K3070" s="20"/>
      <c r="L3070" s="20"/>
      <c r="M3070" s="20"/>
      <c r="N3070" s="20"/>
      <c r="O3070" s="20"/>
      <c r="P3070" s="20"/>
      <c r="Q3070" s="20"/>
      <c r="R3070" s="20"/>
      <c r="S3070" s="20"/>
      <c r="T3070" s="20"/>
      <c r="U3070" s="20"/>
      <c r="V3070" s="20"/>
      <c r="W3070" s="20"/>
      <c r="X3070" s="20"/>
      <c r="Y3070" s="20"/>
      <c r="Z3070" s="20"/>
      <c r="AA3070" s="20"/>
      <c r="AB3070" s="20"/>
      <c r="AC3070" s="20"/>
      <c r="AD3070" s="20"/>
      <c r="AE3070" s="20"/>
      <c r="AF3070" s="20"/>
      <c r="AG3070" s="20"/>
      <c r="AH3070" s="20"/>
      <c r="AI3070" s="20"/>
      <c r="AJ3070" s="20"/>
      <c r="AK3070" s="20">
        <v>5.5</v>
      </c>
      <c r="AL3070" s="20">
        <v>5.5</v>
      </c>
      <c r="AM3070" s="20"/>
      <c r="AN3070" s="20"/>
      <c r="AO3070" s="20"/>
    </row>
    <row r="3071" spans="1:41" ht="14.25" x14ac:dyDescent="0.2">
      <c r="A3071" s="2">
        <v>45030215</v>
      </c>
      <c r="B3071" s="3" t="s">
        <v>835</v>
      </c>
      <c r="C3071" s="9"/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  <c r="AO3071" s="9"/>
    </row>
    <row r="3072" spans="1:41" ht="14.25" x14ac:dyDescent="0.2">
      <c r="A3072" s="2">
        <v>45030216</v>
      </c>
      <c r="B3072" s="3" t="s">
        <v>610</v>
      </c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9"/>
    </row>
    <row r="3073" spans="1:41" ht="14.25" x14ac:dyDescent="0.2">
      <c r="A3073" s="2">
        <v>45030217</v>
      </c>
      <c r="B3073" s="3" t="s">
        <v>836</v>
      </c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  <c r="AA3073" s="9"/>
      <c r="AB3073" s="9"/>
      <c r="AC3073" s="9"/>
      <c r="AD3073" s="9"/>
      <c r="AE3073" s="9"/>
      <c r="AF3073" s="9"/>
      <c r="AG3073" s="9"/>
      <c r="AH3073" s="9"/>
      <c r="AI3073" s="9"/>
      <c r="AJ3073" s="9"/>
      <c r="AK3073" s="9"/>
      <c r="AL3073" s="9"/>
      <c r="AM3073" s="9"/>
      <c r="AN3073" s="9"/>
      <c r="AO3073" s="9"/>
    </row>
    <row r="3074" spans="1:41" s="15" customFormat="1" ht="14.25" x14ac:dyDescent="0.2">
      <c r="A3074" s="18" t="s">
        <v>2014</v>
      </c>
      <c r="B3074" s="19" t="s">
        <v>1951</v>
      </c>
      <c r="C3074" s="20"/>
      <c r="D3074" s="20"/>
      <c r="E3074" s="20"/>
      <c r="F3074" s="20"/>
      <c r="G3074" s="20"/>
      <c r="H3074" s="20"/>
      <c r="I3074" s="20"/>
      <c r="J3074" s="20"/>
      <c r="K3074" s="20"/>
      <c r="L3074" s="20"/>
      <c r="M3074" s="20"/>
      <c r="N3074" s="20"/>
      <c r="O3074" s="20"/>
      <c r="P3074" s="20"/>
      <c r="Q3074" s="20"/>
      <c r="R3074" s="20"/>
      <c r="S3074" s="20"/>
      <c r="T3074" s="20">
        <v>500</v>
      </c>
      <c r="U3074" s="20">
        <v>500</v>
      </c>
      <c r="V3074" s="20">
        <v>1000</v>
      </c>
      <c r="W3074" s="20">
        <v>1000</v>
      </c>
      <c r="X3074" s="20">
        <v>1000</v>
      </c>
      <c r="Y3074" s="20">
        <v>1500</v>
      </c>
      <c r="Z3074" s="20">
        <v>1500</v>
      </c>
      <c r="AA3074" s="20"/>
      <c r="AB3074" s="20"/>
      <c r="AC3074" s="20"/>
      <c r="AD3074" s="20"/>
      <c r="AE3074" s="20"/>
      <c r="AF3074" s="20"/>
      <c r="AG3074" s="20"/>
      <c r="AH3074" s="20"/>
      <c r="AI3074" s="20"/>
      <c r="AJ3074" s="20"/>
      <c r="AK3074" s="20"/>
      <c r="AL3074" s="20"/>
      <c r="AM3074" s="20"/>
      <c r="AN3074" s="20"/>
      <c r="AO3074" s="20"/>
    </row>
    <row r="3075" spans="1:41" ht="14.25" x14ac:dyDescent="0.2">
      <c r="A3075" s="2">
        <v>45030219</v>
      </c>
      <c r="B3075" s="3" t="s">
        <v>837</v>
      </c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9"/>
      <c r="AI3075" s="9"/>
      <c r="AJ3075" s="9"/>
      <c r="AK3075" s="9"/>
      <c r="AL3075" s="9"/>
      <c r="AM3075" s="9"/>
      <c r="AN3075" s="9"/>
      <c r="AO3075" s="9"/>
    </row>
    <row r="3076" spans="1:41" s="15" customFormat="1" ht="14.25" x14ac:dyDescent="0.2">
      <c r="A3076" s="18" t="s">
        <v>2015</v>
      </c>
      <c r="B3076" s="19" t="s">
        <v>1953</v>
      </c>
      <c r="C3076" s="20"/>
      <c r="D3076" s="20"/>
      <c r="E3076" s="20"/>
      <c r="F3076" s="20"/>
      <c r="G3076" s="20"/>
      <c r="H3076" s="20"/>
      <c r="I3076" s="20"/>
      <c r="J3076" s="20"/>
      <c r="K3076" s="20"/>
      <c r="L3076" s="20"/>
      <c r="M3076" s="20"/>
      <c r="N3076" s="20"/>
      <c r="O3076" s="20"/>
      <c r="P3076" s="20"/>
      <c r="Q3076" s="20"/>
      <c r="R3076" s="20"/>
      <c r="S3076" s="20"/>
      <c r="T3076" s="20"/>
      <c r="U3076" s="20"/>
      <c r="V3076" s="20"/>
      <c r="W3076" s="20"/>
      <c r="X3076" s="20">
        <v>1389.14</v>
      </c>
      <c r="Y3076" s="20">
        <v>1389.14</v>
      </c>
      <c r="Z3076" s="20">
        <v>1389.14</v>
      </c>
      <c r="AA3076" s="20"/>
      <c r="AB3076" s="20"/>
      <c r="AC3076" s="20"/>
      <c r="AD3076" s="20"/>
      <c r="AE3076" s="20"/>
      <c r="AF3076" s="20"/>
      <c r="AG3076" s="20"/>
      <c r="AH3076" s="20"/>
      <c r="AI3076" s="20"/>
      <c r="AJ3076" s="20"/>
      <c r="AK3076" s="20"/>
      <c r="AL3076" s="20"/>
      <c r="AM3076" s="20"/>
      <c r="AN3076" s="20"/>
      <c r="AO3076" s="20"/>
    </row>
    <row r="3077" spans="1:41" ht="14.25" x14ac:dyDescent="0.2">
      <c r="A3077" s="2">
        <v>45030221</v>
      </c>
      <c r="B3077" s="3" t="s">
        <v>839</v>
      </c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  <c r="AH3077" s="9"/>
      <c r="AI3077" s="9"/>
      <c r="AJ3077" s="9"/>
      <c r="AK3077" s="9"/>
      <c r="AL3077" s="9"/>
      <c r="AM3077" s="9"/>
      <c r="AN3077" s="9"/>
      <c r="AO3077" s="9"/>
    </row>
    <row r="3078" spans="1:41" ht="14.25" x14ac:dyDescent="0.2">
      <c r="A3078" s="2">
        <v>45030222</v>
      </c>
      <c r="B3078" s="3" t="s">
        <v>840</v>
      </c>
      <c r="C3078" s="9"/>
      <c r="D3078" s="9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  <c r="AO3078" s="9"/>
    </row>
    <row r="3079" spans="1:41" ht="14.25" x14ac:dyDescent="0.2">
      <c r="A3079" s="2">
        <v>45030223</v>
      </c>
      <c r="B3079" s="3" t="s">
        <v>841</v>
      </c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9"/>
      <c r="AL3079" s="9"/>
      <c r="AM3079" s="9"/>
      <c r="AN3079" s="9"/>
      <c r="AO3079" s="9"/>
    </row>
    <row r="3080" spans="1:41" ht="14.25" x14ac:dyDescent="0.2">
      <c r="A3080" s="2">
        <v>45030224</v>
      </c>
      <c r="B3080" s="3" t="s">
        <v>842</v>
      </c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  <c r="AO3080" s="9"/>
    </row>
    <row r="3081" spans="1:41" ht="14.25" x14ac:dyDescent="0.2">
      <c r="A3081" s="2">
        <v>45030229</v>
      </c>
      <c r="B3081" s="3" t="s">
        <v>843</v>
      </c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9"/>
      <c r="AL3081" s="9"/>
      <c r="AM3081" s="9"/>
      <c r="AN3081" s="9"/>
      <c r="AO3081" s="9"/>
    </row>
    <row r="3082" spans="1:41" ht="14.25" x14ac:dyDescent="0.2">
      <c r="A3082" s="2">
        <v>4504</v>
      </c>
      <c r="B3082" s="3" t="s">
        <v>845</v>
      </c>
      <c r="C3082" s="20">
        <f>SUM(C3083:C3100)</f>
        <v>46750.399999999994</v>
      </c>
      <c r="D3082" s="20">
        <f t="shared" ref="D3082:AO3082" si="93">SUM(D3083:D3100)</f>
        <v>153074.91</v>
      </c>
      <c r="E3082" s="20">
        <f t="shared" si="93"/>
        <v>226034.00999999998</v>
      </c>
      <c r="F3082" s="20">
        <f t="shared" si="93"/>
        <v>266197.21000000002</v>
      </c>
      <c r="G3082" s="20">
        <f t="shared" si="93"/>
        <v>339745.42000000004</v>
      </c>
      <c r="H3082" s="20">
        <f t="shared" si="93"/>
        <v>414074.73000000004</v>
      </c>
      <c r="I3082" s="20">
        <f t="shared" si="93"/>
        <v>486128.39</v>
      </c>
      <c r="J3082" s="20">
        <f t="shared" si="93"/>
        <v>548874.62999999989</v>
      </c>
      <c r="K3082" s="20">
        <f t="shared" si="93"/>
        <v>607585.7300000001</v>
      </c>
      <c r="L3082" s="20">
        <f t="shared" si="93"/>
        <v>646640.47000000009</v>
      </c>
      <c r="M3082" s="20">
        <f t="shared" si="93"/>
        <v>737225.64</v>
      </c>
      <c r="N3082" s="20">
        <f t="shared" si="93"/>
        <v>805110.14999999991</v>
      </c>
      <c r="O3082" s="20">
        <f t="shared" si="93"/>
        <v>64285.649999999994</v>
      </c>
      <c r="P3082" s="20">
        <f t="shared" si="93"/>
        <v>142811.72</v>
      </c>
      <c r="Q3082" s="20">
        <f t="shared" si="93"/>
        <v>256723.27</v>
      </c>
      <c r="R3082" s="20">
        <f t="shared" si="93"/>
        <v>334414.19</v>
      </c>
      <c r="S3082" s="20">
        <f t="shared" si="93"/>
        <v>417472.46</v>
      </c>
      <c r="T3082" s="20">
        <f t="shared" si="93"/>
        <v>511298.36</v>
      </c>
      <c r="U3082" s="20">
        <f t="shared" si="93"/>
        <v>557691.52</v>
      </c>
      <c r="V3082" s="20">
        <f t="shared" si="93"/>
        <v>618846.17000000004</v>
      </c>
      <c r="W3082" s="20">
        <f t="shared" si="93"/>
        <v>667331.1</v>
      </c>
      <c r="X3082" s="20">
        <f t="shared" si="93"/>
        <v>709845.6100000001</v>
      </c>
      <c r="Y3082" s="20">
        <f t="shared" si="93"/>
        <v>807579.77</v>
      </c>
      <c r="Z3082" s="20">
        <f t="shared" si="93"/>
        <v>879317.19000000006</v>
      </c>
      <c r="AA3082" s="20">
        <f t="shared" si="93"/>
        <v>47585.680000000008</v>
      </c>
      <c r="AB3082" s="20">
        <f t="shared" si="93"/>
        <v>116583</v>
      </c>
      <c r="AC3082" s="20">
        <f t="shared" si="93"/>
        <v>198057.46999999997</v>
      </c>
      <c r="AD3082" s="20">
        <f t="shared" si="93"/>
        <v>298233.69</v>
      </c>
      <c r="AE3082" s="20">
        <f t="shared" si="93"/>
        <v>445629.37</v>
      </c>
      <c r="AF3082" s="20">
        <f t="shared" si="93"/>
        <v>492092.37000000005</v>
      </c>
      <c r="AG3082" s="20">
        <f t="shared" si="93"/>
        <v>551241.35</v>
      </c>
      <c r="AH3082" s="20">
        <f t="shared" si="93"/>
        <v>616922.81999999995</v>
      </c>
      <c r="AI3082" s="20">
        <f t="shared" si="93"/>
        <v>656743.68000000005</v>
      </c>
      <c r="AJ3082" s="20">
        <f t="shared" si="93"/>
        <v>695491.85000000009</v>
      </c>
      <c r="AK3082" s="20">
        <f t="shared" si="93"/>
        <v>767217.06</v>
      </c>
      <c r="AL3082" s="20">
        <f t="shared" si="93"/>
        <v>844235.02999999991</v>
      </c>
      <c r="AM3082" s="20">
        <f t="shared" si="93"/>
        <v>29921</v>
      </c>
      <c r="AN3082" s="20">
        <f t="shared" si="93"/>
        <v>94888.6</v>
      </c>
      <c r="AO3082" s="20">
        <f t="shared" si="93"/>
        <v>174545.74</v>
      </c>
    </row>
    <row r="3083" spans="1:41" s="15" customFormat="1" ht="14.25" x14ac:dyDescent="0.2">
      <c r="A3083" s="18">
        <v>450401</v>
      </c>
      <c r="B3083" s="19" t="s">
        <v>530</v>
      </c>
      <c r="C3083" s="20"/>
      <c r="D3083" s="20"/>
      <c r="E3083" s="20"/>
      <c r="F3083" s="20"/>
      <c r="G3083" s="20"/>
      <c r="H3083" s="20"/>
      <c r="I3083" s="20"/>
      <c r="J3083" s="20"/>
      <c r="K3083" s="20"/>
      <c r="L3083" s="20"/>
      <c r="M3083" s="20"/>
      <c r="N3083" s="20"/>
      <c r="O3083" s="20"/>
      <c r="P3083" s="20"/>
      <c r="Q3083" s="20"/>
      <c r="R3083" s="20"/>
      <c r="S3083" s="20"/>
      <c r="T3083" s="20"/>
      <c r="U3083" s="20"/>
      <c r="V3083" s="20"/>
      <c r="W3083" s="20"/>
      <c r="X3083" s="20"/>
      <c r="Y3083" s="20"/>
      <c r="Z3083" s="20"/>
      <c r="AA3083" s="20"/>
      <c r="AB3083" s="20"/>
      <c r="AC3083" s="20"/>
      <c r="AD3083" s="20"/>
      <c r="AE3083" s="20"/>
      <c r="AF3083" s="20"/>
      <c r="AG3083" s="20"/>
      <c r="AH3083" s="20"/>
      <c r="AI3083" s="20"/>
      <c r="AJ3083" s="20"/>
      <c r="AK3083" s="20"/>
      <c r="AL3083" s="20"/>
      <c r="AM3083" s="20"/>
      <c r="AN3083" s="20"/>
      <c r="AO3083" s="20"/>
    </row>
    <row r="3084" spans="1:41" s="15" customFormat="1" ht="14.25" x14ac:dyDescent="0.2">
      <c r="A3084" s="18" t="s">
        <v>2016</v>
      </c>
      <c r="B3084" s="19" t="s">
        <v>1624</v>
      </c>
      <c r="C3084" s="20">
        <v>46088.88</v>
      </c>
      <c r="D3084" s="20">
        <v>91018.240000000005</v>
      </c>
      <c r="E3084" s="20">
        <v>151898.32</v>
      </c>
      <c r="F3084" s="20">
        <v>186071.6</v>
      </c>
      <c r="G3084" s="20">
        <v>242188.39</v>
      </c>
      <c r="H3084" s="20">
        <v>314760.73</v>
      </c>
      <c r="I3084" s="20">
        <v>385288.47</v>
      </c>
      <c r="J3084" s="20">
        <v>429464.29</v>
      </c>
      <c r="K3084" s="20">
        <v>483842.64</v>
      </c>
      <c r="L3084" s="20">
        <v>522408.15</v>
      </c>
      <c r="M3084" s="20">
        <v>586935</v>
      </c>
      <c r="N3084" s="20">
        <v>646926.66</v>
      </c>
      <c r="O3084" s="20">
        <v>50778.17</v>
      </c>
      <c r="P3084" s="20">
        <v>108107.62</v>
      </c>
      <c r="Q3084" s="20">
        <v>206916.53</v>
      </c>
      <c r="R3084" s="20">
        <v>282878.96000000002</v>
      </c>
      <c r="S3084" s="20">
        <v>350821.82</v>
      </c>
      <c r="T3084" s="20">
        <v>410544.65</v>
      </c>
      <c r="U3084" s="20">
        <v>455920.54</v>
      </c>
      <c r="V3084" s="20">
        <v>501485.07</v>
      </c>
      <c r="W3084" s="20">
        <v>543308.75</v>
      </c>
      <c r="X3084" s="20">
        <v>584560.06000000006</v>
      </c>
      <c r="Y3084" s="20">
        <v>661849.94999999995</v>
      </c>
      <c r="Z3084" s="20">
        <v>725962.32</v>
      </c>
      <c r="AA3084" s="20">
        <v>44313.37</v>
      </c>
      <c r="AB3084" s="20">
        <v>92949.74</v>
      </c>
      <c r="AC3084" s="20">
        <v>156712.79999999999</v>
      </c>
      <c r="AD3084" s="20">
        <v>218830.2</v>
      </c>
      <c r="AE3084" s="20">
        <v>276889.46999999997</v>
      </c>
      <c r="AF3084" s="20">
        <v>318306.14</v>
      </c>
      <c r="AG3084" s="20">
        <v>375248.36</v>
      </c>
      <c r="AH3084" s="20">
        <v>413560.89</v>
      </c>
      <c r="AI3084" s="20">
        <v>451214.64</v>
      </c>
      <c r="AJ3084" s="20">
        <v>488536.18</v>
      </c>
      <c r="AK3084" s="20">
        <v>533301.04</v>
      </c>
      <c r="AL3084" s="20">
        <v>602718.99</v>
      </c>
      <c r="AM3084" s="20">
        <v>29047.200000000001</v>
      </c>
      <c r="AN3084" s="20">
        <v>59838.720000000001</v>
      </c>
      <c r="AO3084" s="20">
        <v>110327.3</v>
      </c>
    </row>
    <row r="3085" spans="1:41" s="15" customFormat="1" ht="14.25" x14ac:dyDescent="0.2">
      <c r="A3085" s="18">
        <v>450402</v>
      </c>
      <c r="B3085" s="19" t="s">
        <v>846</v>
      </c>
      <c r="C3085" s="20"/>
      <c r="D3085" s="20"/>
      <c r="E3085" s="20"/>
      <c r="F3085" s="20"/>
      <c r="G3085" s="20"/>
      <c r="H3085" s="20"/>
      <c r="I3085" s="20"/>
      <c r="J3085" s="20"/>
      <c r="K3085" s="20"/>
      <c r="L3085" s="20"/>
      <c r="M3085" s="20"/>
      <c r="N3085" s="20"/>
      <c r="O3085" s="20"/>
      <c r="P3085" s="20"/>
      <c r="Q3085" s="20"/>
      <c r="R3085" s="20"/>
      <c r="S3085" s="20"/>
      <c r="T3085" s="20"/>
      <c r="U3085" s="20"/>
      <c r="V3085" s="20"/>
      <c r="W3085" s="20"/>
      <c r="X3085" s="20"/>
      <c r="Y3085" s="20"/>
      <c r="Z3085" s="20"/>
      <c r="AA3085" s="20"/>
      <c r="AB3085" s="20"/>
      <c r="AC3085" s="20"/>
      <c r="AD3085" s="20"/>
      <c r="AE3085" s="20"/>
      <c r="AF3085" s="20"/>
      <c r="AG3085" s="20"/>
      <c r="AH3085" s="20"/>
      <c r="AI3085" s="20"/>
      <c r="AJ3085" s="20"/>
      <c r="AK3085" s="20"/>
      <c r="AL3085" s="20"/>
      <c r="AM3085" s="20"/>
      <c r="AN3085" s="20"/>
      <c r="AO3085" s="20"/>
    </row>
    <row r="3086" spans="1:41" s="15" customFormat="1" ht="14.25" x14ac:dyDescent="0.2">
      <c r="A3086" s="18">
        <v>450403</v>
      </c>
      <c r="B3086" s="19" t="s">
        <v>847</v>
      </c>
      <c r="C3086" s="20"/>
      <c r="D3086" s="20"/>
      <c r="E3086" s="20"/>
      <c r="F3086" s="20"/>
      <c r="G3086" s="20"/>
      <c r="H3086" s="20"/>
      <c r="I3086" s="20"/>
      <c r="J3086" s="20"/>
      <c r="K3086" s="20"/>
      <c r="L3086" s="20"/>
      <c r="M3086" s="20"/>
      <c r="N3086" s="20"/>
      <c r="O3086" s="20"/>
      <c r="P3086" s="20"/>
      <c r="Q3086" s="20"/>
      <c r="R3086" s="20"/>
      <c r="S3086" s="20"/>
      <c r="T3086" s="20"/>
      <c r="U3086" s="20"/>
      <c r="V3086" s="20"/>
      <c r="W3086" s="20"/>
      <c r="X3086" s="20"/>
      <c r="Y3086" s="20"/>
      <c r="Z3086" s="20"/>
      <c r="AA3086" s="20"/>
      <c r="AB3086" s="20"/>
      <c r="AC3086" s="20"/>
      <c r="AD3086" s="20"/>
      <c r="AE3086" s="20"/>
      <c r="AF3086" s="20"/>
      <c r="AG3086" s="20"/>
      <c r="AH3086" s="20"/>
      <c r="AI3086" s="20"/>
      <c r="AJ3086" s="20"/>
      <c r="AK3086" s="20"/>
      <c r="AL3086" s="20"/>
      <c r="AM3086" s="20"/>
      <c r="AN3086" s="20"/>
      <c r="AO3086" s="20"/>
    </row>
    <row r="3087" spans="1:41" s="15" customFormat="1" ht="14.25" x14ac:dyDescent="0.2">
      <c r="A3087" s="18" t="s">
        <v>2017</v>
      </c>
      <c r="B3087" s="19" t="s">
        <v>2018</v>
      </c>
      <c r="C3087" s="20"/>
      <c r="D3087" s="20">
        <v>33182.19</v>
      </c>
      <c r="E3087" s="20">
        <v>34053.660000000003</v>
      </c>
      <c r="F3087" s="20">
        <v>35199.96</v>
      </c>
      <c r="G3087" s="20">
        <v>36287.699999999997</v>
      </c>
      <c r="H3087" s="20">
        <v>36478.93</v>
      </c>
      <c r="I3087" s="20">
        <v>36478.93</v>
      </c>
      <c r="J3087" s="20">
        <v>36601.93</v>
      </c>
      <c r="K3087" s="20">
        <v>36601.93</v>
      </c>
      <c r="L3087" s="20">
        <v>36601.93</v>
      </c>
      <c r="M3087" s="20">
        <v>47786.92</v>
      </c>
      <c r="N3087" s="20">
        <v>49448.959999999999</v>
      </c>
      <c r="O3087" s="20"/>
      <c r="P3087" s="20">
        <v>1183.25</v>
      </c>
      <c r="Q3087" s="20">
        <v>1488.44</v>
      </c>
      <c r="R3087" s="20">
        <v>1488.44</v>
      </c>
      <c r="S3087" s="20">
        <v>1488.44</v>
      </c>
      <c r="T3087" s="20">
        <v>30958.05</v>
      </c>
      <c r="U3087" s="20">
        <v>30958.05</v>
      </c>
      <c r="V3087" s="20">
        <v>30958.05</v>
      </c>
      <c r="W3087" s="20">
        <v>32327.75</v>
      </c>
      <c r="X3087" s="20">
        <v>32327.75</v>
      </c>
      <c r="Y3087" s="20">
        <v>37370.879999999997</v>
      </c>
      <c r="Z3087" s="20">
        <v>42757.67</v>
      </c>
      <c r="AA3087" s="20">
        <v>2611.8000000000002</v>
      </c>
      <c r="AB3087" s="20">
        <v>4534.2299999999996</v>
      </c>
      <c r="AC3087" s="20">
        <v>7222.96</v>
      </c>
      <c r="AD3087" s="20">
        <v>16841.560000000001</v>
      </c>
      <c r="AE3087" s="20">
        <v>52539.040000000001</v>
      </c>
      <c r="AF3087" s="20">
        <v>56452.15</v>
      </c>
      <c r="AG3087" s="20">
        <v>56452.15</v>
      </c>
      <c r="AH3087" s="20">
        <v>66064.27</v>
      </c>
      <c r="AI3087" s="20">
        <v>67321.38</v>
      </c>
      <c r="AJ3087" s="20">
        <v>67321.38</v>
      </c>
      <c r="AK3087" s="20">
        <v>76933.5</v>
      </c>
      <c r="AL3087" s="20">
        <v>83175.5</v>
      </c>
      <c r="AM3087" s="20"/>
      <c r="AN3087" s="20">
        <v>6889.16</v>
      </c>
      <c r="AO3087" s="20">
        <v>21764.83</v>
      </c>
    </row>
    <row r="3088" spans="1:41" s="15" customFormat="1" ht="14.25" x14ac:dyDescent="0.2">
      <c r="A3088" s="18" t="s">
        <v>2019</v>
      </c>
      <c r="B3088" s="19" t="s">
        <v>2020</v>
      </c>
      <c r="C3088" s="20"/>
      <c r="D3088" s="20">
        <v>13828.56</v>
      </c>
      <c r="E3088" s="20">
        <v>14414.02</v>
      </c>
      <c r="F3088" s="20">
        <v>18353.89</v>
      </c>
      <c r="G3088" s="20">
        <v>19075.27</v>
      </c>
      <c r="H3088" s="20">
        <v>19311.34</v>
      </c>
      <c r="I3088" s="20">
        <v>19311.34</v>
      </c>
      <c r="J3088" s="20">
        <v>22375.01</v>
      </c>
      <c r="K3088" s="20">
        <v>25997.59</v>
      </c>
      <c r="L3088" s="20">
        <v>25997.59</v>
      </c>
      <c r="M3088" s="20">
        <v>25997.59</v>
      </c>
      <c r="N3088" s="20">
        <v>31315.07</v>
      </c>
      <c r="O3088" s="20">
        <v>1528</v>
      </c>
      <c r="P3088" s="20">
        <v>3833.14</v>
      </c>
      <c r="Q3088" s="20">
        <v>16950.919999999998</v>
      </c>
      <c r="R3088" s="20">
        <v>16950.919999999998</v>
      </c>
      <c r="S3088" s="20">
        <v>16950.919999999998</v>
      </c>
      <c r="T3088" s="20">
        <v>17774.099999999999</v>
      </c>
      <c r="U3088" s="20">
        <v>17774.099999999999</v>
      </c>
      <c r="V3088" s="20">
        <v>17774.099999999999</v>
      </c>
      <c r="W3088" s="20">
        <v>18362.400000000001</v>
      </c>
      <c r="X3088" s="20">
        <v>18362.400000000001</v>
      </c>
      <c r="Y3088" s="20">
        <v>18362.400000000001</v>
      </c>
      <c r="Z3088" s="20">
        <v>20020.54</v>
      </c>
      <c r="AA3088" s="20"/>
      <c r="AB3088" s="20">
        <v>2721.79</v>
      </c>
      <c r="AC3088" s="20">
        <v>6773.46</v>
      </c>
      <c r="AD3088" s="20">
        <v>34556.46</v>
      </c>
      <c r="AE3088" s="20">
        <v>71298.960000000006</v>
      </c>
      <c r="AF3088" s="20">
        <v>71298.960000000006</v>
      </c>
      <c r="AG3088" s="20">
        <v>71298.960000000006</v>
      </c>
      <c r="AH3088" s="20">
        <v>71298.960000000006</v>
      </c>
      <c r="AI3088" s="20">
        <v>71298.960000000006</v>
      </c>
      <c r="AJ3088" s="20">
        <v>71298.960000000006</v>
      </c>
      <c r="AK3088" s="20">
        <v>71298.960000000006</v>
      </c>
      <c r="AL3088" s="20">
        <v>71298.960000000006</v>
      </c>
      <c r="AM3088" s="20"/>
      <c r="AN3088" s="20">
        <v>9685.0499999999993</v>
      </c>
      <c r="AO3088" s="20">
        <v>11976.53</v>
      </c>
    </row>
    <row r="3089" spans="1:41" s="15" customFormat="1" ht="14.25" x14ac:dyDescent="0.2">
      <c r="A3089" s="18" t="s">
        <v>2021</v>
      </c>
      <c r="B3089" s="19" t="s">
        <v>2022</v>
      </c>
      <c r="C3089" s="20"/>
      <c r="D3089" s="20"/>
      <c r="E3089" s="20"/>
      <c r="F3089" s="20"/>
      <c r="G3089" s="20"/>
      <c r="H3089" s="20"/>
      <c r="I3089" s="20"/>
      <c r="J3089" s="20"/>
      <c r="K3089" s="20"/>
      <c r="L3089" s="20"/>
      <c r="M3089" s="20"/>
      <c r="N3089" s="20"/>
      <c r="O3089" s="20">
        <v>1384.35</v>
      </c>
      <c r="P3089" s="20">
        <v>3922.27</v>
      </c>
      <c r="Q3089" s="20">
        <v>3922.27</v>
      </c>
      <c r="R3089" s="20">
        <v>3922.27</v>
      </c>
      <c r="S3089" s="20">
        <v>3922.27</v>
      </c>
      <c r="T3089" s="20">
        <v>3922.27</v>
      </c>
      <c r="U3089" s="20">
        <v>3922.27</v>
      </c>
      <c r="V3089" s="20">
        <v>3922.27</v>
      </c>
      <c r="W3089" s="20">
        <v>8052.7</v>
      </c>
      <c r="X3089" s="20">
        <v>8052.7</v>
      </c>
      <c r="Y3089" s="20">
        <v>8052.7</v>
      </c>
      <c r="Z3089" s="20">
        <v>8052.7</v>
      </c>
      <c r="AA3089" s="20"/>
      <c r="AB3089" s="20"/>
      <c r="AC3089" s="20"/>
      <c r="AD3089" s="20"/>
      <c r="AE3089" s="20"/>
      <c r="AF3089" s="20"/>
      <c r="AG3089" s="20"/>
      <c r="AH3089" s="20"/>
      <c r="AI3089" s="20"/>
      <c r="AJ3089" s="20"/>
      <c r="AK3089" s="20"/>
      <c r="AL3089" s="20"/>
      <c r="AM3089" s="20"/>
      <c r="AN3089" s="20"/>
      <c r="AO3089" s="20"/>
    </row>
    <row r="3090" spans="1:41" s="15" customFormat="1" ht="14.25" x14ac:dyDescent="0.2">
      <c r="A3090" s="18" t="s">
        <v>2023</v>
      </c>
      <c r="B3090" s="19" t="s">
        <v>2024</v>
      </c>
      <c r="C3090" s="20"/>
      <c r="D3090" s="20"/>
      <c r="E3090" s="20"/>
      <c r="F3090" s="20"/>
      <c r="G3090" s="20"/>
      <c r="H3090" s="20"/>
      <c r="I3090" s="20"/>
      <c r="J3090" s="20"/>
      <c r="K3090" s="20"/>
      <c r="L3090" s="20"/>
      <c r="M3090" s="20"/>
      <c r="N3090" s="20"/>
      <c r="O3090" s="20"/>
      <c r="P3090" s="20"/>
      <c r="Q3090" s="20"/>
      <c r="R3090" s="20"/>
      <c r="S3090" s="20"/>
      <c r="T3090" s="20"/>
      <c r="U3090" s="20"/>
      <c r="V3090" s="20"/>
      <c r="W3090" s="20"/>
      <c r="X3090" s="20"/>
      <c r="Y3090" s="20"/>
      <c r="Z3090" s="20"/>
      <c r="AA3090" s="20"/>
      <c r="AB3090" s="20"/>
      <c r="AC3090" s="20"/>
      <c r="AD3090" s="20"/>
      <c r="AE3090" s="20"/>
      <c r="AF3090" s="20"/>
      <c r="AG3090" s="20">
        <v>449.48</v>
      </c>
      <c r="AH3090" s="20">
        <v>449.48</v>
      </c>
      <c r="AI3090" s="20">
        <v>668.18</v>
      </c>
      <c r="AJ3090" s="20">
        <v>668.18</v>
      </c>
      <c r="AK3090" s="20">
        <v>668.18</v>
      </c>
      <c r="AL3090" s="20">
        <v>887</v>
      </c>
      <c r="AM3090" s="20"/>
      <c r="AN3090" s="20"/>
      <c r="AO3090" s="20"/>
    </row>
    <row r="3091" spans="1:41" s="15" customFormat="1" ht="14.25" x14ac:dyDescent="0.2">
      <c r="A3091" s="18">
        <v>450404</v>
      </c>
      <c r="B3091" s="19" t="s">
        <v>848</v>
      </c>
      <c r="C3091" s="20"/>
      <c r="D3091" s="20"/>
      <c r="E3091" s="20"/>
      <c r="F3091" s="20"/>
      <c r="G3091" s="20"/>
      <c r="H3091" s="20"/>
      <c r="I3091" s="20"/>
      <c r="J3091" s="20"/>
      <c r="K3091" s="20"/>
      <c r="L3091" s="20"/>
      <c r="M3091" s="20"/>
      <c r="N3091" s="20"/>
      <c r="O3091" s="20"/>
      <c r="P3091" s="20"/>
      <c r="Q3091" s="20"/>
      <c r="R3091" s="20"/>
      <c r="S3091" s="20"/>
      <c r="T3091" s="20"/>
      <c r="U3091" s="20"/>
      <c r="V3091" s="20"/>
      <c r="W3091" s="20"/>
      <c r="X3091" s="20"/>
      <c r="Y3091" s="20"/>
      <c r="Z3091" s="20"/>
      <c r="AA3091" s="20"/>
      <c r="AB3091" s="20"/>
      <c r="AC3091" s="20"/>
      <c r="AD3091" s="20"/>
      <c r="AE3091" s="20"/>
      <c r="AF3091" s="20"/>
      <c r="AG3091" s="20"/>
      <c r="AH3091" s="20"/>
      <c r="AI3091" s="20"/>
      <c r="AJ3091" s="20"/>
      <c r="AK3091" s="20"/>
      <c r="AL3091" s="20"/>
      <c r="AM3091" s="20"/>
      <c r="AN3091" s="20"/>
      <c r="AO3091" s="20"/>
    </row>
    <row r="3092" spans="1:41" s="15" customFormat="1" ht="14.25" x14ac:dyDescent="0.2">
      <c r="A3092" s="18" t="s">
        <v>2025</v>
      </c>
      <c r="B3092" s="19" t="s">
        <v>2026</v>
      </c>
      <c r="C3092" s="20"/>
      <c r="D3092" s="20">
        <v>13527.58</v>
      </c>
      <c r="E3092" s="20">
        <v>13527.58</v>
      </c>
      <c r="F3092" s="20">
        <v>13527.58</v>
      </c>
      <c r="G3092" s="20">
        <v>28026.03</v>
      </c>
      <c r="H3092" s="20">
        <v>28026.03</v>
      </c>
      <c r="I3092" s="20">
        <v>28026.03</v>
      </c>
      <c r="J3092" s="20">
        <v>42456.19</v>
      </c>
      <c r="K3092" s="20">
        <v>42456.19</v>
      </c>
      <c r="L3092" s="20">
        <v>42456.19</v>
      </c>
      <c r="M3092" s="20">
        <v>56790.04</v>
      </c>
      <c r="N3092" s="20">
        <v>56790.04</v>
      </c>
      <c r="O3092" s="20"/>
      <c r="P3092" s="20">
        <v>14115</v>
      </c>
      <c r="Q3092" s="20">
        <v>14115</v>
      </c>
      <c r="R3092" s="20">
        <v>14115</v>
      </c>
      <c r="S3092" s="20">
        <v>28676</v>
      </c>
      <c r="T3092" s="20">
        <v>28676</v>
      </c>
      <c r="U3092" s="20">
        <v>28676</v>
      </c>
      <c r="V3092" s="20">
        <v>43234</v>
      </c>
      <c r="W3092" s="20">
        <v>43234</v>
      </c>
      <c r="X3092" s="20">
        <v>43234</v>
      </c>
      <c r="Y3092" s="20">
        <v>58097</v>
      </c>
      <c r="Z3092" s="20">
        <v>58097</v>
      </c>
      <c r="AA3092" s="20"/>
      <c r="AB3092" s="20">
        <v>15200</v>
      </c>
      <c r="AC3092" s="20">
        <v>15200</v>
      </c>
      <c r="AD3092" s="20">
        <v>15200</v>
      </c>
      <c r="AE3092" s="20">
        <v>31062</v>
      </c>
      <c r="AF3092" s="20">
        <v>31062</v>
      </c>
      <c r="AG3092" s="20">
        <v>31062</v>
      </c>
      <c r="AH3092" s="20">
        <v>47362</v>
      </c>
      <c r="AI3092" s="20">
        <v>47362</v>
      </c>
      <c r="AJ3092" s="20">
        <v>47362</v>
      </c>
      <c r="AK3092" s="20">
        <v>64052</v>
      </c>
      <c r="AL3092" s="20">
        <v>64052</v>
      </c>
      <c r="AM3092" s="20"/>
      <c r="AN3092" s="20">
        <v>16903</v>
      </c>
      <c r="AO3092" s="20">
        <v>16903</v>
      </c>
    </row>
    <row r="3093" spans="1:41" s="15" customFormat="1" ht="14.25" x14ac:dyDescent="0.2">
      <c r="A3093" s="18">
        <v>450405</v>
      </c>
      <c r="B3093" s="19" t="s">
        <v>849</v>
      </c>
      <c r="C3093" s="20"/>
      <c r="D3093" s="20"/>
      <c r="E3093" s="20"/>
      <c r="F3093" s="20"/>
      <c r="G3093" s="20"/>
      <c r="H3093" s="20"/>
      <c r="I3093" s="20"/>
      <c r="J3093" s="20"/>
      <c r="K3093" s="20"/>
      <c r="L3093" s="20"/>
      <c r="M3093" s="20"/>
      <c r="N3093" s="20"/>
      <c r="O3093" s="20"/>
      <c r="P3093" s="20"/>
      <c r="Q3093" s="20"/>
      <c r="R3093" s="20"/>
      <c r="S3093" s="20"/>
      <c r="T3093" s="20"/>
      <c r="U3093" s="20"/>
      <c r="V3093" s="20"/>
      <c r="W3093" s="20"/>
      <c r="X3093" s="20"/>
      <c r="Y3093" s="20"/>
      <c r="Z3093" s="20"/>
      <c r="AA3093" s="20"/>
      <c r="AB3093" s="20"/>
      <c r="AC3093" s="20"/>
      <c r="AD3093" s="20"/>
      <c r="AE3093" s="20"/>
      <c r="AF3093" s="20"/>
      <c r="AG3093" s="20"/>
      <c r="AH3093" s="20"/>
      <c r="AI3093" s="20"/>
      <c r="AJ3093" s="20"/>
      <c r="AK3093" s="20"/>
      <c r="AL3093" s="20"/>
      <c r="AM3093" s="20"/>
      <c r="AN3093" s="20"/>
      <c r="AO3093" s="20"/>
    </row>
    <row r="3094" spans="1:41" s="15" customFormat="1" ht="14.25" x14ac:dyDescent="0.2">
      <c r="A3094" s="18" t="s">
        <v>2027</v>
      </c>
      <c r="B3094" s="19" t="s">
        <v>2028</v>
      </c>
      <c r="C3094" s="20"/>
      <c r="D3094" s="20"/>
      <c r="E3094" s="20">
        <v>10000</v>
      </c>
      <c r="F3094" s="20">
        <v>10000</v>
      </c>
      <c r="G3094" s="20">
        <v>10000</v>
      </c>
      <c r="H3094" s="20">
        <v>10000</v>
      </c>
      <c r="I3094" s="20">
        <v>10000</v>
      </c>
      <c r="J3094" s="20">
        <v>10000</v>
      </c>
      <c r="K3094" s="20">
        <v>10000</v>
      </c>
      <c r="L3094" s="20">
        <v>10000</v>
      </c>
      <c r="M3094" s="20">
        <v>10000</v>
      </c>
      <c r="N3094" s="20">
        <v>10000</v>
      </c>
      <c r="O3094" s="20">
        <v>10000</v>
      </c>
      <c r="P3094" s="20">
        <v>10000</v>
      </c>
      <c r="Q3094" s="20">
        <v>10000</v>
      </c>
      <c r="R3094" s="20">
        <v>10000</v>
      </c>
      <c r="S3094" s="20">
        <v>10000</v>
      </c>
      <c r="T3094" s="20">
        <v>10000</v>
      </c>
      <c r="U3094" s="20">
        <v>10000</v>
      </c>
      <c r="V3094" s="20">
        <v>10000</v>
      </c>
      <c r="W3094" s="20">
        <v>10000</v>
      </c>
      <c r="X3094" s="20">
        <v>10000</v>
      </c>
      <c r="Y3094" s="20">
        <v>10000</v>
      </c>
      <c r="Z3094" s="20">
        <v>10000</v>
      </c>
      <c r="AA3094" s="20"/>
      <c r="AB3094" s="20"/>
      <c r="AC3094" s="20">
        <v>10000</v>
      </c>
      <c r="AD3094" s="20">
        <v>10000</v>
      </c>
      <c r="AE3094" s="20">
        <v>10000</v>
      </c>
      <c r="AF3094" s="20">
        <v>10000</v>
      </c>
      <c r="AG3094" s="20">
        <v>10000</v>
      </c>
      <c r="AH3094" s="20">
        <v>10000</v>
      </c>
      <c r="AI3094" s="20">
        <v>10000</v>
      </c>
      <c r="AJ3094" s="20">
        <v>10000</v>
      </c>
      <c r="AK3094" s="20">
        <v>10000</v>
      </c>
      <c r="AL3094" s="20">
        <v>10000</v>
      </c>
      <c r="AM3094" s="20"/>
      <c r="AN3094" s="20"/>
      <c r="AO3094" s="20">
        <v>10784.68</v>
      </c>
    </row>
    <row r="3095" spans="1:41" s="15" customFormat="1" ht="14.25" x14ac:dyDescent="0.2">
      <c r="A3095" s="18">
        <v>450409</v>
      </c>
      <c r="B3095" s="19" t="s">
        <v>850</v>
      </c>
      <c r="C3095" s="20"/>
      <c r="D3095" s="20"/>
      <c r="E3095" s="20"/>
      <c r="F3095" s="20"/>
      <c r="G3095" s="20"/>
      <c r="H3095" s="20"/>
      <c r="I3095" s="20"/>
      <c r="J3095" s="20"/>
      <c r="K3095" s="20"/>
      <c r="L3095" s="20"/>
      <c r="M3095" s="20"/>
      <c r="N3095" s="20"/>
      <c r="O3095" s="20"/>
      <c r="P3095" s="20"/>
      <c r="Q3095" s="20"/>
      <c r="R3095" s="20"/>
      <c r="S3095" s="20"/>
      <c r="T3095" s="20"/>
      <c r="U3095" s="20"/>
      <c r="V3095" s="20"/>
      <c r="W3095" s="20"/>
      <c r="X3095" s="20"/>
      <c r="Y3095" s="20"/>
      <c r="Z3095" s="20"/>
      <c r="AA3095" s="20"/>
      <c r="AB3095" s="20"/>
      <c r="AC3095" s="20"/>
      <c r="AD3095" s="20"/>
      <c r="AE3095" s="20"/>
      <c r="AF3095" s="20"/>
      <c r="AG3095" s="20"/>
      <c r="AH3095" s="20"/>
      <c r="AI3095" s="20"/>
      <c r="AJ3095" s="20"/>
      <c r="AK3095" s="20"/>
      <c r="AL3095" s="20"/>
      <c r="AM3095" s="20"/>
      <c r="AN3095" s="20"/>
      <c r="AO3095" s="20"/>
    </row>
    <row r="3096" spans="1:41" s="15" customFormat="1" ht="14.25" x14ac:dyDescent="0.2">
      <c r="A3096" s="18" t="s">
        <v>2029</v>
      </c>
      <c r="B3096" s="19" t="s">
        <v>2030</v>
      </c>
      <c r="C3096" s="20">
        <v>626.52</v>
      </c>
      <c r="D3096" s="20">
        <v>1483.34</v>
      </c>
      <c r="E3096" s="20">
        <v>2105.4299999999998</v>
      </c>
      <c r="F3096" s="20">
        <v>2941.86</v>
      </c>
      <c r="G3096" s="20">
        <v>4065.71</v>
      </c>
      <c r="H3096" s="20">
        <v>5395.38</v>
      </c>
      <c r="I3096" s="20">
        <v>6921.3</v>
      </c>
      <c r="J3096" s="20">
        <v>7874.89</v>
      </c>
      <c r="K3096" s="20">
        <v>8585.06</v>
      </c>
      <c r="L3096" s="20">
        <v>9074.2900000000009</v>
      </c>
      <c r="M3096" s="20">
        <v>9613.77</v>
      </c>
      <c r="N3096" s="20">
        <v>10527.1</v>
      </c>
      <c r="O3096" s="20">
        <v>595.13</v>
      </c>
      <c r="P3096" s="20">
        <v>1650.44</v>
      </c>
      <c r="Q3096" s="20">
        <v>2403.11</v>
      </c>
      <c r="R3096" s="20">
        <v>3188.6</v>
      </c>
      <c r="S3096" s="20">
        <v>3743.01</v>
      </c>
      <c r="T3096" s="20">
        <v>4454.9799999999996</v>
      </c>
      <c r="U3096" s="20">
        <v>5472.25</v>
      </c>
      <c r="V3096" s="20">
        <v>6504.37</v>
      </c>
      <c r="W3096" s="20">
        <v>7077.19</v>
      </c>
      <c r="X3096" s="20">
        <v>8340.39</v>
      </c>
      <c r="Y3096" s="20">
        <v>8878.5300000000007</v>
      </c>
      <c r="Z3096" s="20">
        <v>9458.65</v>
      </c>
      <c r="AA3096" s="20">
        <v>660.51</v>
      </c>
      <c r="AB3096" s="20">
        <v>1151.24</v>
      </c>
      <c r="AC3096" s="20">
        <v>2122.25</v>
      </c>
      <c r="AD3096" s="20">
        <v>2779.47</v>
      </c>
      <c r="AE3096" s="20">
        <v>3791.9</v>
      </c>
      <c r="AF3096" s="20">
        <v>4925.12</v>
      </c>
      <c r="AG3096" s="20">
        <v>5612.4</v>
      </c>
      <c r="AH3096" s="20">
        <v>7069.22</v>
      </c>
      <c r="AI3096" s="20">
        <v>7760.52</v>
      </c>
      <c r="AJ3096" s="20">
        <v>9187.15</v>
      </c>
      <c r="AK3096" s="20">
        <v>9845.3799999999992</v>
      </c>
      <c r="AL3096" s="20">
        <v>10984.58</v>
      </c>
      <c r="AM3096" s="20">
        <v>873.8</v>
      </c>
      <c r="AN3096" s="20">
        <v>1572.67</v>
      </c>
      <c r="AO3096" s="20">
        <v>2789.4</v>
      </c>
    </row>
    <row r="3097" spans="1:41" s="15" customFormat="1" ht="14.25" x14ac:dyDescent="0.2">
      <c r="A3097" s="18" t="s">
        <v>2031</v>
      </c>
      <c r="B3097" s="19" t="s">
        <v>2032</v>
      </c>
      <c r="C3097" s="20"/>
      <c r="D3097" s="20"/>
      <c r="E3097" s="20"/>
      <c r="F3097" s="20">
        <v>67.319999999999993</v>
      </c>
      <c r="G3097" s="20">
        <v>67.319999999999993</v>
      </c>
      <c r="H3097" s="20">
        <v>67.319999999999993</v>
      </c>
      <c r="I3097" s="20">
        <v>67.319999999999993</v>
      </c>
      <c r="J3097" s="20">
        <v>67.319999999999993</v>
      </c>
      <c r="K3097" s="20">
        <v>67.319999999999993</v>
      </c>
      <c r="L3097" s="20">
        <v>67.319999999999993</v>
      </c>
      <c r="M3097" s="20">
        <v>67.319999999999993</v>
      </c>
      <c r="N3097" s="20">
        <v>67.319999999999993</v>
      </c>
      <c r="O3097" s="20"/>
      <c r="P3097" s="20"/>
      <c r="Q3097" s="20">
        <v>927</v>
      </c>
      <c r="R3097" s="20">
        <v>927</v>
      </c>
      <c r="S3097" s="20">
        <v>927</v>
      </c>
      <c r="T3097" s="20">
        <v>927</v>
      </c>
      <c r="U3097" s="20">
        <v>927</v>
      </c>
      <c r="V3097" s="20">
        <v>927</v>
      </c>
      <c r="W3097" s="20">
        <v>927</v>
      </c>
      <c r="X3097" s="20">
        <v>927</v>
      </c>
      <c r="Y3097" s="20">
        <v>927</v>
      </c>
      <c r="Z3097" s="20">
        <v>927</v>
      </c>
      <c r="AA3097" s="20"/>
      <c r="AB3097" s="20"/>
      <c r="AC3097" s="20"/>
      <c r="AD3097" s="20"/>
      <c r="AE3097" s="20"/>
      <c r="AF3097" s="20"/>
      <c r="AG3097" s="20"/>
      <c r="AH3097" s="20"/>
      <c r="AI3097" s="20"/>
      <c r="AJ3097" s="20"/>
      <c r="AK3097" s="20"/>
      <c r="AL3097" s="20"/>
      <c r="AM3097" s="20"/>
      <c r="AN3097" s="20"/>
      <c r="AO3097" s="20"/>
    </row>
    <row r="3098" spans="1:41" s="15" customFormat="1" ht="14.25" x14ac:dyDescent="0.2">
      <c r="A3098" s="18" t="s">
        <v>2033</v>
      </c>
      <c r="B3098" s="19" t="s">
        <v>2034</v>
      </c>
      <c r="C3098" s="20">
        <v>35</v>
      </c>
      <c r="D3098" s="20">
        <v>35</v>
      </c>
      <c r="E3098" s="20">
        <v>35</v>
      </c>
      <c r="F3098" s="20">
        <v>35</v>
      </c>
      <c r="G3098" s="20">
        <v>35</v>
      </c>
      <c r="H3098" s="20">
        <v>35</v>
      </c>
      <c r="I3098" s="20">
        <v>35</v>
      </c>
      <c r="J3098" s="20">
        <v>35</v>
      </c>
      <c r="K3098" s="20">
        <v>35</v>
      </c>
      <c r="L3098" s="20">
        <v>35</v>
      </c>
      <c r="M3098" s="20">
        <v>35</v>
      </c>
      <c r="N3098" s="20">
        <v>35</v>
      </c>
      <c r="O3098" s="20"/>
      <c r="P3098" s="20"/>
      <c r="Q3098" s="20"/>
      <c r="R3098" s="20">
        <v>943</v>
      </c>
      <c r="S3098" s="20">
        <v>943</v>
      </c>
      <c r="T3098" s="20">
        <v>943</v>
      </c>
      <c r="U3098" s="20">
        <v>943</v>
      </c>
      <c r="V3098" s="20">
        <v>943</v>
      </c>
      <c r="W3098" s="20">
        <v>943</v>
      </c>
      <c r="X3098" s="20">
        <v>943</v>
      </c>
      <c r="Y3098" s="20">
        <v>943</v>
      </c>
      <c r="Z3098" s="20">
        <v>943</v>
      </c>
      <c r="AA3098" s="20"/>
      <c r="AB3098" s="20">
        <v>26</v>
      </c>
      <c r="AC3098" s="20">
        <v>26</v>
      </c>
      <c r="AD3098" s="20">
        <v>26</v>
      </c>
      <c r="AE3098" s="20">
        <v>48</v>
      </c>
      <c r="AF3098" s="20">
        <v>48</v>
      </c>
      <c r="AG3098" s="20">
        <v>48</v>
      </c>
      <c r="AH3098" s="20">
        <v>48</v>
      </c>
      <c r="AI3098" s="20">
        <v>48</v>
      </c>
      <c r="AJ3098" s="20">
        <v>48</v>
      </c>
      <c r="AK3098" s="20">
        <v>48</v>
      </c>
      <c r="AL3098" s="20">
        <v>48</v>
      </c>
      <c r="AM3098" s="20"/>
      <c r="AN3098" s="20"/>
      <c r="AO3098" s="20"/>
    </row>
    <row r="3099" spans="1:41" s="15" customFormat="1" ht="14.25" x14ac:dyDescent="0.2">
      <c r="A3099" s="18" t="s">
        <v>2035</v>
      </c>
      <c r="B3099" s="19" t="s">
        <v>2036</v>
      </c>
      <c r="C3099" s="20"/>
      <c r="D3099" s="20"/>
      <c r="E3099" s="20"/>
      <c r="F3099" s="20"/>
      <c r="G3099" s="20"/>
      <c r="H3099" s="20"/>
      <c r="I3099" s="20"/>
      <c r="J3099" s="20"/>
      <c r="K3099" s="20"/>
      <c r="L3099" s="20"/>
      <c r="M3099" s="20"/>
      <c r="N3099" s="20"/>
      <c r="O3099" s="20"/>
      <c r="P3099" s="20"/>
      <c r="Q3099" s="20"/>
      <c r="R3099" s="20"/>
      <c r="S3099" s="20"/>
      <c r="T3099" s="20"/>
      <c r="U3099" s="20"/>
      <c r="V3099" s="20"/>
      <c r="W3099" s="20"/>
      <c r="X3099" s="20"/>
      <c r="Y3099" s="20"/>
      <c r="Z3099" s="20"/>
      <c r="AA3099" s="20"/>
      <c r="AB3099" s="20"/>
      <c r="AC3099" s="20"/>
      <c r="AD3099" s="20"/>
      <c r="AE3099" s="20"/>
      <c r="AF3099" s="20"/>
      <c r="AG3099" s="20">
        <v>1070</v>
      </c>
      <c r="AH3099" s="20">
        <v>1070</v>
      </c>
      <c r="AI3099" s="20">
        <v>1070</v>
      </c>
      <c r="AJ3099" s="20">
        <v>1070</v>
      </c>
      <c r="AK3099" s="20">
        <v>1070</v>
      </c>
      <c r="AL3099" s="20">
        <v>1070</v>
      </c>
      <c r="AM3099" s="20"/>
      <c r="AN3099" s="20"/>
      <c r="AO3099" s="20"/>
    </row>
    <row r="3100" spans="1:41" s="15" customFormat="1" ht="14.25" x14ac:dyDescent="0.2">
      <c r="A3100" s="18" t="s">
        <v>2037</v>
      </c>
      <c r="B3100" s="19" t="s">
        <v>2038</v>
      </c>
      <c r="C3100" s="20"/>
      <c r="D3100" s="20"/>
      <c r="E3100" s="20"/>
      <c r="F3100" s="20"/>
      <c r="G3100" s="20"/>
      <c r="H3100" s="20"/>
      <c r="I3100" s="20"/>
      <c r="J3100" s="20"/>
      <c r="K3100" s="20"/>
      <c r="L3100" s="20"/>
      <c r="M3100" s="20"/>
      <c r="N3100" s="20"/>
      <c r="O3100" s="20"/>
      <c r="P3100" s="20"/>
      <c r="Q3100" s="20"/>
      <c r="R3100" s="20"/>
      <c r="S3100" s="20"/>
      <c r="T3100" s="20">
        <v>3098.31</v>
      </c>
      <c r="U3100" s="20">
        <v>3098.31</v>
      </c>
      <c r="V3100" s="20">
        <v>3098.31</v>
      </c>
      <c r="W3100" s="20">
        <v>3098.31</v>
      </c>
      <c r="X3100" s="20">
        <v>3098.31</v>
      </c>
      <c r="Y3100" s="20">
        <v>3098.31</v>
      </c>
      <c r="Z3100" s="20">
        <v>3098.31</v>
      </c>
      <c r="AA3100" s="20"/>
      <c r="AB3100" s="20"/>
      <c r="AC3100" s="20"/>
      <c r="AD3100" s="20"/>
      <c r="AE3100" s="20"/>
      <c r="AF3100" s="20"/>
      <c r="AG3100" s="20"/>
      <c r="AH3100" s="20"/>
      <c r="AI3100" s="20"/>
      <c r="AJ3100" s="20"/>
      <c r="AK3100" s="20"/>
      <c r="AL3100" s="20"/>
      <c r="AM3100" s="20"/>
      <c r="AN3100" s="20"/>
      <c r="AO3100" s="20"/>
    </row>
    <row r="3101" spans="1:41" s="15" customFormat="1" ht="14.25" x14ac:dyDescent="0.2">
      <c r="A3101" s="18">
        <v>4505</v>
      </c>
      <c r="B3101" s="19" t="s">
        <v>851</v>
      </c>
      <c r="C3101" s="20">
        <f>SUM(C3102:C3115)</f>
        <v>0</v>
      </c>
      <c r="D3101" s="20">
        <f t="shared" ref="D3101:AO3101" si="94">SUM(D3102:D3115)</f>
        <v>45364.530000000006</v>
      </c>
      <c r="E3101" s="20">
        <f t="shared" si="94"/>
        <v>249222.27000000002</v>
      </c>
      <c r="F3101" s="20">
        <f t="shared" si="94"/>
        <v>263089.94</v>
      </c>
      <c r="G3101" s="20">
        <f t="shared" si="94"/>
        <v>265430.54000000004</v>
      </c>
      <c r="H3101" s="20">
        <f t="shared" si="94"/>
        <v>265630.54000000004</v>
      </c>
      <c r="I3101" s="20">
        <f t="shared" si="94"/>
        <v>265630.54000000004</v>
      </c>
      <c r="J3101" s="20">
        <f t="shared" si="94"/>
        <v>265630.54000000004</v>
      </c>
      <c r="K3101" s="20">
        <f t="shared" si="94"/>
        <v>265630.54000000004</v>
      </c>
      <c r="L3101" s="20">
        <f t="shared" si="94"/>
        <v>265630.54000000004</v>
      </c>
      <c r="M3101" s="20">
        <f t="shared" si="94"/>
        <v>265630.54000000004</v>
      </c>
      <c r="N3101" s="20">
        <f t="shared" si="94"/>
        <v>265630.54000000004</v>
      </c>
      <c r="O3101" s="20">
        <f t="shared" si="94"/>
        <v>39155</v>
      </c>
      <c r="P3101" s="20">
        <f t="shared" si="94"/>
        <v>156180.81</v>
      </c>
      <c r="Q3101" s="20">
        <f t="shared" si="94"/>
        <v>391871.37</v>
      </c>
      <c r="R3101" s="20">
        <f t="shared" si="94"/>
        <v>417617.43</v>
      </c>
      <c r="S3101" s="20">
        <f t="shared" si="94"/>
        <v>417617.43</v>
      </c>
      <c r="T3101" s="20">
        <f t="shared" si="94"/>
        <v>417617.43</v>
      </c>
      <c r="U3101" s="20">
        <f t="shared" si="94"/>
        <v>417617.43</v>
      </c>
      <c r="V3101" s="20">
        <f t="shared" si="94"/>
        <v>417617.43</v>
      </c>
      <c r="W3101" s="20">
        <f t="shared" si="94"/>
        <v>417617.43</v>
      </c>
      <c r="X3101" s="20">
        <f t="shared" si="94"/>
        <v>417617.43</v>
      </c>
      <c r="Y3101" s="20">
        <f t="shared" si="94"/>
        <v>417617.43</v>
      </c>
      <c r="Z3101" s="20">
        <f t="shared" si="94"/>
        <v>417617.43</v>
      </c>
      <c r="AA3101" s="20">
        <f t="shared" si="94"/>
        <v>7107.46</v>
      </c>
      <c r="AB3101" s="20">
        <f t="shared" si="94"/>
        <v>29729.510000000002</v>
      </c>
      <c r="AC3101" s="20">
        <f t="shared" si="94"/>
        <v>281152.98</v>
      </c>
      <c r="AD3101" s="20">
        <f t="shared" si="94"/>
        <v>296002.90000000002</v>
      </c>
      <c r="AE3101" s="20">
        <f t="shared" si="94"/>
        <v>296222.90000000002</v>
      </c>
      <c r="AF3101" s="20">
        <f t="shared" si="94"/>
        <v>296222.90000000002</v>
      </c>
      <c r="AG3101" s="20">
        <f t="shared" si="94"/>
        <v>296222.90000000002</v>
      </c>
      <c r="AH3101" s="20">
        <f t="shared" si="94"/>
        <v>296222.90000000002</v>
      </c>
      <c r="AI3101" s="20">
        <f t="shared" si="94"/>
        <v>296222.90000000002</v>
      </c>
      <c r="AJ3101" s="20">
        <f t="shared" si="94"/>
        <v>296222.90000000002</v>
      </c>
      <c r="AK3101" s="20">
        <f t="shared" si="94"/>
        <v>296222.90000000002</v>
      </c>
      <c r="AL3101" s="20">
        <f t="shared" si="94"/>
        <v>296222.90000000002</v>
      </c>
      <c r="AM3101" s="20">
        <f t="shared" si="94"/>
        <v>0</v>
      </c>
      <c r="AN3101" s="20">
        <f t="shared" si="94"/>
        <v>0</v>
      </c>
      <c r="AO3101" s="20">
        <f t="shared" si="94"/>
        <v>66750.739999999991</v>
      </c>
    </row>
    <row r="3102" spans="1:41" ht="14.25" x14ac:dyDescent="0.2">
      <c r="A3102" s="2">
        <v>450501</v>
      </c>
      <c r="B3102" s="3" t="s">
        <v>852</v>
      </c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9"/>
      <c r="AL3102" s="9"/>
      <c r="AM3102" s="9"/>
      <c r="AN3102" s="9"/>
      <c r="AO3102" s="9"/>
    </row>
    <row r="3103" spans="1:41" s="15" customFormat="1" ht="14.25" x14ac:dyDescent="0.2">
      <c r="A3103" s="18" t="s">
        <v>2039</v>
      </c>
      <c r="B3103" s="19" t="s">
        <v>2040</v>
      </c>
      <c r="C3103" s="20"/>
      <c r="D3103" s="20">
        <v>12515</v>
      </c>
      <c r="E3103" s="20">
        <v>12515</v>
      </c>
      <c r="F3103" s="20">
        <v>12515</v>
      </c>
      <c r="G3103" s="20">
        <v>12515</v>
      </c>
      <c r="H3103" s="20">
        <v>12515</v>
      </c>
      <c r="I3103" s="20">
        <v>12515</v>
      </c>
      <c r="J3103" s="20">
        <v>12515</v>
      </c>
      <c r="K3103" s="20">
        <v>12515</v>
      </c>
      <c r="L3103" s="20">
        <v>12515</v>
      </c>
      <c r="M3103" s="20">
        <v>12515</v>
      </c>
      <c r="N3103" s="20">
        <v>12515</v>
      </c>
      <c r="O3103" s="20"/>
      <c r="P3103" s="20"/>
      <c r="Q3103" s="20"/>
      <c r="R3103" s="20"/>
      <c r="S3103" s="20"/>
      <c r="T3103" s="20"/>
      <c r="U3103" s="20"/>
      <c r="V3103" s="20"/>
      <c r="W3103" s="20"/>
      <c r="X3103" s="20"/>
      <c r="Y3103" s="20"/>
      <c r="Z3103" s="20"/>
      <c r="AA3103" s="20"/>
      <c r="AB3103" s="20">
        <v>7792.37</v>
      </c>
      <c r="AC3103" s="20">
        <v>8978.81</v>
      </c>
      <c r="AD3103" s="20">
        <v>8978.81</v>
      </c>
      <c r="AE3103" s="20">
        <v>8978.81</v>
      </c>
      <c r="AF3103" s="20">
        <v>8978.81</v>
      </c>
      <c r="AG3103" s="20">
        <v>8978.81</v>
      </c>
      <c r="AH3103" s="20">
        <v>8978.81</v>
      </c>
      <c r="AI3103" s="20">
        <v>8978.81</v>
      </c>
      <c r="AJ3103" s="20">
        <v>8978.81</v>
      </c>
      <c r="AK3103" s="20">
        <v>8978.81</v>
      </c>
      <c r="AL3103" s="20">
        <v>8978.81</v>
      </c>
      <c r="AM3103" s="20"/>
      <c r="AN3103" s="20"/>
      <c r="AO3103" s="20"/>
    </row>
    <row r="3104" spans="1:41" s="15" customFormat="1" ht="14.25" x14ac:dyDescent="0.2">
      <c r="A3104" s="18" t="s">
        <v>2041</v>
      </c>
      <c r="B3104" s="19" t="s">
        <v>2042</v>
      </c>
      <c r="C3104" s="20"/>
      <c r="D3104" s="20"/>
      <c r="E3104" s="20"/>
      <c r="F3104" s="20"/>
      <c r="G3104" s="20"/>
      <c r="H3104" s="20"/>
      <c r="I3104" s="20"/>
      <c r="J3104" s="20"/>
      <c r="K3104" s="20"/>
      <c r="L3104" s="20"/>
      <c r="M3104" s="20"/>
      <c r="N3104" s="20"/>
      <c r="O3104" s="20"/>
      <c r="P3104" s="20"/>
      <c r="Q3104" s="20"/>
      <c r="R3104" s="20"/>
      <c r="S3104" s="20"/>
      <c r="T3104" s="20"/>
      <c r="U3104" s="20"/>
      <c r="V3104" s="20"/>
      <c r="W3104" s="20"/>
      <c r="X3104" s="20"/>
      <c r="Y3104" s="20"/>
      <c r="Z3104" s="20"/>
      <c r="AA3104" s="20">
        <v>961.02</v>
      </c>
      <c r="AB3104" s="20">
        <v>961.02</v>
      </c>
      <c r="AC3104" s="20">
        <v>2997.46</v>
      </c>
      <c r="AD3104" s="20">
        <v>2997.46</v>
      </c>
      <c r="AE3104" s="20">
        <v>2997.46</v>
      </c>
      <c r="AF3104" s="20">
        <v>2997.46</v>
      </c>
      <c r="AG3104" s="20">
        <v>2997.46</v>
      </c>
      <c r="AH3104" s="20">
        <v>2997.46</v>
      </c>
      <c r="AI3104" s="20">
        <v>2997.46</v>
      </c>
      <c r="AJ3104" s="20">
        <v>2997.46</v>
      </c>
      <c r="AK3104" s="20">
        <v>2997.46</v>
      </c>
      <c r="AL3104" s="20">
        <v>2997.46</v>
      </c>
      <c r="AM3104" s="20"/>
      <c r="AN3104" s="20"/>
      <c r="AO3104" s="20"/>
    </row>
    <row r="3105" spans="1:41" s="15" customFormat="1" ht="14.25" x14ac:dyDescent="0.2">
      <c r="A3105" s="18" t="s">
        <v>2043</v>
      </c>
      <c r="B3105" s="19" t="s">
        <v>2044</v>
      </c>
      <c r="C3105" s="20"/>
      <c r="D3105" s="20"/>
      <c r="E3105" s="20">
        <v>36520.42</v>
      </c>
      <c r="F3105" s="20">
        <v>37854.42</v>
      </c>
      <c r="G3105" s="20">
        <v>37854.42</v>
      </c>
      <c r="H3105" s="20">
        <v>37854.42</v>
      </c>
      <c r="I3105" s="20">
        <v>37854.42</v>
      </c>
      <c r="J3105" s="20">
        <v>37854.42</v>
      </c>
      <c r="K3105" s="20">
        <v>37854.42</v>
      </c>
      <c r="L3105" s="20">
        <v>37854.42</v>
      </c>
      <c r="M3105" s="20">
        <v>37854.42</v>
      </c>
      <c r="N3105" s="20">
        <v>37854.42</v>
      </c>
      <c r="O3105" s="20"/>
      <c r="P3105" s="20"/>
      <c r="Q3105" s="20">
        <v>1133.55</v>
      </c>
      <c r="R3105" s="20">
        <v>1133.55</v>
      </c>
      <c r="S3105" s="20">
        <v>1133.55</v>
      </c>
      <c r="T3105" s="20">
        <v>1133.55</v>
      </c>
      <c r="U3105" s="20">
        <v>1133.55</v>
      </c>
      <c r="V3105" s="20">
        <v>1133.55</v>
      </c>
      <c r="W3105" s="20">
        <v>1133.55</v>
      </c>
      <c r="X3105" s="20">
        <v>1133.55</v>
      </c>
      <c r="Y3105" s="20">
        <v>1133.55</v>
      </c>
      <c r="Z3105" s="20">
        <v>1133.55</v>
      </c>
      <c r="AA3105" s="20">
        <v>146.44</v>
      </c>
      <c r="AB3105" s="20">
        <v>146.44</v>
      </c>
      <c r="AC3105" s="20">
        <v>146.44</v>
      </c>
      <c r="AD3105" s="20">
        <v>657.94</v>
      </c>
      <c r="AE3105" s="20">
        <v>657.94</v>
      </c>
      <c r="AF3105" s="20">
        <v>657.94</v>
      </c>
      <c r="AG3105" s="20">
        <v>657.94</v>
      </c>
      <c r="AH3105" s="20">
        <v>657.94</v>
      </c>
      <c r="AI3105" s="20">
        <v>657.94</v>
      </c>
      <c r="AJ3105" s="20">
        <v>657.94</v>
      </c>
      <c r="AK3105" s="20">
        <v>657.94</v>
      </c>
      <c r="AL3105" s="20">
        <v>657.94</v>
      </c>
      <c r="AM3105" s="20"/>
      <c r="AN3105" s="20"/>
      <c r="AO3105" s="20">
        <v>367.42</v>
      </c>
    </row>
    <row r="3106" spans="1:41" s="15" customFormat="1" ht="14.25" x14ac:dyDescent="0.2">
      <c r="A3106" s="18">
        <v>45050104</v>
      </c>
      <c r="B3106" s="19" t="s">
        <v>853</v>
      </c>
      <c r="C3106" s="20"/>
      <c r="D3106" s="20"/>
      <c r="E3106" s="20"/>
      <c r="F3106" s="20"/>
      <c r="G3106" s="20"/>
      <c r="H3106" s="20"/>
      <c r="I3106" s="20"/>
      <c r="J3106" s="20"/>
      <c r="K3106" s="20"/>
      <c r="L3106" s="20"/>
      <c r="M3106" s="20"/>
      <c r="N3106" s="20"/>
      <c r="O3106" s="20"/>
      <c r="P3106" s="20"/>
      <c r="Q3106" s="20"/>
      <c r="R3106" s="20"/>
      <c r="S3106" s="20"/>
      <c r="T3106" s="20"/>
      <c r="U3106" s="20"/>
      <c r="V3106" s="20"/>
      <c r="W3106" s="20"/>
      <c r="X3106" s="20"/>
      <c r="Y3106" s="20"/>
      <c r="Z3106" s="20"/>
      <c r="AA3106" s="20"/>
      <c r="AB3106" s="20"/>
      <c r="AC3106" s="20"/>
      <c r="AD3106" s="20"/>
      <c r="AE3106" s="20"/>
      <c r="AF3106" s="20"/>
      <c r="AG3106" s="20"/>
      <c r="AH3106" s="20"/>
      <c r="AI3106" s="20"/>
      <c r="AJ3106" s="20"/>
      <c r="AK3106" s="20"/>
      <c r="AL3106" s="20"/>
      <c r="AM3106" s="20"/>
      <c r="AN3106" s="20"/>
      <c r="AO3106" s="20"/>
    </row>
    <row r="3107" spans="1:41" s="15" customFormat="1" ht="14.25" x14ac:dyDescent="0.2">
      <c r="A3107" s="18">
        <v>45050105</v>
      </c>
      <c r="B3107" s="19" t="s">
        <v>854</v>
      </c>
      <c r="C3107" s="20"/>
      <c r="D3107" s="20"/>
      <c r="E3107" s="20"/>
      <c r="F3107" s="20"/>
      <c r="G3107" s="20"/>
      <c r="H3107" s="20"/>
      <c r="I3107" s="20"/>
      <c r="J3107" s="20"/>
      <c r="K3107" s="20"/>
      <c r="L3107" s="20"/>
      <c r="M3107" s="20"/>
      <c r="N3107" s="20"/>
      <c r="O3107" s="20"/>
      <c r="P3107" s="20"/>
      <c r="Q3107" s="20"/>
      <c r="R3107" s="20"/>
      <c r="S3107" s="20"/>
      <c r="T3107" s="20"/>
      <c r="U3107" s="20"/>
      <c r="V3107" s="20"/>
      <c r="W3107" s="20"/>
      <c r="X3107" s="20"/>
      <c r="Y3107" s="20"/>
      <c r="Z3107" s="20"/>
      <c r="AA3107" s="20"/>
      <c r="AB3107" s="20"/>
      <c r="AC3107" s="20"/>
      <c r="AD3107" s="20"/>
      <c r="AE3107" s="20"/>
      <c r="AF3107" s="20"/>
      <c r="AG3107" s="20"/>
      <c r="AH3107" s="20"/>
      <c r="AI3107" s="20"/>
      <c r="AJ3107" s="20"/>
      <c r="AK3107" s="20"/>
      <c r="AL3107" s="20"/>
      <c r="AM3107" s="20"/>
      <c r="AN3107" s="20"/>
      <c r="AO3107" s="20"/>
    </row>
    <row r="3108" spans="1:41" s="15" customFormat="1" ht="14.25" x14ac:dyDescent="0.2">
      <c r="A3108" s="18" t="s">
        <v>2045</v>
      </c>
      <c r="B3108" s="19" t="s">
        <v>2046</v>
      </c>
      <c r="C3108" s="20"/>
      <c r="D3108" s="20">
        <v>20535.96</v>
      </c>
      <c r="E3108" s="20">
        <v>26044.880000000001</v>
      </c>
      <c r="F3108" s="20">
        <v>26044.880000000001</v>
      </c>
      <c r="G3108" s="20">
        <v>26044.880000000001</v>
      </c>
      <c r="H3108" s="20">
        <v>26044.880000000001</v>
      </c>
      <c r="I3108" s="20">
        <v>26044.880000000001</v>
      </c>
      <c r="J3108" s="20">
        <v>26044.880000000001</v>
      </c>
      <c r="K3108" s="20">
        <v>26044.880000000001</v>
      </c>
      <c r="L3108" s="20">
        <v>26044.880000000001</v>
      </c>
      <c r="M3108" s="20">
        <v>26044.880000000001</v>
      </c>
      <c r="N3108" s="20">
        <v>26044.880000000001</v>
      </c>
      <c r="O3108" s="20">
        <v>1200</v>
      </c>
      <c r="P3108" s="20">
        <v>18996.61</v>
      </c>
      <c r="Q3108" s="20">
        <v>28650.48</v>
      </c>
      <c r="R3108" s="20">
        <v>28650.48</v>
      </c>
      <c r="S3108" s="20">
        <v>28650.48</v>
      </c>
      <c r="T3108" s="20">
        <v>28650.48</v>
      </c>
      <c r="U3108" s="20">
        <v>28650.48</v>
      </c>
      <c r="V3108" s="20">
        <v>28650.48</v>
      </c>
      <c r="W3108" s="20">
        <v>28650.48</v>
      </c>
      <c r="X3108" s="20">
        <v>28650.48</v>
      </c>
      <c r="Y3108" s="20">
        <v>28650.48</v>
      </c>
      <c r="Z3108" s="20">
        <v>28650.48</v>
      </c>
      <c r="AA3108" s="20"/>
      <c r="AB3108" s="20">
        <v>12160.19</v>
      </c>
      <c r="AC3108" s="20">
        <v>13675.02</v>
      </c>
      <c r="AD3108" s="20">
        <v>13675.02</v>
      </c>
      <c r="AE3108" s="20">
        <v>13675.02</v>
      </c>
      <c r="AF3108" s="20">
        <v>13675.02</v>
      </c>
      <c r="AG3108" s="20">
        <v>13675.02</v>
      </c>
      <c r="AH3108" s="20">
        <v>13675.02</v>
      </c>
      <c r="AI3108" s="20">
        <v>13675.02</v>
      </c>
      <c r="AJ3108" s="20">
        <v>13675.02</v>
      </c>
      <c r="AK3108" s="20">
        <v>13675.02</v>
      </c>
      <c r="AL3108" s="20">
        <v>13675.02</v>
      </c>
      <c r="AM3108" s="20"/>
      <c r="AN3108" s="20"/>
      <c r="AO3108" s="20"/>
    </row>
    <row r="3109" spans="1:41" ht="14.25" x14ac:dyDescent="0.2">
      <c r="A3109" s="2">
        <v>450502</v>
      </c>
      <c r="B3109" s="3" t="s">
        <v>855</v>
      </c>
      <c r="C3109" s="9"/>
      <c r="D3109" s="9"/>
      <c r="E3109" s="9"/>
      <c r="F3109" s="9"/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9"/>
      <c r="AL3109" s="9"/>
      <c r="AM3109" s="9"/>
      <c r="AN3109" s="9"/>
      <c r="AO3109" s="9"/>
    </row>
    <row r="3110" spans="1:41" s="15" customFormat="1" ht="14.25" x14ac:dyDescent="0.2">
      <c r="A3110" s="18" t="s">
        <v>2047</v>
      </c>
      <c r="B3110" s="19" t="s">
        <v>2048</v>
      </c>
      <c r="C3110" s="20"/>
      <c r="D3110" s="20">
        <v>8639.84</v>
      </c>
      <c r="E3110" s="20">
        <v>10199.16</v>
      </c>
      <c r="F3110" s="20">
        <v>10199.16</v>
      </c>
      <c r="G3110" s="20">
        <v>10199.16</v>
      </c>
      <c r="H3110" s="20">
        <v>10199.16</v>
      </c>
      <c r="I3110" s="20">
        <v>10199.16</v>
      </c>
      <c r="J3110" s="20">
        <v>10199.16</v>
      </c>
      <c r="K3110" s="20">
        <v>10199.16</v>
      </c>
      <c r="L3110" s="20">
        <v>10199.16</v>
      </c>
      <c r="M3110" s="20">
        <v>10199.16</v>
      </c>
      <c r="N3110" s="20">
        <v>10199.16</v>
      </c>
      <c r="O3110" s="20"/>
      <c r="P3110" s="20"/>
      <c r="Q3110" s="20">
        <v>3084.77</v>
      </c>
      <c r="R3110" s="20">
        <v>3084.77</v>
      </c>
      <c r="S3110" s="20">
        <v>3084.77</v>
      </c>
      <c r="T3110" s="20">
        <v>3084.77</v>
      </c>
      <c r="U3110" s="20">
        <v>3084.77</v>
      </c>
      <c r="V3110" s="20">
        <v>3084.77</v>
      </c>
      <c r="W3110" s="20">
        <v>3084.77</v>
      </c>
      <c r="X3110" s="20">
        <v>3084.77</v>
      </c>
      <c r="Y3110" s="20">
        <v>3084.77</v>
      </c>
      <c r="Z3110" s="20">
        <v>3084.77</v>
      </c>
      <c r="AA3110" s="20"/>
      <c r="AB3110" s="20"/>
      <c r="AC3110" s="20"/>
      <c r="AD3110" s="20"/>
      <c r="AE3110" s="20"/>
      <c r="AF3110" s="20"/>
      <c r="AG3110" s="20"/>
      <c r="AH3110" s="20"/>
      <c r="AI3110" s="20"/>
      <c r="AJ3110" s="20"/>
      <c r="AK3110" s="20"/>
      <c r="AL3110" s="20"/>
      <c r="AM3110" s="20"/>
      <c r="AN3110" s="20"/>
      <c r="AO3110" s="20"/>
    </row>
    <row r="3111" spans="1:41" s="15" customFormat="1" ht="14.25" x14ac:dyDescent="0.2">
      <c r="A3111" s="18" t="s">
        <v>2049</v>
      </c>
      <c r="B3111" s="19" t="s">
        <v>2050</v>
      </c>
      <c r="C3111" s="20"/>
      <c r="D3111" s="20"/>
      <c r="E3111" s="20">
        <v>18.47</v>
      </c>
      <c r="F3111" s="20">
        <v>18.47</v>
      </c>
      <c r="G3111" s="20">
        <v>18.47</v>
      </c>
      <c r="H3111" s="20">
        <v>18.47</v>
      </c>
      <c r="I3111" s="20">
        <v>18.47</v>
      </c>
      <c r="J3111" s="20">
        <v>18.47</v>
      </c>
      <c r="K3111" s="20">
        <v>18.47</v>
      </c>
      <c r="L3111" s="20">
        <v>18.47</v>
      </c>
      <c r="M3111" s="20">
        <v>18.47</v>
      </c>
      <c r="N3111" s="20">
        <v>18.47</v>
      </c>
      <c r="O3111" s="20"/>
      <c r="P3111" s="20"/>
      <c r="Q3111" s="20"/>
      <c r="R3111" s="20"/>
      <c r="S3111" s="20"/>
      <c r="T3111" s="20"/>
      <c r="U3111" s="20"/>
      <c r="V3111" s="20"/>
      <c r="W3111" s="20"/>
      <c r="X3111" s="20"/>
      <c r="Y3111" s="20"/>
      <c r="Z3111" s="20"/>
      <c r="AA3111" s="20"/>
      <c r="AB3111" s="20"/>
      <c r="AC3111" s="20">
        <v>36075</v>
      </c>
      <c r="AD3111" s="20">
        <v>36659.75</v>
      </c>
      <c r="AE3111" s="20">
        <v>36659.75</v>
      </c>
      <c r="AF3111" s="20">
        <v>36659.75</v>
      </c>
      <c r="AG3111" s="20">
        <v>36659.75</v>
      </c>
      <c r="AH3111" s="20">
        <v>36659.75</v>
      </c>
      <c r="AI3111" s="20">
        <v>36659.75</v>
      </c>
      <c r="AJ3111" s="20">
        <v>36659.75</v>
      </c>
      <c r="AK3111" s="20">
        <v>36659.75</v>
      </c>
      <c r="AL3111" s="20">
        <v>36659.75</v>
      </c>
      <c r="AM3111" s="20"/>
      <c r="AN3111" s="20"/>
      <c r="AO3111" s="20">
        <v>39355.86</v>
      </c>
    </row>
    <row r="3112" spans="1:41" s="15" customFormat="1" ht="14.25" x14ac:dyDescent="0.2">
      <c r="A3112" s="18" t="s">
        <v>2051</v>
      </c>
      <c r="B3112" s="19" t="s">
        <v>2052</v>
      </c>
      <c r="C3112" s="20"/>
      <c r="D3112" s="20">
        <v>3673.73</v>
      </c>
      <c r="E3112" s="20">
        <v>34777.75</v>
      </c>
      <c r="F3112" s="20">
        <v>34777.75</v>
      </c>
      <c r="G3112" s="20">
        <v>37118.35</v>
      </c>
      <c r="H3112" s="20">
        <v>37118.35</v>
      </c>
      <c r="I3112" s="20">
        <v>37118.35</v>
      </c>
      <c r="J3112" s="20">
        <v>37118.35</v>
      </c>
      <c r="K3112" s="20">
        <v>37118.35</v>
      </c>
      <c r="L3112" s="20">
        <v>37118.35</v>
      </c>
      <c r="M3112" s="20">
        <v>37118.35</v>
      </c>
      <c r="N3112" s="20">
        <v>37118.35</v>
      </c>
      <c r="O3112" s="20"/>
      <c r="P3112" s="20"/>
      <c r="Q3112" s="20">
        <v>21780.29</v>
      </c>
      <c r="R3112" s="20">
        <v>26328.02</v>
      </c>
      <c r="S3112" s="20">
        <v>26328.02</v>
      </c>
      <c r="T3112" s="20">
        <v>26328.02</v>
      </c>
      <c r="U3112" s="20">
        <v>26328.02</v>
      </c>
      <c r="V3112" s="20">
        <v>26328.02</v>
      </c>
      <c r="W3112" s="20">
        <v>26328.02</v>
      </c>
      <c r="X3112" s="20">
        <v>26328.02</v>
      </c>
      <c r="Y3112" s="20">
        <v>26328.02</v>
      </c>
      <c r="Z3112" s="20">
        <v>26328.02</v>
      </c>
      <c r="AA3112" s="20">
        <v>6000</v>
      </c>
      <c r="AB3112" s="20">
        <v>6000</v>
      </c>
      <c r="AC3112" s="20">
        <v>89129.35</v>
      </c>
      <c r="AD3112" s="20">
        <v>96726.81</v>
      </c>
      <c r="AE3112" s="20">
        <v>96726.81</v>
      </c>
      <c r="AF3112" s="20">
        <v>96726.81</v>
      </c>
      <c r="AG3112" s="20">
        <v>96726.81</v>
      </c>
      <c r="AH3112" s="20">
        <v>96726.81</v>
      </c>
      <c r="AI3112" s="20">
        <v>96726.81</v>
      </c>
      <c r="AJ3112" s="20">
        <v>96726.81</v>
      </c>
      <c r="AK3112" s="20">
        <v>96726.81</v>
      </c>
      <c r="AL3112" s="20">
        <v>96726.81</v>
      </c>
      <c r="AM3112" s="20"/>
      <c r="AN3112" s="20"/>
      <c r="AO3112" s="20">
        <v>17912.47</v>
      </c>
    </row>
    <row r="3113" spans="1:41" s="15" customFormat="1" ht="14.25" x14ac:dyDescent="0.2">
      <c r="A3113" s="18" t="s">
        <v>2053</v>
      </c>
      <c r="B3113" s="19" t="s">
        <v>2054</v>
      </c>
      <c r="C3113" s="20"/>
      <c r="D3113" s="20"/>
      <c r="E3113" s="20"/>
      <c r="F3113" s="20"/>
      <c r="G3113" s="20"/>
      <c r="H3113" s="20"/>
      <c r="I3113" s="20"/>
      <c r="J3113" s="20"/>
      <c r="K3113" s="20"/>
      <c r="L3113" s="20"/>
      <c r="M3113" s="20"/>
      <c r="N3113" s="20"/>
      <c r="O3113" s="20"/>
      <c r="P3113" s="20"/>
      <c r="Q3113" s="20">
        <v>4453.0200000000004</v>
      </c>
      <c r="R3113" s="20">
        <v>4453.0200000000004</v>
      </c>
      <c r="S3113" s="20">
        <v>4453.0200000000004</v>
      </c>
      <c r="T3113" s="20">
        <v>4453.0200000000004</v>
      </c>
      <c r="U3113" s="20">
        <v>4453.0200000000004</v>
      </c>
      <c r="V3113" s="20">
        <v>4453.0200000000004</v>
      </c>
      <c r="W3113" s="20">
        <v>4453.0200000000004</v>
      </c>
      <c r="X3113" s="20">
        <v>4453.0200000000004</v>
      </c>
      <c r="Y3113" s="20">
        <v>4453.0200000000004</v>
      </c>
      <c r="Z3113" s="20">
        <v>4453.0200000000004</v>
      </c>
      <c r="AA3113" s="20"/>
      <c r="AB3113" s="20"/>
      <c r="AC3113" s="20">
        <v>4742.93</v>
      </c>
      <c r="AD3113" s="20">
        <v>4742.93</v>
      </c>
      <c r="AE3113" s="20">
        <v>4742.93</v>
      </c>
      <c r="AF3113" s="20">
        <v>4742.93</v>
      </c>
      <c r="AG3113" s="20">
        <v>4742.93</v>
      </c>
      <c r="AH3113" s="20">
        <v>4742.93</v>
      </c>
      <c r="AI3113" s="20">
        <v>4742.93</v>
      </c>
      <c r="AJ3113" s="20">
        <v>4742.93</v>
      </c>
      <c r="AK3113" s="20">
        <v>4742.93</v>
      </c>
      <c r="AL3113" s="20">
        <v>4742.93</v>
      </c>
      <c r="AM3113" s="20"/>
      <c r="AN3113" s="20"/>
      <c r="AO3113" s="20">
        <v>3652.52</v>
      </c>
    </row>
    <row r="3114" spans="1:41" s="15" customFormat="1" ht="14.25" x14ac:dyDescent="0.2">
      <c r="A3114" s="18" t="s">
        <v>2055</v>
      </c>
      <c r="B3114" s="19" t="s">
        <v>2056</v>
      </c>
      <c r="C3114" s="20"/>
      <c r="D3114" s="20"/>
      <c r="E3114" s="20">
        <v>23334.01</v>
      </c>
      <c r="F3114" s="20">
        <v>24067.48</v>
      </c>
      <c r="G3114" s="20">
        <v>24067.48</v>
      </c>
      <c r="H3114" s="20">
        <v>24267.48</v>
      </c>
      <c r="I3114" s="20">
        <v>24267.48</v>
      </c>
      <c r="J3114" s="20">
        <v>24267.48</v>
      </c>
      <c r="K3114" s="20">
        <v>24267.48</v>
      </c>
      <c r="L3114" s="20">
        <v>24267.48</v>
      </c>
      <c r="M3114" s="20">
        <v>24267.48</v>
      </c>
      <c r="N3114" s="20">
        <v>24267.48</v>
      </c>
      <c r="O3114" s="20"/>
      <c r="P3114" s="20"/>
      <c r="Q3114" s="20">
        <v>77353.84</v>
      </c>
      <c r="R3114" s="20">
        <v>77880.7</v>
      </c>
      <c r="S3114" s="20">
        <v>77880.7</v>
      </c>
      <c r="T3114" s="20">
        <v>77880.7</v>
      </c>
      <c r="U3114" s="20">
        <v>77880.7</v>
      </c>
      <c r="V3114" s="20">
        <v>77880.7</v>
      </c>
      <c r="W3114" s="20">
        <v>77880.7</v>
      </c>
      <c r="X3114" s="20">
        <v>77880.7</v>
      </c>
      <c r="Y3114" s="20">
        <v>77880.7</v>
      </c>
      <c r="Z3114" s="20">
        <v>77880.7</v>
      </c>
      <c r="AA3114" s="20"/>
      <c r="AB3114" s="20">
        <v>2669.49</v>
      </c>
      <c r="AC3114" s="20">
        <v>53927.32</v>
      </c>
      <c r="AD3114" s="20">
        <v>59310.65</v>
      </c>
      <c r="AE3114" s="20">
        <v>59530.65</v>
      </c>
      <c r="AF3114" s="20">
        <v>59530.65</v>
      </c>
      <c r="AG3114" s="20">
        <v>59530.65</v>
      </c>
      <c r="AH3114" s="20">
        <v>59530.65</v>
      </c>
      <c r="AI3114" s="20">
        <v>59530.65</v>
      </c>
      <c r="AJ3114" s="20">
        <v>59530.65</v>
      </c>
      <c r="AK3114" s="20">
        <v>59530.65</v>
      </c>
      <c r="AL3114" s="20">
        <v>59530.65</v>
      </c>
      <c r="AM3114" s="20"/>
      <c r="AN3114" s="20"/>
      <c r="AO3114" s="20">
        <v>5462.47</v>
      </c>
    </row>
    <row r="3115" spans="1:41" s="15" customFormat="1" ht="14.25" x14ac:dyDescent="0.2">
      <c r="A3115" s="18" t="s">
        <v>2057</v>
      </c>
      <c r="B3115" s="19" t="s">
        <v>2058</v>
      </c>
      <c r="C3115" s="20"/>
      <c r="D3115" s="20"/>
      <c r="E3115" s="20">
        <v>105812.58</v>
      </c>
      <c r="F3115" s="20">
        <v>117612.78</v>
      </c>
      <c r="G3115" s="20">
        <v>117612.78</v>
      </c>
      <c r="H3115" s="20">
        <v>117612.78</v>
      </c>
      <c r="I3115" s="20">
        <v>117612.78</v>
      </c>
      <c r="J3115" s="20">
        <v>117612.78</v>
      </c>
      <c r="K3115" s="20">
        <v>117612.78</v>
      </c>
      <c r="L3115" s="20">
        <v>117612.78</v>
      </c>
      <c r="M3115" s="20">
        <v>117612.78</v>
      </c>
      <c r="N3115" s="20">
        <v>117612.78</v>
      </c>
      <c r="O3115" s="20">
        <v>37955</v>
      </c>
      <c r="P3115" s="20">
        <v>137184.20000000001</v>
      </c>
      <c r="Q3115" s="20">
        <v>255415.42</v>
      </c>
      <c r="R3115" s="20">
        <v>276086.89</v>
      </c>
      <c r="S3115" s="20">
        <v>276086.89</v>
      </c>
      <c r="T3115" s="20">
        <v>276086.89</v>
      </c>
      <c r="U3115" s="20">
        <v>276086.89</v>
      </c>
      <c r="V3115" s="20">
        <v>276086.89</v>
      </c>
      <c r="W3115" s="20">
        <v>276086.89</v>
      </c>
      <c r="X3115" s="20">
        <v>276086.89</v>
      </c>
      <c r="Y3115" s="20">
        <v>276086.89</v>
      </c>
      <c r="Z3115" s="20">
        <v>276086.89</v>
      </c>
      <c r="AA3115" s="20"/>
      <c r="AB3115" s="20"/>
      <c r="AC3115" s="20">
        <v>71480.649999999994</v>
      </c>
      <c r="AD3115" s="20">
        <v>72253.53</v>
      </c>
      <c r="AE3115" s="20">
        <v>72253.53</v>
      </c>
      <c r="AF3115" s="20">
        <v>72253.53</v>
      </c>
      <c r="AG3115" s="20">
        <v>72253.53</v>
      </c>
      <c r="AH3115" s="20">
        <v>72253.53</v>
      </c>
      <c r="AI3115" s="20">
        <v>72253.53</v>
      </c>
      <c r="AJ3115" s="20">
        <v>72253.53</v>
      </c>
      <c r="AK3115" s="20">
        <v>72253.53</v>
      </c>
      <c r="AL3115" s="20">
        <v>72253.53</v>
      </c>
      <c r="AM3115" s="20"/>
      <c r="AN3115" s="20"/>
      <c r="AO3115" s="20"/>
    </row>
    <row r="3116" spans="1:41" ht="14.25" x14ac:dyDescent="0.2">
      <c r="A3116" s="2">
        <v>46</v>
      </c>
      <c r="B3116" s="3" t="s">
        <v>856</v>
      </c>
      <c r="C3116" s="20">
        <f>SUM(C3117:C3133)</f>
        <v>38639.39</v>
      </c>
      <c r="D3116" s="20">
        <f t="shared" ref="D3116:AO3116" si="95">SUM(D3117:D3133)</f>
        <v>72969.119999999995</v>
      </c>
      <c r="E3116" s="20">
        <f t="shared" si="95"/>
        <v>140713.85999999999</v>
      </c>
      <c r="F3116" s="20">
        <f t="shared" si="95"/>
        <v>169230.96</v>
      </c>
      <c r="G3116" s="20">
        <f t="shared" si="95"/>
        <v>212433.58000000002</v>
      </c>
      <c r="H3116" s="20">
        <f t="shared" si="95"/>
        <v>241579.83999999997</v>
      </c>
      <c r="I3116" s="20">
        <f t="shared" si="95"/>
        <v>273751.21999999997</v>
      </c>
      <c r="J3116" s="20">
        <f t="shared" si="95"/>
        <v>327994.15000000002</v>
      </c>
      <c r="K3116" s="20">
        <f t="shared" si="95"/>
        <v>443408.7</v>
      </c>
      <c r="L3116" s="20">
        <f t="shared" si="95"/>
        <v>515363.13000000006</v>
      </c>
      <c r="M3116" s="20">
        <f t="shared" si="95"/>
        <v>583026.12</v>
      </c>
      <c r="N3116" s="20">
        <f t="shared" si="95"/>
        <v>618654.5199999999</v>
      </c>
      <c r="O3116" s="20">
        <f t="shared" si="95"/>
        <v>42854.09</v>
      </c>
      <c r="P3116" s="20">
        <f t="shared" si="95"/>
        <v>129197.31</v>
      </c>
      <c r="Q3116" s="20">
        <f t="shared" si="95"/>
        <v>169536.91999999998</v>
      </c>
      <c r="R3116" s="20">
        <f t="shared" si="95"/>
        <v>272632.57999999996</v>
      </c>
      <c r="S3116" s="20">
        <f t="shared" si="95"/>
        <v>356109.19</v>
      </c>
      <c r="T3116" s="20">
        <f t="shared" si="95"/>
        <v>410364.72</v>
      </c>
      <c r="U3116" s="20">
        <f t="shared" si="95"/>
        <v>494554.98</v>
      </c>
      <c r="V3116" s="20">
        <f t="shared" si="95"/>
        <v>529723.4</v>
      </c>
      <c r="W3116" s="20">
        <f t="shared" si="95"/>
        <v>581488.82999999996</v>
      </c>
      <c r="X3116" s="20">
        <f t="shared" si="95"/>
        <v>627759.48</v>
      </c>
      <c r="Y3116" s="20">
        <f t="shared" si="95"/>
        <v>681547.73</v>
      </c>
      <c r="Z3116" s="20">
        <f t="shared" si="95"/>
        <v>717677.83000000007</v>
      </c>
      <c r="AA3116" s="20">
        <f t="shared" si="95"/>
        <v>57368.6</v>
      </c>
      <c r="AB3116" s="20">
        <f t="shared" si="95"/>
        <v>133155.9</v>
      </c>
      <c r="AC3116" s="20">
        <f t="shared" si="95"/>
        <v>194930.95</v>
      </c>
      <c r="AD3116" s="20">
        <f t="shared" si="95"/>
        <v>271080.82</v>
      </c>
      <c r="AE3116" s="20">
        <f t="shared" si="95"/>
        <v>341560.62</v>
      </c>
      <c r="AF3116" s="20">
        <f t="shared" si="95"/>
        <v>439437.89</v>
      </c>
      <c r="AG3116" s="20">
        <f t="shared" si="95"/>
        <v>540264.41</v>
      </c>
      <c r="AH3116" s="20">
        <f t="shared" si="95"/>
        <v>574441.41</v>
      </c>
      <c r="AI3116" s="20">
        <f t="shared" si="95"/>
        <v>641601.62</v>
      </c>
      <c r="AJ3116" s="20">
        <f t="shared" si="95"/>
        <v>676005.03</v>
      </c>
      <c r="AK3116" s="20">
        <f t="shared" si="95"/>
        <v>781934.38</v>
      </c>
      <c r="AL3116" s="20">
        <f t="shared" si="95"/>
        <v>913403.35</v>
      </c>
      <c r="AM3116" s="20">
        <f t="shared" si="95"/>
        <v>34172.94</v>
      </c>
      <c r="AN3116" s="20">
        <f t="shared" si="95"/>
        <v>78704.86</v>
      </c>
      <c r="AO3116" s="20">
        <f t="shared" si="95"/>
        <v>200975.79</v>
      </c>
    </row>
    <row r="3117" spans="1:41" ht="14.25" x14ac:dyDescent="0.2">
      <c r="A3117" s="2">
        <v>4601</v>
      </c>
      <c r="B3117" s="3" t="s">
        <v>857</v>
      </c>
      <c r="C3117" s="9"/>
      <c r="D3117" s="9"/>
      <c r="E3117" s="9"/>
      <c r="F3117" s="9"/>
      <c r="G3117" s="9"/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9"/>
      <c r="AL3117" s="9"/>
      <c r="AM3117" s="9"/>
      <c r="AN3117" s="9"/>
      <c r="AO3117" s="9"/>
    </row>
    <row r="3118" spans="1:41" ht="14.25" x14ac:dyDescent="0.2">
      <c r="A3118" s="2">
        <v>4602</v>
      </c>
      <c r="B3118" s="3" t="s">
        <v>858</v>
      </c>
      <c r="C3118" s="9"/>
      <c r="D3118" s="9"/>
      <c r="E3118" s="9"/>
      <c r="F3118" s="9"/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9"/>
      <c r="AL3118" s="9"/>
      <c r="AM3118" s="9"/>
      <c r="AN3118" s="9"/>
      <c r="AO3118" s="9"/>
    </row>
    <row r="3119" spans="1:41" ht="14.25" x14ac:dyDescent="0.2">
      <c r="A3119" s="2">
        <v>460201</v>
      </c>
      <c r="B3119" s="3" t="s">
        <v>859</v>
      </c>
      <c r="C3119" s="9"/>
      <c r="D3119" s="9"/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9"/>
      <c r="AD3119" s="9"/>
      <c r="AE3119" s="9"/>
      <c r="AF3119" s="9"/>
      <c r="AG3119" s="9"/>
      <c r="AH3119" s="9"/>
      <c r="AI3119" s="9"/>
      <c r="AJ3119" s="9"/>
      <c r="AK3119" s="9"/>
      <c r="AL3119" s="9"/>
      <c r="AM3119" s="9"/>
      <c r="AN3119" s="9"/>
      <c r="AO3119" s="9"/>
    </row>
    <row r="3120" spans="1:41" ht="14.25" x14ac:dyDescent="0.2">
      <c r="A3120" s="2">
        <v>460202</v>
      </c>
      <c r="B3120" s="3" t="s">
        <v>860</v>
      </c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9"/>
      <c r="AL3120" s="9"/>
      <c r="AM3120" s="9"/>
      <c r="AN3120" s="9"/>
      <c r="AO3120" s="9"/>
    </row>
    <row r="3121" spans="1:41" ht="28.5" x14ac:dyDescent="0.2">
      <c r="A3121" s="2">
        <v>4604</v>
      </c>
      <c r="B3121" s="4" t="s">
        <v>861</v>
      </c>
      <c r="C3121" s="11"/>
      <c r="D3121" s="11"/>
      <c r="E3121" s="11"/>
      <c r="F3121" s="11"/>
      <c r="G3121" s="11"/>
      <c r="H3121" s="11"/>
      <c r="I3121" s="11"/>
      <c r="J3121" s="11"/>
      <c r="K3121" s="11"/>
      <c r="L3121" s="11"/>
      <c r="M3121" s="11"/>
      <c r="N3121" s="11"/>
      <c r="O3121" s="11"/>
      <c r="P3121" s="11"/>
      <c r="Q3121" s="11"/>
      <c r="R3121" s="11"/>
      <c r="S3121" s="11"/>
      <c r="T3121" s="11"/>
      <c r="U3121" s="11"/>
      <c r="V3121" s="11"/>
      <c r="W3121" s="11"/>
      <c r="X3121" s="11"/>
      <c r="Y3121" s="11"/>
      <c r="Z3121" s="11"/>
      <c r="AA3121" s="11"/>
      <c r="AB3121" s="11"/>
      <c r="AC3121" s="11"/>
      <c r="AD3121" s="11"/>
      <c r="AE3121" s="11"/>
      <c r="AF3121" s="11"/>
      <c r="AG3121" s="11"/>
      <c r="AH3121" s="11"/>
      <c r="AI3121" s="11"/>
      <c r="AJ3121" s="11"/>
      <c r="AK3121" s="11"/>
      <c r="AL3121" s="11"/>
      <c r="AM3121" s="11"/>
      <c r="AN3121" s="11"/>
      <c r="AO3121" s="11"/>
    </row>
    <row r="3122" spans="1:41" ht="14.25" x14ac:dyDescent="0.2">
      <c r="A3122" s="2">
        <v>4605</v>
      </c>
      <c r="B3122" s="3" t="s">
        <v>862</v>
      </c>
      <c r="C3122" s="9"/>
      <c r="D3122" s="9"/>
      <c r="E3122" s="9"/>
      <c r="F3122" s="9"/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9"/>
      <c r="AL3122" s="9"/>
      <c r="AM3122" s="9"/>
      <c r="AN3122" s="9"/>
      <c r="AO3122" s="9"/>
    </row>
    <row r="3123" spans="1:41" ht="14.25" x14ac:dyDescent="0.2">
      <c r="A3123" s="2">
        <v>4606</v>
      </c>
      <c r="B3123" s="3" t="s">
        <v>863</v>
      </c>
      <c r="C3123" s="9"/>
      <c r="D3123" s="9"/>
      <c r="E3123" s="9"/>
      <c r="F3123" s="9"/>
      <c r="G3123" s="9"/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9"/>
      <c r="AI3123" s="9"/>
      <c r="AJ3123" s="9"/>
      <c r="AK3123" s="9"/>
      <c r="AL3123" s="9"/>
      <c r="AM3123" s="9"/>
      <c r="AN3123" s="9"/>
      <c r="AO3123" s="9"/>
    </row>
    <row r="3124" spans="1:41" s="15" customFormat="1" ht="14.25" x14ac:dyDescent="0.2">
      <c r="A3124" s="18" t="s">
        <v>2059</v>
      </c>
      <c r="B3124" s="19" t="s">
        <v>2060</v>
      </c>
      <c r="C3124" s="20"/>
      <c r="D3124" s="20"/>
      <c r="E3124" s="20"/>
      <c r="F3124" s="20"/>
      <c r="G3124" s="20"/>
      <c r="H3124" s="20"/>
      <c r="I3124" s="20">
        <v>1055.5</v>
      </c>
      <c r="J3124" s="20">
        <v>1055.5</v>
      </c>
      <c r="K3124" s="20">
        <v>1055.5</v>
      </c>
      <c r="L3124" s="20">
        <v>1055.5</v>
      </c>
      <c r="M3124" s="20">
        <v>1055.5</v>
      </c>
      <c r="N3124" s="20">
        <v>1055.5</v>
      </c>
      <c r="O3124" s="20"/>
      <c r="P3124" s="20"/>
      <c r="Q3124" s="20"/>
      <c r="R3124" s="20"/>
      <c r="S3124" s="20"/>
      <c r="T3124" s="20"/>
      <c r="U3124" s="20"/>
      <c r="V3124" s="20"/>
      <c r="W3124" s="20"/>
      <c r="X3124" s="20"/>
      <c r="Y3124" s="20"/>
      <c r="Z3124" s="20"/>
      <c r="AA3124" s="20"/>
      <c r="AB3124" s="20"/>
      <c r="AC3124" s="20"/>
      <c r="AD3124" s="20"/>
      <c r="AE3124" s="20"/>
      <c r="AF3124" s="20"/>
      <c r="AG3124" s="20"/>
      <c r="AH3124" s="20"/>
      <c r="AI3124" s="20">
        <v>3320.5</v>
      </c>
      <c r="AJ3124" s="20">
        <v>3320.5</v>
      </c>
      <c r="AK3124" s="20">
        <v>5451.4</v>
      </c>
      <c r="AL3124" s="20">
        <v>5451.4</v>
      </c>
      <c r="AM3124" s="20"/>
      <c r="AN3124" s="20"/>
      <c r="AO3124" s="20"/>
    </row>
    <row r="3125" spans="1:41" ht="14.25" x14ac:dyDescent="0.2">
      <c r="A3125" s="2">
        <v>4607</v>
      </c>
      <c r="B3125" s="3" t="s">
        <v>864</v>
      </c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9"/>
      <c r="AC3125" s="9"/>
      <c r="AD3125" s="9"/>
      <c r="AE3125" s="9"/>
      <c r="AF3125" s="9"/>
      <c r="AG3125" s="9"/>
      <c r="AH3125" s="9"/>
      <c r="AI3125" s="9"/>
      <c r="AJ3125" s="9"/>
      <c r="AK3125" s="9"/>
      <c r="AL3125" s="9"/>
      <c r="AM3125" s="9"/>
      <c r="AN3125" s="9"/>
      <c r="AO3125" s="9"/>
    </row>
    <row r="3126" spans="1:41" s="15" customFormat="1" ht="14.25" x14ac:dyDescent="0.2">
      <c r="A3126" s="18" t="s">
        <v>2061</v>
      </c>
      <c r="B3126" s="19" t="s">
        <v>2002</v>
      </c>
      <c r="C3126" s="20">
        <v>6539.21</v>
      </c>
      <c r="D3126" s="20">
        <v>11860.52</v>
      </c>
      <c r="E3126" s="20">
        <v>22954.3</v>
      </c>
      <c r="F3126" s="20">
        <v>28262.78</v>
      </c>
      <c r="G3126" s="20">
        <v>36286.89</v>
      </c>
      <c r="H3126" s="20">
        <v>37886.89</v>
      </c>
      <c r="I3126" s="20">
        <v>43936.07</v>
      </c>
      <c r="J3126" s="20">
        <v>48538.1</v>
      </c>
      <c r="K3126" s="20">
        <v>50497.42</v>
      </c>
      <c r="L3126" s="20">
        <v>52402.76</v>
      </c>
      <c r="M3126" s="20">
        <v>54565.32</v>
      </c>
      <c r="N3126" s="20">
        <v>58045.32</v>
      </c>
      <c r="O3126" s="20">
        <v>2560.7600000000002</v>
      </c>
      <c r="P3126" s="20">
        <v>6986.65</v>
      </c>
      <c r="Q3126" s="20">
        <v>8099.36</v>
      </c>
      <c r="R3126" s="20">
        <v>20270.96</v>
      </c>
      <c r="S3126" s="20">
        <v>37159.78</v>
      </c>
      <c r="T3126" s="20">
        <v>40646.730000000003</v>
      </c>
      <c r="U3126" s="20">
        <v>43196.06</v>
      </c>
      <c r="V3126" s="20">
        <v>44316.36</v>
      </c>
      <c r="W3126" s="20">
        <v>45554.93</v>
      </c>
      <c r="X3126" s="20">
        <v>46410.77</v>
      </c>
      <c r="Y3126" s="20">
        <v>53029.41</v>
      </c>
      <c r="Z3126" s="20">
        <v>53379.41</v>
      </c>
      <c r="AA3126" s="20">
        <v>1912.15</v>
      </c>
      <c r="AB3126" s="20">
        <v>6346.89</v>
      </c>
      <c r="AC3126" s="20">
        <v>6747.74</v>
      </c>
      <c r="AD3126" s="20">
        <v>7097.74</v>
      </c>
      <c r="AE3126" s="20">
        <v>7797.74</v>
      </c>
      <c r="AF3126" s="20">
        <v>8266.3799999999992</v>
      </c>
      <c r="AG3126" s="20">
        <v>8466.3799999999992</v>
      </c>
      <c r="AH3126" s="20">
        <v>11559.6</v>
      </c>
      <c r="AI3126" s="20">
        <v>11559.6</v>
      </c>
      <c r="AJ3126" s="20">
        <v>11559.6</v>
      </c>
      <c r="AK3126" s="20">
        <v>11759.6</v>
      </c>
      <c r="AL3126" s="20">
        <v>15244.84</v>
      </c>
      <c r="AM3126" s="20"/>
      <c r="AN3126" s="20">
        <v>2001.02</v>
      </c>
      <c r="AO3126" s="20">
        <v>2301.02</v>
      </c>
    </row>
    <row r="3127" spans="1:41" ht="14.25" x14ac:dyDescent="0.2">
      <c r="A3127" s="2">
        <v>4609</v>
      </c>
      <c r="B3127" s="3" t="s">
        <v>856</v>
      </c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9"/>
      <c r="AL3127" s="9"/>
      <c r="AM3127" s="9"/>
      <c r="AN3127" s="9"/>
      <c r="AO3127" s="9"/>
    </row>
    <row r="3128" spans="1:41" s="15" customFormat="1" ht="14.25" x14ac:dyDescent="0.2">
      <c r="A3128" s="18" t="s">
        <v>2062</v>
      </c>
      <c r="B3128" s="19" t="s">
        <v>2063</v>
      </c>
      <c r="C3128" s="20"/>
      <c r="D3128" s="20"/>
      <c r="E3128" s="20"/>
      <c r="F3128" s="20"/>
      <c r="G3128" s="20">
        <v>2.5099999999999998</v>
      </c>
      <c r="H3128" s="20">
        <v>2.5099999999999998</v>
      </c>
      <c r="I3128" s="20">
        <v>2.5099999999999998</v>
      </c>
      <c r="J3128" s="20">
        <v>11641.37</v>
      </c>
      <c r="K3128" s="20">
        <v>11641.37</v>
      </c>
      <c r="L3128" s="20">
        <v>11641.37</v>
      </c>
      <c r="M3128" s="20">
        <v>11641.37</v>
      </c>
      <c r="N3128" s="20">
        <v>11641.37</v>
      </c>
      <c r="O3128" s="20">
        <v>9350.76</v>
      </c>
      <c r="P3128" s="20">
        <v>9350.76</v>
      </c>
      <c r="Q3128" s="20">
        <v>9350.76</v>
      </c>
      <c r="R3128" s="20">
        <v>9783.16</v>
      </c>
      <c r="S3128" s="20">
        <v>9783.16</v>
      </c>
      <c r="T3128" s="20">
        <v>9783.16</v>
      </c>
      <c r="U3128" s="20">
        <v>9783.16</v>
      </c>
      <c r="V3128" s="20">
        <v>9783.16</v>
      </c>
      <c r="W3128" s="20">
        <v>16138.55</v>
      </c>
      <c r="X3128" s="20">
        <v>16138.55</v>
      </c>
      <c r="Y3128" s="20">
        <v>16138.55</v>
      </c>
      <c r="Z3128" s="20">
        <v>16138.55</v>
      </c>
      <c r="AA3128" s="20"/>
      <c r="AB3128" s="20">
        <v>633</v>
      </c>
      <c r="AC3128" s="20">
        <v>633</v>
      </c>
      <c r="AD3128" s="20">
        <v>1633</v>
      </c>
      <c r="AE3128" s="20">
        <v>1633</v>
      </c>
      <c r="AF3128" s="20">
        <v>9357.92</v>
      </c>
      <c r="AG3128" s="20">
        <v>9357.92</v>
      </c>
      <c r="AH3128" s="20">
        <v>9357.92</v>
      </c>
      <c r="AI3128" s="20">
        <v>9357.92</v>
      </c>
      <c r="AJ3128" s="20">
        <v>9357.92</v>
      </c>
      <c r="AK3128" s="20">
        <v>32296.720000000001</v>
      </c>
      <c r="AL3128" s="20">
        <v>32296.720000000001</v>
      </c>
      <c r="AM3128" s="20"/>
      <c r="AN3128" s="20"/>
      <c r="AO3128" s="20">
        <v>114032.5</v>
      </c>
    </row>
    <row r="3129" spans="1:41" s="15" customFormat="1" ht="14.25" x14ac:dyDescent="0.2">
      <c r="A3129" s="18" t="s">
        <v>2064</v>
      </c>
      <c r="B3129" s="19" t="s">
        <v>2065</v>
      </c>
      <c r="C3129" s="20"/>
      <c r="D3129" s="20"/>
      <c r="E3129" s="20">
        <v>7786.01</v>
      </c>
      <c r="F3129" s="20">
        <v>7786.01</v>
      </c>
      <c r="G3129" s="20">
        <v>7846.82</v>
      </c>
      <c r="H3129" s="20">
        <v>7846.82</v>
      </c>
      <c r="I3129" s="20">
        <v>7846.82</v>
      </c>
      <c r="J3129" s="20">
        <v>7846.82</v>
      </c>
      <c r="K3129" s="20">
        <v>7846.82</v>
      </c>
      <c r="L3129" s="20">
        <v>51163.99</v>
      </c>
      <c r="M3129" s="20">
        <v>51163.99</v>
      </c>
      <c r="N3129" s="20">
        <v>51163.99</v>
      </c>
      <c r="O3129" s="20"/>
      <c r="P3129" s="20"/>
      <c r="Q3129" s="20"/>
      <c r="R3129" s="20">
        <v>714.99</v>
      </c>
      <c r="S3129" s="20">
        <v>714.99</v>
      </c>
      <c r="T3129" s="20">
        <v>714.99</v>
      </c>
      <c r="U3129" s="20">
        <v>2989.4</v>
      </c>
      <c r="V3129" s="20">
        <v>3008.74</v>
      </c>
      <c r="W3129" s="20">
        <v>3008.74</v>
      </c>
      <c r="X3129" s="20">
        <v>3008.74</v>
      </c>
      <c r="Y3129" s="20">
        <v>3123.22</v>
      </c>
      <c r="Z3129" s="20">
        <v>4923.13</v>
      </c>
      <c r="AA3129" s="20">
        <v>882.7</v>
      </c>
      <c r="AB3129" s="20">
        <v>882.7</v>
      </c>
      <c r="AC3129" s="20">
        <v>882.7</v>
      </c>
      <c r="AD3129" s="20">
        <v>882.7</v>
      </c>
      <c r="AE3129" s="20">
        <v>930.51</v>
      </c>
      <c r="AF3129" s="20">
        <v>930.51</v>
      </c>
      <c r="AG3129" s="20">
        <v>930.51</v>
      </c>
      <c r="AH3129" s="20">
        <v>930.51</v>
      </c>
      <c r="AI3129" s="20">
        <v>930.51</v>
      </c>
      <c r="AJ3129" s="20">
        <v>930.51</v>
      </c>
      <c r="AK3129" s="20">
        <v>930.51</v>
      </c>
      <c r="AL3129" s="20">
        <v>8233.23</v>
      </c>
      <c r="AM3129" s="20"/>
      <c r="AN3129" s="20"/>
      <c r="AO3129" s="20"/>
    </row>
    <row r="3130" spans="1:41" s="15" customFormat="1" ht="14.25" x14ac:dyDescent="0.2">
      <c r="A3130" s="18" t="s">
        <v>2066</v>
      </c>
      <c r="B3130" s="19" t="s">
        <v>2067</v>
      </c>
      <c r="C3130" s="20">
        <v>17180.18</v>
      </c>
      <c r="D3130" s="20">
        <v>30217.599999999999</v>
      </c>
      <c r="E3130" s="20">
        <v>57895.05</v>
      </c>
      <c r="F3130" s="20">
        <v>67184.67</v>
      </c>
      <c r="G3130" s="20">
        <v>83097.820000000007</v>
      </c>
      <c r="H3130" s="20">
        <v>96044.08</v>
      </c>
      <c r="I3130" s="20">
        <v>103256.78</v>
      </c>
      <c r="J3130" s="20">
        <v>118040.38</v>
      </c>
      <c r="K3130" s="20">
        <v>212795.61</v>
      </c>
      <c r="L3130" s="20">
        <v>224488.53</v>
      </c>
      <c r="M3130" s="20">
        <v>271849.96000000002</v>
      </c>
      <c r="N3130" s="20">
        <v>283859.36</v>
      </c>
      <c r="O3130" s="20">
        <v>12103.57</v>
      </c>
      <c r="P3130" s="20">
        <v>76881.899999999994</v>
      </c>
      <c r="Q3130" s="20">
        <v>95708.2</v>
      </c>
      <c r="R3130" s="20">
        <v>163345.87</v>
      </c>
      <c r="S3130" s="20">
        <v>204881.66</v>
      </c>
      <c r="T3130" s="20">
        <v>238980.24</v>
      </c>
      <c r="U3130" s="20">
        <v>293944.76</v>
      </c>
      <c r="V3130" s="20">
        <v>303732.53999999998</v>
      </c>
      <c r="W3130" s="20">
        <v>327664.01</v>
      </c>
      <c r="X3130" s="20">
        <v>347390.82</v>
      </c>
      <c r="Y3130" s="20">
        <v>373617.95</v>
      </c>
      <c r="Z3130" s="20">
        <v>386152.14</v>
      </c>
      <c r="AA3130" s="20">
        <v>33957.75</v>
      </c>
      <c r="AB3130" s="20">
        <v>80641.31</v>
      </c>
      <c r="AC3130" s="20">
        <v>117833.51</v>
      </c>
      <c r="AD3130" s="20">
        <v>176653.38</v>
      </c>
      <c r="AE3130" s="20">
        <v>218564.87</v>
      </c>
      <c r="AF3130" s="20">
        <v>287460.38</v>
      </c>
      <c r="AG3130" s="20">
        <v>295828.64</v>
      </c>
      <c r="AH3130" s="20">
        <v>311188.21999999997</v>
      </c>
      <c r="AI3130" s="20">
        <v>347201.59</v>
      </c>
      <c r="AJ3130" s="20">
        <v>353026.85</v>
      </c>
      <c r="AK3130" s="20">
        <v>420923.35</v>
      </c>
      <c r="AL3130" s="20">
        <v>428170.04</v>
      </c>
      <c r="AM3130" s="20">
        <v>29172.94</v>
      </c>
      <c r="AN3130" s="20">
        <v>71703.839999999997</v>
      </c>
      <c r="AO3130" s="20">
        <v>79642.27</v>
      </c>
    </row>
    <row r="3131" spans="1:41" s="15" customFormat="1" ht="14.25" x14ac:dyDescent="0.2">
      <c r="A3131" s="18" t="s">
        <v>2068</v>
      </c>
      <c r="B3131" s="19" t="s">
        <v>2069</v>
      </c>
      <c r="C3131" s="20">
        <v>14920</v>
      </c>
      <c r="D3131" s="20">
        <v>30891</v>
      </c>
      <c r="E3131" s="20">
        <v>52078.5</v>
      </c>
      <c r="F3131" s="20">
        <v>65997.5</v>
      </c>
      <c r="G3131" s="20">
        <v>85199.54</v>
      </c>
      <c r="H3131" s="20">
        <v>99799.54</v>
      </c>
      <c r="I3131" s="20">
        <v>117653.54</v>
      </c>
      <c r="J3131" s="20">
        <v>137685.54</v>
      </c>
      <c r="K3131" s="20">
        <v>156385.54</v>
      </c>
      <c r="L3131" s="20">
        <v>171424.54</v>
      </c>
      <c r="M3131" s="20">
        <v>189563.54</v>
      </c>
      <c r="N3131" s="20">
        <v>209702.54</v>
      </c>
      <c r="O3131" s="20">
        <v>18839</v>
      </c>
      <c r="P3131" s="20">
        <v>35978</v>
      </c>
      <c r="Q3131" s="20">
        <v>56378.6</v>
      </c>
      <c r="R3131" s="20">
        <v>78517.600000000006</v>
      </c>
      <c r="S3131" s="20">
        <v>103569.60000000001</v>
      </c>
      <c r="T3131" s="20">
        <v>120239.6</v>
      </c>
      <c r="U3131" s="20">
        <v>144641.60000000001</v>
      </c>
      <c r="V3131" s="20">
        <v>168882.6</v>
      </c>
      <c r="W3131" s="20">
        <v>189122.6</v>
      </c>
      <c r="X3131" s="20">
        <v>214810.6</v>
      </c>
      <c r="Y3131" s="20">
        <v>235638.6</v>
      </c>
      <c r="Z3131" s="20">
        <v>257084.6</v>
      </c>
      <c r="AA3131" s="20">
        <v>20616</v>
      </c>
      <c r="AB3131" s="20">
        <v>44652</v>
      </c>
      <c r="AC3131" s="20">
        <v>68834</v>
      </c>
      <c r="AD3131" s="20">
        <v>84814</v>
      </c>
      <c r="AE3131" s="20">
        <v>112634.5</v>
      </c>
      <c r="AF3131" s="20">
        <v>133422.70000000001</v>
      </c>
      <c r="AG3131" s="20">
        <v>156192.85</v>
      </c>
      <c r="AH3131" s="20">
        <v>171917.05</v>
      </c>
      <c r="AI3131" s="20">
        <v>199743.39</v>
      </c>
      <c r="AJ3131" s="20">
        <v>228321.54</v>
      </c>
      <c r="AK3131" s="20">
        <v>241084.69</v>
      </c>
      <c r="AL3131" s="20">
        <v>274519.01</v>
      </c>
      <c r="AM3131" s="20"/>
      <c r="AN3131" s="20"/>
      <c r="AO3131" s="20"/>
    </row>
    <row r="3132" spans="1:41" s="15" customFormat="1" ht="14.25" x14ac:dyDescent="0.2">
      <c r="A3132" s="18" t="s">
        <v>2070</v>
      </c>
      <c r="B3132" s="19" t="s">
        <v>2071</v>
      </c>
      <c r="C3132" s="20"/>
      <c r="D3132" s="20"/>
      <c r="E3132" s="20"/>
      <c r="F3132" s="20"/>
      <c r="G3132" s="20"/>
      <c r="H3132" s="20"/>
      <c r="I3132" s="20"/>
      <c r="J3132" s="20">
        <v>3186.44</v>
      </c>
      <c r="K3132" s="20">
        <v>3186.44</v>
      </c>
      <c r="L3132" s="20">
        <v>3186.44</v>
      </c>
      <c r="M3132" s="20">
        <v>3186.44</v>
      </c>
      <c r="N3132" s="20">
        <v>3186.44</v>
      </c>
      <c r="O3132" s="20"/>
      <c r="P3132" s="20"/>
      <c r="Q3132" s="20"/>
      <c r="R3132" s="20"/>
      <c r="S3132" s="20"/>
      <c r="T3132" s="20"/>
      <c r="U3132" s="20"/>
      <c r="V3132" s="20"/>
      <c r="W3132" s="20"/>
      <c r="X3132" s="20"/>
      <c r="Y3132" s="20"/>
      <c r="Z3132" s="20"/>
      <c r="AA3132" s="20"/>
      <c r="AB3132" s="20"/>
      <c r="AC3132" s="20"/>
      <c r="AD3132" s="20"/>
      <c r="AE3132" s="20"/>
      <c r="AF3132" s="20"/>
      <c r="AG3132" s="20"/>
      <c r="AH3132" s="20"/>
      <c r="AI3132" s="20"/>
      <c r="AJ3132" s="20"/>
      <c r="AK3132" s="20"/>
      <c r="AL3132" s="20"/>
      <c r="AM3132" s="20"/>
      <c r="AN3132" s="20"/>
      <c r="AO3132" s="20"/>
    </row>
    <row r="3133" spans="1:41" s="15" customFormat="1" ht="14.25" x14ac:dyDescent="0.2">
      <c r="A3133" s="18" t="s">
        <v>2072</v>
      </c>
      <c r="B3133" s="19" t="s">
        <v>2073</v>
      </c>
      <c r="C3133" s="20"/>
      <c r="D3133" s="20"/>
      <c r="E3133" s="20"/>
      <c r="F3133" s="20"/>
      <c r="G3133" s="20"/>
      <c r="H3133" s="20"/>
      <c r="I3133" s="20"/>
      <c r="J3133" s="20"/>
      <c r="K3133" s="20"/>
      <c r="L3133" s="20"/>
      <c r="M3133" s="20"/>
      <c r="N3133" s="20"/>
      <c r="O3133" s="20"/>
      <c r="P3133" s="20"/>
      <c r="Q3133" s="20"/>
      <c r="R3133" s="20"/>
      <c r="S3133" s="20"/>
      <c r="T3133" s="20"/>
      <c r="U3133" s="20"/>
      <c r="V3133" s="20"/>
      <c r="W3133" s="20"/>
      <c r="X3133" s="20"/>
      <c r="Y3133" s="20"/>
      <c r="Z3133" s="20"/>
      <c r="AA3133" s="20"/>
      <c r="AB3133" s="20"/>
      <c r="AC3133" s="20"/>
      <c r="AD3133" s="20"/>
      <c r="AE3133" s="20"/>
      <c r="AF3133" s="20"/>
      <c r="AG3133" s="20">
        <v>69488.11</v>
      </c>
      <c r="AH3133" s="20">
        <v>69488.11</v>
      </c>
      <c r="AI3133" s="20">
        <v>69488.11</v>
      </c>
      <c r="AJ3133" s="20">
        <v>69488.11</v>
      </c>
      <c r="AK3133" s="20">
        <v>69488.11</v>
      </c>
      <c r="AL3133" s="20">
        <v>149488.10999999999</v>
      </c>
      <c r="AM3133" s="20">
        <v>5000</v>
      </c>
      <c r="AN3133" s="20">
        <v>5000</v>
      </c>
      <c r="AO3133" s="20">
        <v>5000</v>
      </c>
    </row>
    <row r="3134" spans="1:41" ht="14.25" x14ac:dyDescent="0.2">
      <c r="A3134" s="2">
        <v>49</v>
      </c>
      <c r="B3134" s="3" t="s">
        <v>865</v>
      </c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9"/>
      <c r="AL3134" s="9"/>
      <c r="AM3134" s="9"/>
      <c r="AN3134" s="9"/>
      <c r="AO3134" s="9"/>
    </row>
    <row r="3135" spans="1:41" ht="14.25" x14ac:dyDescent="0.2">
      <c r="A3135" s="2">
        <v>4901</v>
      </c>
      <c r="B3135" s="3" t="s">
        <v>866</v>
      </c>
      <c r="C3135" s="9"/>
      <c r="D3135" s="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9"/>
      <c r="AL3135" s="9"/>
      <c r="AM3135" s="9"/>
      <c r="AN3135" s="9"/>
      <c r="AO3135" s="9"/>
    </row>
    <row r="3136" spans="1:41" ht="14.25" x14ac:dyDescent="0.2">
      <c r="A3136" s="2">
        <v>4902</v>
      </c>
      <c r="B3136" s="3" t="s">
        <v>867</v>
      </c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9"/>
      <c r="AL3136" s="9"/>
      <c r="AM3136" s="9"/>
      <c r="AN3136" s="9"/>
      <c r="AO3136" s="9"/>
    </row>
    <row r="3137" spans="1:41" ht="14.25" x14ac:dyDescent="0.2">
      <c r="A3137" s="2">
        <v>5</v>
      </c>
      <c r="B3137" s="3" t="s">
        <v>868</v>
      </c>
      <c r="C3137" s="20">
        <f>+C3138+C3807+C3841+C3859+C3874</f>
        <v>-1196246.2699999998</v>
      </c>
      <c r="D3137" s="20">
        <f t="shared" ref="D3137:AO3137" si="96">+D3138+D3807+D3841+D3859+D3874</f>
        <v>-2381600.5600000005</v>
      </c>
      <c r="E3137" s="20">
        <f t="shared" si="96"/>
        <v>-3568770.37</v>
      </c>
      <c r="F3137" s="20">
        <f t="shared" si="96"/>
        <v>-4754084.919999999</v>
      </c>
      <c r="G3137" s="20">
        <f t="shared" si="96"/>
        <v>-6123131.6500000004</v>
      </c>
      <c r="H3137" s="20">
        <f t="shared" si="96"/>
        <v>-7454241.6499999994</v>
      </c>
      <c r="I3137" s="20">
        <f t="shared" si="96"/>
        <v>-8795372.2699999996</v>
      </c>
      <c r="J3137" s="20">
        <f t="shared" si="96"/>
        <v>-10178482.799999999</v>
      </c>
      <c r="K3137" s="20">
        <f t="shared" si="96"/>
        <v>-11538243.109999999</v>
      </c>
      <c r="L3137" s="20">
        <f t="shared" si="96"/>
        <v>-12817851.789999999</v>
      </c>
      <c r="M3137" s="20">
        <f t="shared" si="96"/>
        <v>-14718295.379999999</v>
      </c>
      <c r="N3137" s="20">
        <f t="shared" si="96"/>
        <v>-15288722.539999999</v>
      </c>
      <c r="O3137" s="20">
        <f t="shared" si="96"/>
        <v>-1248770.18</v>
      </c>
      <c r="P3137" s="20">
        <f t="shared" si="96"/>
        <v>-3057232.87</v>
      </c>
      <c r="Q3137" s="20">
        <f t="shared" si="96"/>
        <v>-4319760.79</v>
      </c>
      <c r="R3137" s="20">
        <f t="shared" si="96"/>
        <v>-5839989.3999999994</v>
      </c>
      <c r="S3137" s="20">
        <f t="shared" si="96"/>
        <v>-6976249.5200000014</v>
      </c>
      <c r="T3137" s="20">
        <f t="shared" si="96"/>
        <v>-8074447.1699999999</v>
      </c>
      <c r="U3137" s="20">
        <f t="shared" si="96"/>
        <v>-9458871.0500000007</v>
      </c>
      <c r="V3137" s="20">
        <f t="shared" si="96"/>
        <v>-10650420.100000001</v>
      </c>
      <c r="W3137" s="20">
        <f t="shared" si="96"/>
        <v>-12466390.050000001</v>
      </c>
      <c r="X3137" s="20">
        <f t="shared" si="96"/>
        <v>-15323965.120000001</v>
      </c>
      <c r="Y3137" s="20">
        <f t="shared" si="96"/>
        <v>-16310904.439999999</v>
      </c>
      <c r="Z3137" s="20">
        <f t="shared" si="96"/>
        <v>-17373975.529999997</v>
      </c>
      <c r="AA3137" s="20">
        <f t="shared" si="96"/>
        <v>-1151735.1000000001</v>
      </c>
      <c r="AB3137" s="20">
        <f t="shared" si="96"/>
        <v>-2233041.38</v>
      </c>
      <c r="AC3137" s="20">
        <f t="shared" si="96"/>
        <v>-3157885.91</v>
      </c>
      <c r="AD3137" s="20">
        <f t="shared" si="96"/>
        <v>-4088649.96</v>
      </c>
      <c r="AE3137" s="20">
        <f t="shared" si="96"/>
        <v>-5210384.379999999</v>
      </c>
      <c r="AF3137" s="20">
        <f>+AF3138+AF3807+AF3841+AF3859+AF3874</f>
        <v>-6511422.6699999999</v>
      </c>
      <c r="AG3137" s="20">
        <f t="shared" si="96"/>
        <v>-7396190.3900000006</v>
      </c>
      <c r="AH3137" s="20">
        <f t="shared" si="96"/>
        <v>-8736409.6500000004</v>
      </c>
      <c r="AI3137" s="20">
        <f t="shared" si="96"/>
        <v>-9808979.9800000004</v>
      </c>
      <c r="AJ3137" s="20">
        <f t="shared" si="96"/>
        <v>-11211537.179999998</v>
      </c>
      <c r="AK3137" s="20">
        <f t="shared" si="96"/>
        <v>-12269443.010000004</v>
      </c>
      <c r="AL3137" s="20">
        <f t="shared" si="96"/>
        <v>-13685751.33</v>
      </c>
      <c r="AM3137" s="20">
        <f t="shared" si="96"/>
        <v>-1050959.78</v>
      </c>
      <c r="AN3137" s="20">
        <f t="shared" si="96"/>
        <v>-1923301.13</v>
      </c>
      <c r="AO3137" s="20">
        <f t="shared" si="96"/>
        <v>-2900186.3899999997</v>
      </c>
    </row>
    <row r="3138" spans="1:41" ht="14.25" x14ac:dyDescent="0.2">
      <c r="A3138" s="2">
        <v>51</v>
      </c>
      <c r="B3138" s="3" t="s">
        <v>869</v>
      </c>
      <c r="C3138" s="20">
        <f>+C3144+C3413+C3517+C3527+C3586</f>
        <v>-1088739.23</v>
      </c>
      <c r="D3138" s="20">
        <f t="shared" ref="D3138:AO3138" si="97">+D3144+D3413+D3517+D3527+D3586</f>
        <v>-2189450.8200000003</v>
      </c>
      <c r="E3138" s="20">
        <f t="shared" si="97"/>
        <v>-3323987.77</v>
      </c>
      <c r="F3138" s="20">
        <f t="shared" si="97"/>
        <v>-4452133.72</v>
      </c>
      <c r="G3138" s="20">
        <f t="shared" si="97"/>
        <v>-5754931.5800000001</v>
      </c>
      <c r="H3138" s="20">
        <f t="shared" si="97"/>
        <v>-7030758.4199999999</v>
      </c>
      <c r="I3138" s="20">
        <f t="shared" si="97"/>
        <v>-8310573.7400000002</v>
      </c>
      <c r="J3138" s="20">
        <f t="shared" si="97"/>
        <v>-9613438.6099999994</v>
      </c>
      <c r="K3138" s="20">
        <f t="shared" si="97"/>
        <v>-10900679.75</v>
      </c>
      <c r="L3138" s="20">
        <f t="shared" si="97"/>
        <v>-12079396.709999999</v>
      </c>
      <c r="M3138" s="20">
        <f t="shared" si="97"/>
        <v>-13904499.359999999</v>
      </c>
      <c r="N3138" s="20">
        <f t="shared" si="97"/>
        <v>-14424814.129999999</v>
      </c>
      <c r="O3138" s="20">
        <f t="shared" si="97"/>
        <v>-1062090.1299999999</v>
      </c>
      <c r="P3138" s="20">
        <f t="shared" si="97"/>
        <v>-2605526.42</v>
      </c>
      <c r="Q3138" s="20">
        <f t="shared" si="97"/>
        <v>-4103069.8</v>
      </c>
      <c r="R3138" s="20">
        <f t="shared" si="97"/>
        <v>-5582905.0300000003</v>
      </c>
      <c r="S3138" s="20">
        <f t="shared" si="97"/>
        <v>-6661374.3800000008</v>
      </c>
      <c r="T3138" s="20">
        <f t="shared" si="97"/>
        <v>-7698994.0999999996</v>
      </c>
      <c r="U3138" s="20">
        <f t="shared" si="97"/>
        <v>-8990685.2599999998</v>
      </c>
      <c r="V3138" s="20">
        <f t="shared" si="97"/>
        <v>-10099639.470000001</v>
      </c>
      <c r="W3138" s="20">
        <f t="shared" si="97"/>
        <v>-11865139.140000001</v>
      </c>
      <c r="X3138" s="20">
        <f t="shared" si="97"/>
        <v>-14624396.59</v>
      </c>
      <c r="Y3138" s="20">
        <f t="shared" si="97"/>
        <v>-15528926.299999999</v>
      </c>
      <c r="Z3138" s="20">
        <f t="shared" si="97"/>
        <v>-16565706.549999999</v>
      </c>
      <c r="AA3138" s="20">
        <f t="shared" si="97"/>
        <v>-1048457.5500000002</v>
      </c>
      <c r="AB3138" s="20">
        <f t="shared" si="97"/>
        <v>-2044582.1300000001</v>
      </c>
      <c r="AC3138" s="20">
        <f t="shared" si="97"/>
        <v>-2930202.85</v>
      </c>
      <c r="AD3138" s="20">
        <f t="shared" si="97"/>
        <v>-3770696.3000000003</v>
      </c>
      <c r="AE3138" s="20">
        <f t="shared" si="97"/>
        <v>-4819686.2299999995</v>
      </c>
      <c r="AF3138" s="20">
        <f t="shared" si="97"/>
        <v>-6071752.1699999999</v>
      </c>
      <c r="AG3138" s="20">
        <f t="shared" si="97"/>
        <v>-6882053.6600000001</v>
      </c>
      <c r="AH3138" s="20">
        <f t="shared" si="97"/>
        <v>-8134625.5899999999</v>
      </c>
      <c r="AI3138" s="20">
        <f t="shared" si="97"/>
        <v>-9133776.3499999996</v>
      </c>
      <c r="AJ3138" s="20">
        <f t="shared" si="97"/>
        <v>-10411796.789999999</v>
      </c>
      <c r="AK3138" s="20">
        <f t="shared" si="97"/>
        <v>-11378165.360000003</v>
      </c>
      <c r="AL3138" s="20">
        <f t="shared" si="97"/>
        <v>-12749592.82</v>
      </c>
      <c r="AM3138" s="20">
        <f t="shared" si="97"/>
        <v>-968660.35</v>
      </c>
      <c r="AN3138" s="20">
        <f t="shared" si="97"/>
        <v>-1770015.43</v>
      </c>
      <c r="AO3138" s="20">
        <f t="shared" si="97"/>
        <v>-2724956.5799999996</v>
      </c>
    </row>
    <row r="3139" spans="1:41" ht="14.25" x14ac:dyDescent="0.2">
      <c r="A3139" s="2">
        <v>5101</v>
      </c>
      <c r="B3139" s="3" t="s">
        <v>870</v>
      </c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  <c r="AH3139" s="9"/>
      <c r="AI3139" s="9"/>
      <c r="AJ3139" s="9"/>
      <c r="AK3139" s="9"/>
      <c r="AL3139" s="9"/>
      <c r="AM3139" s="9"/>
      <c r="AN3139" s="9"/>
      <c r="AO3139" s="9"/>
    </row>
    <row r="3140" spans="1:41" ht="28.5" x14ac:dyDescent="0.2">
      <c r="A3140" s="2">
        <v>510103</v>
      </c>
      <c r="B3140" s="4" t="s">
        <v>871</v>
      </c>
      <c r="C3140" s="11"/>
      <c r="D3140" s="11"/>
      <c r="E3140" s="11"/>
      <c r="F3140" s="11"/>
      <c r="G3140" s="11"/>
      <c r="H3140" s="11"/>
      <c r="I3140" s="11"/>
      <c r="J3140" s="11"/>
      <c r="K3140" s="11"/>
      <c r="L3140" s="11"/>
      <c r="M3140" s="11"/>
      <c r="N3140" s="11"/>
      <c r="O3140" s="11"/>
      <c r="P3140" s="11"/>
      <c r="Q3140" s="11"/>
      <c r="R3140" s="11"/>
      <c r="S3140" s="11"/>
      <c r="T3140" s="11"/>
      <c r="U3140" s="11"/>
      <c r="V3140" s="11"/>
      <c r="W3140" s="11"/>
      <c r="X3140" s="11"/>
      <c r="Y3140" s="11"/>
      <c r="Z3140" s="11"/>
      <c r="AA3140" s="11"/>
      <c r="AB3140" s="11"/>
      <c r="AC3140" s="11"/>
      <c r="AD3140" s="11"/>
      <c r="AE3140" s="11"/>
      <c r="AF3140" s="11"/>
      <c r="AG3140" s="11"/>
      <c r="AH3140" s="11"/>
      <c r="AI3140" s="11"/>
      <c r="AJ3140" s="11"/>
      <c r="AK3140" s="11"/>
      <c r="AL3140" s="11"/>
      <c r="AM3140" s="11"/>
      <c r="AN3140" s="11"/>
      <c r="AO3140" s="11"/>
    </row>
    <row r="3141" spans="1:41" ht="14.25" x14ac:dyDescent="0.2">
      <c r="A3141" s="2">
        <v>51010301</v>
      </c>
      <c r="B3141" s="3" t="s">
        <v>9</v>
      </c>
      <c r="C3141" s="9"/>
      <c r="D3141" s="9"/>
      <c r="E3141" s="9"/>
      <c r="F3141" s="9"/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9"/>
      <c r="AL3141" s="9"/>
      <c r="AM3141" s="9"/>
      <c r="AN3141" s="9"/>
      <c r="AO3141" s="9"/>
    </row>
    <row r="3142" spans="1:41" ht="14.25" x14ac:dyDescent="0.2">
      <c r="A3142" s="2">
        <v>51010302</v>
      </c>
      <c r="B3142" s="3" t="s">
        <v>10</v>
      </c>
      <c r="C3142" s="9"/>
      <c r="D3142" s="9"/>
      <c r="E3142" s="9"/>
      <c r="F3142" s="9"/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9"/>
      <c r="AL3142" s="9"/>
      <c r="AM3142" s="9"/>
      <c r="AN3142" s="9"/>
      <c r="AO3142" s="9"/>
    </row>
    <row r="3143" spans="1:41" ht="14.25" x14ac:dyDescent="0.2">
      <c r="A3143" s="2">
        <v>51010303</v>
      </c>
      <c r="B3143" s="3" t="s">
        <v>11</v>
      </c>
      <c r="C3143" s="9"/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  <c r="AK3143" s="9"/>
      <c r="AL3143" s="9"/>
      <c r="AM3143" s="9"/>
      <c r="AN3143" s="9"/>
      <c r="AO3143" s="9"/>
    </row>
    <row r="3144" spans="1:41" ht="14.25" x14ac:dyDescent="0.2">
      <c r="A3144" s="2">
        <v>51010304</v>
      </c>
      <c r="B3144" s="3" t="s">
        <v>12</v>
      </c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  <c r="AK3144" s="9"/>
      <c r="AL3144" s="9"/>
      <c r="AM3144" s="9"/>
      <c r="AN3144" s="9"/>
      <c r="AO3144" s="9"/>
    </row>
    <row r="3145" spans="1:41" s="15" customFormat="1" ht="14.25" x14ac:dyDescent="0.2">
      <c r="A3145" s="18" t="s">
        <v>2074</v>
      </c>
      <c r="B3145" s="19" t="s">
        <v>2075</v>
      </c>
      <c r="C3145" s="20"/>
      <c r="D3145" s="20"/>
      <c r="E3145" s="20"/>
      <c r="F3145" s="20"/>
      <c r="G3145" s="20"/>
      <c r="H3145" s="20"/>
      <c r="I3145" s="20"/>
      <c r="J3145" s="20">
        <v>-833.33</v>
      </c>
      <c r="K3145" s="20">
        <v>-1033.33</v>
      </c>
      <c r="L3145" s="20">
        <v>-1033.33</v>
      </c>
      <c r="M3145" s="20">
        <v>-1033.33</v>
      </c>
      <c r="N3145" s="20">
        <v>-1033.33</v>
      </c>
      <c r="O3145" s="20"/>
      <c r="P3145" s="20"/>
      <c r="Q3145" s="20"/>
      <c r="R3145" s="20"/>
      <c r="S3145" s="20"/>
      <c r="T3145" s="20"/>
      <c r="U3145" s="20"/>
      <c r="V3145" s="20"/>
      <c r="W3145" s="20"/>
      <c r="X3145" s="20"/>
      <c r="Y3145" s="20"/>
      <c r="Z3145" s="20"/>
      <c r="AA3145" s="20"/>
      <c r="AB3145" s="20"/>
      <c r="AC3145" s="20"/>
      <c r="AD3145" s="20"/>
      <c r="AE3145" s="20"/>
      <c r="AF3145" s="20"/>
      <c r="AG3145" s="20"/>
      <c r="AH3145" s="20"/>
      <c r="AI3145" s="20"/>
      <c r="AJ3145" s="20"/>
      <c r="AK3145" s="20"/>
      <c r="AL3145" s="20"/>
      <c r="AM3145" s="20"/>
      <c r="AN3145" s="20"/>
      <c r="AO3145" s="20"/>
    </row>
    <row r="3146" spans="1:41" ht="14.25" x14ac:dyDescent="0.2">
      <c r="A3146" s="2">
        <v>51010307</v>
      </c>
      <c r="B3146" s="3" t="s">
        <v>35</v>
      </c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9"/>
      <c r="AI3146" s="9"/>
      <c r="AJ3146" s="9"/>
      <c r="AK3146" s="9"/>
      <c r="AL3146" s="9"/>
      <c r="AM3146" s="9"/>
      <c r="AN3146" s="9"/>
      <c r="AO3146" s="9"/>
    </row>
    <row r="3147" spans="1:41" ht="14.25" x14ac:dyDescent="0.2">
      <c r="A3147" s="2">
        <v>51010309</v>
      </c>
      <c r="B3147" s="3" t="s">
        <v>15</v>
      </c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  <c r="AB3147" s="9"/>
      <c r="AC3147" s="9"/>
      <c r="AD3147" s="9"/>
      <c r="AE3147" s="9"/>
      <c r="AF3147" s="9"/>
      <c r="AG3147" s="9"/>
      <c r="AH3147" s="9"/>
      <c r="AI3147" s="9"/>
      <c r="AJ3147" s="9"/>
      <c r="AK3147" s="9"/>
      <c r="AL3147" s="9"/>
      <c r="AM3147" s="9"/>
      <c r="AN3147" s="9"/>
      <c r="AO3147" s="9"/>
    </row>
    <row r="3148" spans="1:41" ht="28.5" x14ac:dyDescent="0.2">
      <c r="A3148" s="2">
        <v>510104</v>
      </c>
      <c r="B3148" s="4" t="s">
        <v>872</v>
      </c>
      <c r="C3148" s="11"/>
      <c r="D3148" s="11"/>
      <c r="E3148" s="11"/>
      <c r="F3148" s="11"/>
      <c r="G3148" s="11"/>
      <c r="H3148" s="11"/>
      <c r="I3148" s="11"/>
      <c r="J3148" s="11"/>
      <c r="K3148" s="11"/>
      <c r="L3148" s="11"/>
      <c r="M3148" s="11"/>
      <c r="N3148" s="11"/>
      <c r="O3148" s="11"/>
      <c r="P3148" s="11"/>
      <c r="Q3148" s="11"/>
      <c r="R3148" s="11"/>
      <c r="S3148" s="11"/>
      <c r="T3148" s="11"/>
      <c r="U3148" s="11"/>
      <c r="V3148" s="11"/>
      <c r="W3148" s="11"/>
      <c r="X3148" s="11"/>
      <c r="Y3148" s="11"/>
      <c r="Z3148" s="11"/>
      <c r="AA3148" s="11"/>
      <c r="AB3148" s="11"/>
      <c r="AC3148" s="11"/>
      <c r="AD3148" s="11"/>
      <c r="AE3148" s="11"/>
      <c r="AF3148" s="11"/>
      <c r="AG3148" s="11"/>
      <c r="AH3148" s="11"/>
      <c r="AI3148" s="11"/>
      <c r="AJ3148" s="11"/>
      <c r="AK3148" s="11"/>
      <c r="AL3148" s="11"/>
      <c r="AM3148" s="11"/>
      <c r="AN3148" s="11"/>
      <c r="AO3148" s="11"/>
    </row>
    <row r="3149" spans="1:41" ht="14.25" x14ac:dyDescent="0.2">
      <c r="A3149" s="2">
        <v>51010401</v>
      </c>
      <c r="B3149" s="3" t="s">
        <v>17</v>
      </c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9"/>
      <c r="AL3149" s="9"/>
      <c r="AM3149" s="9"/>
      <c r="AN3149" s="9"/>
      <c r="AO3149" s="9"/>
    </row>
    <row r="3150" spans="1:41" ht="14.25" x14ac:dyDescent="0.2">
      <c r="A3150" s="2">
        <v>51010402</v>
      </c>
      <c r="B3150" s="3" t="s">
        <v>873</v>
      </c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9"/>
      <c r="AL3150" s="9"/>
      <c r="AM3150" s="9"/>
      <c r="AN3150" s="9"/>
      <c r="AO3150" s="9"/>
    </row>
    <row r="3151" spans="1:41" ht="28.5" x14ac:dyDescent="0.2">
      <c r="A3151" s="2">
        <v>51010403</v>
      </c>
      <c r="B3151" s="4" t="s">
        <v>19</v>
      </c>
      <c r="C3151" s="11"/>
      <c r="D3151" s="11"/>
      <c r="E3151" s="11"/>
      <c r="F3151" s="11"/>
      <c r="G3151" s="11"/>
      <c r="H3151" s="11"/>
      <c r="I3151" s="11"/>
      <c r="J3151" s="11"/>
      <c r="K3151" s="11"/>
      <c r="L3151" s="11"/>
      <c r="M3151" s="11"/>
      <c r="N3151" s="11"/>
      <c r="O3151" s="11"/>
      <c r="P3151" s="11"/>
      <c r="Q3151" s="11"/>
      <c r="R3151" s="11"/>
      <c r="S3151" s="11"/>
      <c r="T3151" s="11"/>
      <c r="U3151" s="11"/>
      <c r="V3151" s="11"/>
      <c r="W3151" s="11"/>
      <c r="X3151" s="11"/>
      <c r="Y3151" s="11"/>
      <c r="Z3151" s="11"/>
      <c r="AA3151" s="11"/>
      <c r="AB3151" s="11"/>
      <c r="AC3151" s="11"/>
      <c r="AD3151" s="11"/>
      <c r="AE3151" s="11"/>
      <c r="AF3151" s="11"/>
      <c r="AG3151" s="11"/>
      <c r="AH3151" s="11"/>
      <c r="AI3151" s="11"/>
      <c r="AJ3151" s="11"/>
      <c r="AK3151" s="11"/>
      <c r="AL3151" s="11"/>
      <c r="AM3151" s="11"/>
      <c r="AN3151" s="11"/>
      <c r="AO3151" s="11"/>
    </row>
    <row r="3152" spans="1:41" ht="14.25" x14ac:dyDescent="0.2">
      <c r="A3152" s="2">
        <v>51010409</v>
      </c>
      <c r="B3152" s="3" t="s">
        <v>20</v>
      </c>
      <c r="C3152" s="9"/>
      <c r="D3152" s="9"/>
      <c r="E3152" s="9"/>
      <c r="F3152" s="9"/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9"/>
      <c r="AI3152" s="9"/>
      <c r="AJ3152" s="9"/>
      <c r="AK3152" s="9"/>
      <c r="AL3152" s="9"/>
      <c r="AM3152" s="9"/>
      <c r="AN3152" s="9"/>
      <c r="AO3152" s="9"/>
    </row>
    <row r="3153" spans="1:41" ht="14.25" x14ac:dyDescent="0.2">
      <c r="A3153" s="2">
        <v>510107</v>
      </c>
      <c r="B3153" s="3" t="s">
        <v>874</v>
      </c>
      <c r="C3153" s="9"/>
      <c r="D3153" s="9"/>
      <c r="E3153" s="9"/>
      <c r="F3153" s="9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  <c r="AH3153" s="9"/>
      <c r="AI3153" s="9"/>
      <c r="AJ3153" s="9"/>
      <c r="AK3153" s="9"/>
      <c r="AL3153" s="9"/>
      <c r="AM3153" s="9"/>
      <c r="AN3153" s="9"/>
      <c r="AO3153" s="9"/>
    </row>
    <row r="3154" spans="1:41" ht="14.25" x14ac:dyDescent="0.2">
      <c r="A3154" s="2">
        <v>51010701</v>
      </c>
      <c r="B3154" s="3" t="s">
        <v>27</v>
      </c>
      <c r="C3154" s="9"/>
      <c r="D3154" s="9"/>
      <c r="E3154" s="9"/>
      <c r="F3154" s="9"/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9"/>
      <c r="AD3154" s="9"/>
      <c r="AE3154" s="9"/>
      <c r="AF3154" s="9"/>
      <c r="AG3154" s="9"/>
      <c r="AH3154" s="9"/>
      <c r="AI3154" s="9"/>
      <c r="AJ3154" s="9"/>
      <c r="AK3154" s="9"/>
      <c r="AL3154" s="9"/>
      <c r="AM3154" s="9"/>
      <c r="AN3154" s="9"/>
      <c r="AO3154" s="9"/>
    </row>
    <row r="3155" spans="1:41" ht="14.25" x14ac:dyDescent="0.2">
      <c r="A3155" s="2">
        <v>51010702</v>
      </c>
      <c r="B3155" s="3" t="s">
        <v>28</v>
      </c>
      <c r="C3155" s="9"/>
      <c r="D3155" s="9"/>
      <c r="E3155" s="9"/>
      <c r="F3155" s="9"/>
      <c r="G3155" s="9"/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9"/>
      <c r="AD3155" s="9"/>
      <c r="AE3155" s="9"/>
      <c r="AF3155" s="9"/>
      <c r="AG3155" s="9"/>
      <c r="AH3155" s="9"/>
      <c r="AI3155" s="9"/>
      <c r="AJ3155" s="9"/>
      <c r="AK3155" s="9"/>
      <c r="AL3155" s="9"/>
      <c r="AM3155" s="9"/>
      <c r="AN3155" s="9"/>
      <c r="AO3155" s="9"/>
    </row>
    <row r="3156" spans="1:41" ht="14.25" x14ac:dyDescent="0.2">
      <c r="A3156" s="2">
        <v>51010709</v>
      </c>
      <c r="B3156" s="3" t="s">
        <v>29</v>
      </c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  <c r="AE3156" s="9"/>
      <c r="AF3156" s="9"/>
      <c r="AG3156" s="9"/>
      <c r="AH3156" s="9"/>
      <c r="AI3156" s="9"/>
      <c r="AJ3156" s="9"/>
      <c r="AK3156" s="9"/>
      <c r="AL3156" s="9"/>
      <c r="AM3156" s="9"/>
      <c r="AN3156" s="9"/>
      <c r="AO3156" s="9"/>
    </row>
    <row r="3157" spans="1:41" ht="14.25" x14ac:dyDescent="0.2">
      <c r="A3157" s="2">
        <v>5102</v>
      </c>
      <c r="B3157" s="3" t="s">
        <v>875</v>
      </c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9"/>
      <c r="AH3157" s="9"/>
      <c r="AI3157" s="9"/>
      <c r="AJ3157" s="9"/>
      <c r="AK3157" s="9"/>
      <c r="AL3157" s="9"/>
      <c r="AM3157" s="9"/>
      <c r="AN3157" s="9"/>
      <c r="AO3157" s="9"/>
    </row>
    <row r="3158" spans="1:41" ht="14.25" x14ac:dyDescent="0.2">
      <c r="A3158" s="2">
        <v>510207</v>
      </c>
      <c r="B3158" s="3" t="s">
        <v>14</v>
      </c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  <c r="AE3158" s="9"/>
      <c r="AF3158" s="9"/>
      <c r="AG3158" s="9"/>
      <c r="AH3158" s="9"/>
      <c r="AI3158" s="9"/>
      <c r="AJ3158" s="9"/>
      <c r="AK3158" s="9"/>
      <c r="AL3158" s="9"/>
      <c r="AM3158" s="9"/>
      <c r="AN3158" s="9"/>
      <c r="AO3158" s="9"/>
    </row>
    <row r="3159" spans="1:41" ht="14.25" x14ac:dyDescent="0.2">
      <c r="A3159" s="2">
        <v>5103</v>
      </c>
      <c r="B3159" s="3" t="s">
        <v>876</v>
      </c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9"/>
      <c r="AD3159" s="9"/>
      <c r="AE3159" s="9"/>
      <c r="AF3159" s="9"/>
      <c r="AG3159" s="9"/>
      <c r="AH3159" s="9"/>
      <c r="AI3159" s="9"/>
      <c r="AJ3159" s="9"/>
      <c r="AK3159" s="9"/>
      <c r="AL3159" s="9"/>
      <c r="AM3159" s="9"/>
      <c r="AN3159" s="9"/>
      <c r="AO3159" s="9"/>
    </row>
    <row r="3160" spans="1:41" ht="28.5" x14ac:dyDescent="0.2">
      <c r="A3160" s="2">
        <v>510301</v>
      </c>
      <c r="B3160" s="4" t="s">
        <v>877</v>
      </c>
      <c r="C3160" s="11"/>
      <c r="D3160" s="11"/>
      <c r="E3160" s="11"/>
      <c r="F3160" s="11"/>
      <c r="G3160" s="11"/>
      <c r="H3160" s="11"/>
      <c r="I3160" s="11"/>
      <c r="J3160" s="11"/>
      <c r="K3160" s="11"/>
      <c r="L3160" s="11"/>
      <c r="M3160" s="11"/>
      <c r="N3160" s="11"/>
      <c r="O3160" s="11"/>
      <c r="P3160" s="11"/>
      <c r="Q3160" s="11"/>
      <c r="R3160" s="11"/>
      <c r="S3160" s="11"/>
      <c r="T3160" s="11"/>
      <c r="U3160" s="11"/>
      <c r="V3160" s="11"/>
      <c r="W3160" s="11"/>
      <c r="X3160" s="11"/>
      <c r="Y3160" s="11"/>
      <c r="Z3160" s="11"/>
      <c r="AA3160" s="11"/>
      <c r="AB3160" s="11"/>
      <c r="AC3160" s="11"/>
      <c r="AD3160" s="11"/>
      <c r="AE3160" s="11"/>
      <c r="AF3160" s="11"/>
      <c r="AG3160" s="11"/>
      <c r="AH3160" s="11"/>
      <c r="AI3160" s="11"/>
      <c r="AJ3160" s="11"/>
      <c r="AK3160" s="11"/>
      <c r="AL3160" s="11"/>
      <c r="AM3160" s="11"/>
      <c r="AN3160" s="11"/>
      <c r="AO3160" s="11"/>
    </row>
    <row r="3161" spans="1:41" ht="14.25" x14ac:dyDescent="0.2">
      <c r="A3161" s="2">
        <v>51030105</v>
      </c>
      <c r="B3161" s="3" t="s">
        <v>39</v>
      </c>
      <c r="C3161" s="9"/>
      <c r="D3161" s="9"/>
      <c r="E3161" s="9"/>
      <c r="F3161" s="9"/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9"/>
      <c r="AD3161" s="9"/>
      <c r="AE3161" s="9"/>
      <c r="AF3161" s="9"/>
      <c r="AG3161" s="9"/>
      <c r="AH3161" s="9"/>
      <c r="AI3161" s="9"/>
      <c r="AJ3161" s="9"/>
      <c r="AK3161" s="9"/>
      <c r="AL3161" s="9"/>
      <c r="AM3161" s="9"/>
      <c r="AN3161" s="9"/>
      <c r="AO3161" s="9"/>
    </row>
    <row r="3162" spans="1:41" ht="14.25" x14ac:dyDescent="0.2">
      <c r="A3162" s="2">
        <v>5103010501</v>
      </c>
      <c r="B3162" s="3" t="s">
        <v>40</v>
      </c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9"/>
      <c r="AC3162" s="9"/>
      <c r="AD3162" s="9"/>
      <c r="AE3162" s="9"/>
      <c r="AF3162" s="9"/>
      <c r="AG3162" s="9"/>
      <c r="AH3162" s="9"/>
      <c r="AI3162" s="9"/>
      <c r="AJ3162" s="9"/>
      <c r="AK3162" s="9"/>
      <c r="AL3162" s="9"/>
      <c r="AM3162" s="9"/>
      <c r="AN3162" s="9"/>
      <c r="AO3162" s="9"/>
    </row>
    <row r="3163" spans="1:41" ht="14.25" x14ac:dyDescent="0.2">
      <c r="A3163" s="2">
        <v>5103010519</v>
      </c>
      <c r="B3163" s="3" t="s">
        <v>41</v>
      </c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  <c r="AB3163" s="9"/>
      <c r="AC3163" s="9"/>
      <c r="AD3163" s="9"/>
      <c r="AE3163" s="9"/>
      <c r="AF3163" s="9"/>
      <c r="AG3163" s="9"/>
      <c r="AH3163" s="9"/>
      <c r="AI3163" s="9"/>
      <c r="AJ3163" s="9"/>
      <c r="AK3163" s="9"/>
      <c r="AL3163" s="9"/>
      <c r="AM3163" s="9"/>
      <c r="AN3163" s="9"/>
      <c r="AO3163" s="9"/>
    </row>
    <row r="3164" spans="1:41" ht="14.25" x14ac:dyDescent="0.2">
      <c r="A3164" s="2">
        <v>51030106</v>
      </c>
      <c r="B3164" s="3" t="s">
        <v>42</v>
      </c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  <c r="AB3164" s="9"/>
      <c r="AC3164" s="9"/>
      <c r="AD3164" s="9"/>
      <c r="AE3164" s="9"/>
      <c r="AF3164" s="9"/>
      <c r="AG3164" s="9"/>
      <c r="AH3164" s="9"/>
      <c r="AI3164" s="9"/>
      <c r="AJ3164" s="9"/>
      <c r="AK3164" s="9"/>
      <c r="AL3164" s="9"/>
      <c r="AM3164" s="9"/>
      <c r="AN3164" s="9"/>
      <c r="AO3164" s="9"/>
    </row>
    <row r="3165" spans="1:41" ht="14.25" x14ac:dyDescent="0.2">
      <c r="A3165" s="2">
        <v>5103010601</v>
      </c>
      <c r="B3165" s="3" t="s">
        <v>40</v>
      </c>
      <c r="C3165" s="9"/>
      <c r="D3165" s="9"/>
      <c r="E3165" s="9"/>
      <c r="F3165" s="9"/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9"/>
      <c r="AD3165" s="9"/>
      <c r="AE3165" s="9"/>
      <c r="AF3165" s="9"/>
      <c r="AG3165" s="9"/>
      <c r="AH3165" s="9"/>
      <c r="AI3165" s="9"/>
      <c r="AJ3165" s="9"/>
      <c r="AK3165" s="9"/>
      <c r="AL3165" s="9"/>
      <c r="AM3165" s="9"/>
      <c r="AN3165" s="9"/>
      <c r="AO3165" s="9"/>
    </row>
    <row r="3166" spans="1:41" ht="14.25" x14ac:dyDescent="0.2">
      <c r="A3166" s="2">
        <v>5103010619</v>
      </c>
      <c r="B3166" s="3" t="s">
        <v>41</v>
      </c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9"/>
      <c r="AD3166" s="9"/>
      <c r="AE3166" s="9"/>
      <c r="AF3166" s="9"/>
      <c r="AG3166" s="9"/>
      <c r="AH3166" s="9"/>
      <c r="AI3166" s="9"/>
      <c r="AJ3166" s="9"/>
      <c r="AK3166" s="9"/>
      <c r="AL3166" s="9"/>
      <c r="AM3166" s="9"/>
      <c r="AN3166" s="9"/>
      <c r="AO3166" s="9"/>
    </row>
    <row r="3167" spans="1:41" ht="14.25" x14ac:dyDescent="0.2">
      <c r="A3167" s="2">
        <v>51030107</v>
      </c>
      <c r="B3167" s="3" t="s">
        <v>43</v>
      </c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9"/>
      <c r="AC3167" s="9"/>
      <c r="AD3167" s="9"/>
      <c r="AE3167" s="9"/>
      <c r="AF3167" s="9"/>
      <c r="AG3167" s="9"/>
      <c r="AH3167" s="9"/>
      <c r="AI3167" s="9"/>
      <c r="AJ3167" s="9"/>
      <c r="AK3167" s="9"/>
      <c r="AL3167" s="9"/>
      <c r="AM3167" s="9"/>
      <c r="AN3167" s="9"/>
      <c r="AO3167" s="9"/>
    </row>
    <row r="3168" spans="1:41" ht="14.25" x14ac:dyDescent="0.2">
      <c r="A3168" s="2">
        <v>5103010701</v>
      </c>
      <c r="B3168" s="3" t="s">
        <v>40</v>
      </c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9"/>
      <c r="AC3168" s="9"/>
      <c r="AD3168" s="9"/>
      <c r="AE3168" s="9"/>
      <c r="AF3168" s="9"/>
      <c r="AG3168" s="9"/>
      <c r="AH3168" s="9"/>
      <c r="AI3168" s="9"/>
      <c r="AJ3168" s="9"/>
      <c r="AK3168" s="9"/>
      <c r="AL3168" s="9"/>
      <c r="AM3168" s="9"/>
      <c r="AN3168" s="9"/>
      <c r="AO3168" s="9"/>
    </row>
    <row r="3169" spans="1:41" ht="14.25" x14ac:dyDescent="0.2">
      <c r="A3169" s="2">
        <v>5103010702</v>
      </c>
      <c r="B3169" s="3" t="s">
        <v>44</v>
      </c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9"/>
      <c r="AC3169" s="9"/>
      <c r="AD3169" s="9"/>
      <c r="AE3169" s="9"/>
      <c r="AF3169" s="9"/>
      <c r="AG3169" s="9"/>
      <c r="AH3169" s="9"/>
      <c r="AI3169" s="9"/>
      <c r="AJ3169" s="9"/>
      <c r="AK3169" s="9"/>
      <c r="AL3169" s="9"/>
      <c r="AM3169" s="9"/>
      <c r="AN3169" s="9"/>
      <c r="AO3169" s="9"/>
    </row>
    <row r="3170" spans="1:41" ht="14.25" x14ac:dyDescent="0.2">
      <c r="A3170" s="2">
        <v>5103010705</v>
      </c>
      <c r="B3170" s="3" t="s">
        <v>45</v>
      </c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9"/>
      <c r="AD3170" s="9"/>
      <c r="AE3170" s="9"/>
      <c r="AF3170" s="9"/>
      <c r="AG3170" s="9"/>
      <c r="AH3170" s="9"/>
      <c r="AI3170" s="9"/>
      <c r="AJ3170" s="9"/>
      <c r="AK3170" s="9"/>
      <c r="AL3170" s="9"/>
      <c r="AM3170" s="9"/>
      <c r="AN3170" s="9"/>
      <c r="AO3170" s="9"/>
    </row>
    <row r="3171" spans="1:41" ht="14.25" x14ac:dyDescent="0.2">
      <c r="A3171" s="2">
        <v>5103010706</v>
      </c>
      <c r="B3171" s="3" t="s">
        <v>46</v>
      </c>
      <c r="C3171" s="9"/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9"/>
      <c r="AC3171" s="9"/>
      <c r="AD3171" s="9"/>
      <c r="AE3171" s="9"/>
      <c r="AF3171" s="9"/>
      <c r="AG3171" s="9"/>
      <c r="AH3171" s="9"/>
      <c r="AI3171" s="9"/>
      <c r="AJ3171" s="9"/>
      <c r="AK3171" s="9"/>
      <c r="AL3171" s="9"/>
      <c r="AM3171" s="9"/>
      <c r="AN3171" s="9"/>
      <c r="AO3171" s="9"/>
    </row>
    <row r="3172" spans="1:41" ht="14.25" x14ac:dyDescent="0.2">
      <c r="A3172" s="2">
        <v>5103010712</v>
      </c>
      <c r="B3172" s="3" t="s">
        <v>47</v>
      </c>
      <c r="C3172" s="9"/>
      <c r="D3172" s="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  <c r="AF3172" s="9"/>
      <c r="AG3172" s="9"/>
      <c r="AH3172" s="9"/>
      <c r="AI3172" s="9"/>
      <c r="AJ3172" s="9"/>
      <c r="AK3172" s="9"/>
      <c r="AL3172" s="9"/>
      <c r="AM3172" s="9"/>
      <c r="AN3172" s="9"/>
      <c r="AO3172" s="9"/>
    </row>
    <row r="3173" spans="1:41" ht="14.25" x14ac:dyDescent="0.2">
      <c r="A3173" s="2">
        <v>5103010719</v>
      </c>
      <c r="B3173" s="3" t="s">
        <v>53</v>
      </c>
      <c r="C3173" s="9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9"/>
      <c r="AC3173" s="9"/>
      <c r="AD3173" s="9"/>
      <c r="AE3173" s="9"/>
      <c r="AF3173" s="9"/>
      <c r="AG3173" s="9"/>
      <c r="AH3173" s="9"/>
      <c r="AI3173" s="9"/>
      <c r="AJ3173" s="9"/>
      <c r="AK3173" s="9"/>
      <c r="AL3173" s="9"/>
      <c r="AM3173" s="9"/>
      <c r="AN3173" s="9"/>
      <c r="AO3173" s="9"/>
    </row>
    <row r="3174" spans="1:41" ht="28.5" x14ac:dyDescent="0.2">
      <c r="A3174" s="2">
        <v>51030110</v>
      </c>
      <c r="B3174" s="4" t="s">
        <v>48</v>
      </c>
      <c r="C3174" s="11"/>
      <c r="D3174" s="11"/>
      <c r="E3174" s="11"/>
      <c r="F3174" s="11"/>
      <c r="G3174" s="11"/>
      <c r="H3174" s="11"/>
      <c r="I3174" s="11"/>
      <c r="J3174" s="11"/>
      <c r="K3174" s="11"/>
      <c r="L3174" s="11"/>
      <c r="M3174" s="11"/>
      <c r="N3174" s="11"/>
      <c r="O3174" s="11"/>
      <c r="P3174" s="11"/>
      <c r="Q3174" s="11"/>
      <c r="R3174" s="11"/>
      <c r="S3174" s="11"/>
      <c r="T3174" s="11"/>
      <c r="U3174" s="11"/>
      <c r="V3174" s="11"/>
      <c r="W3174" s="11"/>
      <c r="X3174" s="11"/>
      <c r="Y3174" s="11"/>
      <c r="Z3174" s="11"/>
      <c r="AA3174" s="11"/>
      <c r="AB3174" s="11"/>
      <c r="AC3174" s="11"/>
      <c r="AD3174" s="11"/>
      <c r="AE3174" s="11"/>
      <c r="AF3174" s="11"/>
      <c r="AG3174" s="11"/>
      <c r="AH3174" s="11"/>
      <c r="AI3174" s="11"/>
      <c r="AJ3174" s="11"/>
      <c r="AK3174" s="11"/>
      <c r="AL3174" s="11"/>
      <c r="AM3174" s="11"/>
      <c r="AN3174" s="11"/>
      <c r="AO3174" s="11"/>
    </row>
    <row r="3175" spans="1:41" ht="14.25" x14ac:dyDescent="0.2">
      <c r="A3175" s="2">
        <v>5103011005</v>
      </c>
      <c r="B3175" s="3" t="s">
        <v>39</v>
      </c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  <c r="AE3175" s="9"/>
      <c r="AF3175" s="9"/>
      <c r="AG3175" s="9"/>
      <c r="AH3175" s="9"/>
      <c r="AI3175" s="9"/>
      <c r="AJ3175" s="9"/>
      <c r="AK3175" s="9"/>
      <c r="AL3175" s="9"/>
      <c r="AM3175" s="9"/>
      <c r="AN3175" s="9"/>
      <c r="AO3175" s="9"/>
    </row>
    <row r="3176" spans="1:41" ht="14.25" x14ac:dyDescent="0.2">
      <c r="A3176" s="2">
        <v>5103011006</v>
      </c>
      <c r="B3176" s="3" t="s">
        <v>42</v>
      </c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  <c r="AF3176" s="9"/>
      <c r="AG3176" s="9"/>
      <c r="AH3176" s="9"/>
      <c r="AI3176" s="9"/>
      <c r="AJ3176" s="9"/>
      <c r="AK3176" s="9"/>
      <c r="AL3176" s="9"/>
      <c r="AM3176" s="9"/>
      <c r="AN3176" s="9"/>
      <c r="AO3176" s="9"/>
    </row>
    <row r="3177" spans="1:41" ht="14.25" x14ac:dyDescent="0.2">
      <c r="A3177" s="2">
        <v>5103011007</v>
      </c>
      <c r="B3177" s="3" t="s">
        <v>43</v>
      </c>
      <c r="C3177" s="9"/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  <c r="AB3177" s="9"/>
      <c r="AC3177" s="9"/>
      <c r="AD3177" s="9"/>
      <c r="AE3177" s="9"/>
      <c r="AF3177" s="9"/>
      <c r="AG3177" s="9"/>
      <c r="AH3177" s="9"/>
      <c r="AI3177" s="9"/>
      <c r="AJ3177" s="9"/>
      <c r="AK3177" s="9"/>
      <c r="AL3177" s="9"/>
      <c r="AM3177" s="9"/>
      <c r="AN3177" s="9"/>
      <c r="AO3177" s="9"/>
    </row>
    <row r="3178" spans="1:41" ht="28.5" x14ac:dyDescent="0.2">
      <c r="A3178" s="2">
        <v>51030111</v>
      </c>
      <c r="B3178" s="4" t="s">
        <v>50</v>
      </c>
      <c r="C3178" s="11"/>
      <c r="D3178" s="11"/>
      <c r="E3178" s="11"/>
      <c r="F3178" s="11"/>
      <c r="G3178" s="11"/>
      <c r="H3178" s="11"/>
      <c r="I3178" s="11"/>
      <c r="J3178" s="11"/>
      <c r="K3178" s="11"/>
      <c r="L3178" s="11"/>
      <c r="M3178" s="11"/>
      <c r="N3178" s="11"/>
      <c r="O3178" s="11"/>
      <c r="P3178" s="11"/>
      <c r="Q3178" s="11"/>
      <c r="R3178" s="11"/>
      <c r="S3178" s="11"/>
      <c r="T3178" s="11"/>
      <c r="U3178" s="11"/>
      <c r="V3178" s="11"/>
      <c r="W3178" s="11"/>
      <c r="X3178" s="11"/>
      <c r="Y3178" s="11"/>
      <c r="Z3178" s="11"/>
      <c r="AA3178" s="11"/>
      <c r="AB3178" s="11"/>
      <c r="AC3178" s="11"/>
      <c r="AD3178" s="11"/>
      <c r="AE3178" s="11"/>
      <c r="AF3178" s="11"/>
      <c r="AG3178" s="11"/>
      <c r="AH3178" s="11"/>
      <c r="AI3178" s="11"/>
      <c r="AJ3178" s="11"/>
      <c r="AK3178" s="11"/>
      <c r="AL3178" s="11"/>
      <c r="AM3178" s="11"/>
      <c r="AN3178" s="11"/>
      <c r="AO3178" s="11"/>
    </row>
    <row r="3179" spans="1:41" ht="14.25" x14ac:dyDescent="0.2">
      <c r="A3179" s="2">
        <v>5103011105</v>
      </c>
      <c r="B3179" s="3" t="s">
        <v>39</v>
      </c>
      <c r="C3179" s="9"/>
      <c r="D3179" s="9"/>
      <c r="E3179" s="9"/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  <c r="AF3179" s="9"/>
      <c r="AG3179" s="9"/>
      <c r="AH3179" s="9"/>
      <c r="AI3179" s="9"/>
      <c r="AJ3179" s="9"/>
      <c r="AK3179" s="9"/>
      <c r="AL3179" s="9"/>
      <c r="AM3179" s="9"/>
      <c r="AN3179" s="9"/>
      <c r="AO3179" s="9"/>
    </row>
    <row r="3180" spans="1:41" ht="14.25" x14ac:dyDescent="0.2">
      <c r="A3180" s="2">
        <v>5103011106</v>
      </c>
      <c r="B3180" s="3" t="s">
        <v>42</v>
      </c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  <c r="AE3180" s="9"/>
      <c r="AF3180" s="9"/>
      <c r="AG3180" s="9"/>
      <c r="AH3180" s="9"/>
      <c r="AI3180" s="9"/>
      <c r="AJ3180" s="9"/>
      <c r="AK3180" s="9"/>
      <c r="AL3180" s="9"/>
      <c r="AM3180" s="9"/>
      <c r="AN3180" s="9"/>
      <c r="AO3180" s="9"/>
    </row>
    <row r="3181" spans="1:41" ht="14.25" x14ac:dyDescent="0.2">
      <c r="A3181" s="2">
        <v>5103011107</v>
      </c>
      <c r="B3181" s="3" t="s">
        <v>43</v>
      </c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9"/>
      <c r="AH3181" s="9"/>
      <c r="AI3181" s="9"/>
      <c r="AJ3181" s="9"/>
      <c r="AK3181" s="9"/>
      <c r="AL3181" s="9"/>
      <c r="AM3181" s="9"/>
      <c r="AN3181" s="9"/>
      <c r="AO3181" s="9"/>
    </row>
    <row r="3182" spans="1:41" ht="28.5" x14ac:dyDescent="0.2">
      <c r="A3182" s="2">
        <v>51030112</v>
      </c>
      <c r="B3182" s="4" t="s">
        <v>51</v>
      </c>
      <c r="C3182" s="11"/>
      <c r="D3182" s="11"/>
      <c r="E3182" s="11"/>
      <c r="F3182" s="11"/>
      <c r="G3182" s="11"/>
      <c r="H3182" s="11"/>
      <c r="I3182" s="11"/>
      <c r="J3182" s="11"/>
      <c r="K3182" s="11"/>
      <c r="L3182" s="11"/>
      <c r="M3182" s="11"/>
      <c r="N3182" s="11"/>
      <c r="O3182" s="11"/>
      <c r="P3182" s="11"/>
      <c r="Q3182" s="11"/>
      <c r="R3182" s="11"/>
      <c r="S3182" s="11"/>
      <c r="T3182" s="11"/>
      <c r="U3182" s="11"/>
      <c r="V3182" s="11"/>
      <c r="W3182" s="11"/>
      <c r="X3182" s="11"/>
      <c r="Y3182" s="11"/>
      <c r="Z3182" s="11"/>
      <c r="AA3182" s="11"/>
      <c r="AB3182" s="11"/>
      <c r="AC3182" s="11"/>
      <c r="AD3182" s="11"/>
      <c r="AE3182" s="11"/>
      <c r="AF3182" s="11"/>
      <c r="AG3182" s="11"/>
      <c r="AH3182" s="11"/>
      <c r="AI3182" s="11"/>
      <c r="AJ3182" s="11"/>
      <c r="AK3182" s="11"/>
      <c r="AL3182" s="11"/>
      <c r="AM3182" s="11"/>
      <c r="AN3182" s="11"/>
      <c r="AO3182" s="11"/>
    </row>
    <row r="3183" spans="1:41" ht="14.25" x14ac:dyDescent="0.2">
      <c r="A3183" s="2">
        <v>5103011205</v>
      </c>
      <c r="B3183" s="3" t="s">
        <v>39</v>
      </c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9"/>
      <c r="AD3183" s="9"/>
      <c r="AE3183" s="9"/>
      <c r="AF3183" s="9"/>
      <c r="AG3183" s="9"/>
      <c r="AH3183" s="9"/>
      <c r="AI3183" s="9"/>
      <c r="AJ3183" s="9"/>
      <c r="AK3183" s="9"/>
      <c r="AL3183" s="9"/>
      <c r="AM3183" s="9"/>
      <c r="AN3183" s="9"/>
      <c r="AO3183" s="9"/>
    </row>
    <row r="3184" spans="1:41" ht="14.25" x14ac:dyDescent="0.2">
      <c r="A3184" s="2">
        <v>5103011206</v>
      </c>
      <c r="B3184" s="3" t="s">
        <v>42</v>
      </c>
      <c r="C3184" s="9"/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  <c r="AE3184" s="9"/>
      <c r="AF3184" s="9"/>
      <c r="AG3184" s="9"/>
      <c r="AH3184" s="9"/>
      <c r="AI3184" s="9"/>
      <c r="AJ3184" s="9"/>
      <c r="AK3184" s="9"/>
      <c r="AL3184" s="9"/>
      <c r="AM3184" s="9"/>
      <c r="AN3184" s="9"/>
      <c r="AO3184" s="9"/>
    </row>
    <row r="3185" spans="1:41" ht="14.25" x14ac:dyDescent="0.2">
      <c r="A3185" s="2">
        <v>5103011207</v>
      </c>
      <c r="B3185" s="3" t="s">
        <v>43</v>
      </c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  <c r="AF3185" s="9"/>
      <c r="AG3185" s="9"/>
      <c r="AH3185" s="9"/>
      <c r="AI3185" s="9"/>
      <c r="AJ3185" s="9"/>
      <c r="AK3185" s="9"/>
      <c r="AL3185" s="9"/>
      <c r="AM3185" s="9"/>
      <c r="AN3185" s="9"/>
      <c r="AO3185" s="9"/>
    </row>
    <row r="3186" spans="1:41" ht="14.25" x14ac:dyDescent="0.2">
      <c r="A3186" s="2">
        <v>51030113</v>
      </c>
      <c r="B3186" s="3" t="s">
        <v>878</v>
      </c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9"/>
      <c r="AC3186" s="9"/>
      <c r="AD3186" s="9"/>
      <c r="AE3186" s="9"/>
      <c r="AF3186" s="9"/>
      <c r="AG3186" s="9"/>
      <c r="AH3186" s="9"/>
      <c r="AI3186" s="9"/>
      <c r="AJ3186" s="9"/>
      <c r="AK3186" s="9"/>
      <c r="AL3186" s="9"/>
      <c r="AM3186" s="9"/>
      <c r="AN3186" s="9"/>
      <c r="AO3186" s="9"/>
    </row>
    <row r="3187" spans="1:41" ht="14.25" x14ac:dyDescent="0.2">
      <c r="A3187" s="2">
        <v>5103011301</v>
      </c>
      <c r="B3187" s="3" t="s">
        <v>52</v>
      </c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  <c r="AF3187" s="9"/>
      <c r="AG3187" s="9"/>
      <c r="AH3187" s="9"/>
      <c r="AI3187" s="9"/>
      <c r="AJ3187" s="9"/>
      <c r="AK3187" s="9"/>
      <c r="AL3187" s="9"/>
      <c r="AM3187" s="9"/>
      <c r="AN3187" s="9"/>
      <c r="AO3187" s="9"/>
    </row>
    <row r="3188" spans="1:41" ht="14.25" x14ac:dyDescent="0.2">
      <c r="A3188" s="2">
        <v>51030119</v>
      </c>
      <c r="B3188" s="3" t="s">
        <v>53</v>
      </c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9"/>
      <c r="AC3188" s="9"/>
      <c r="AD3188" s="9"/>
      <c r="AE3188" s="9"/>
      <c r="AF3188" s="9"/>
      <c r="AG3188" s="9"/>
      <c r="AH3188" s="9"/>
      <c r="AI3188" s="9"/>
      <c r="AJ3188" s="9"/>
      <c r="AK3188" s="9"/>
      <c r="AL3188" s="9"/>
      <c r="AM3188" s="9"/>
      <c r="AN3188" s="9"/>
      <c r="AO3188" s="9"/>
    </row>
    <row r="3189" spans="1:41" ht="28.5" x14ac:dyDescent="0.2">
      <c r="A3189" s="2">
        <v>510302</v>
      </c>
      <c r="B3189" s="4" t="s">
        <v>879</v>
      </c>
      <c r="C3189" s="11"/>
      <c r="D3189" s="11"/>
      <c r="E3189" s="11"/>
      <c r="F3189" s="11"/>
      <c r="G3189" s="11"/>
      <c r="H3189" s="11"/>
      <c r="I3189" s="11"/>
      <c r="J3189" s="11"/>
      <c r="K3189" s="11"/>
      <c r="L3189" s="11"/>
      <c r="M3189" s="11"/>
      <c r="N3189" s="11"/>
      <c r="O3189" s="11"/>
      <c r="P3189" s="11"/>
      <c r="Q3189" s="11"/>
      <c r="R3189" s="11"/>
      <c r="S3189" s="11"/>
      <c r="T3189" s="11"/>
      <c r="U3189" s="11"/>
      <c r="V3189" s="11"/>
      <c r="W3189" s="11"/>
      <c r="X3189" s="11"/>
      <c r="Y3189" s="11"/>
      <c r="Z3189" s="11"/>
      <c r="AA3189" s="11"/>
      <c r="AB3189" s="11"/>
      <c r="AC3189" s="11"/>
      <c r="AD3189" s="11"/>
      <c r="AE3189" s="11"/>
      <c r="AF3189" s="11"/>
      <c r="AG3189" s="11"/>
      <c r="AH3189" s="11"/>
      <c r="AI3189" s="11"/>
      <c r="AJ3189" s="11"/>
      <c r="AK3189" s="11"/>
      <c r="AL3189" s="11"/>
      <c r="AM3189" s="11"/>
      <c r="AN3189" s="11"/>
      <c r="AO3189" s="11"/>
    </row>
    <row r="3190" spans="1:41" ht="14.25" x14ac:dyDescent="0.2">
      <c r="A3190" s="2">
        <v>51030201</v>
      </c>
      <c r="B3190" s="3" t="s">
        <v>55</v>
      </c>
      <c r="C3190" s="9"/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9"/>
      <c r="AH3190" s="9"/>
      <c r="AI3190" s="9"/>
      <c r="AJ3190" s="9"/>
      <c r="AK3190" s="9"/>
      <c r="AL3190" s="9"/>
      <c r="AM3190" s="9"/>
      <c r="AN3190" s="9"/>
      <c r="AO3190" s="9"/>
    </row>
    <row r="3191" spans="1:41" ht="14.25" x14ac:dyDescent="0.2">
      <c r="A3191" s="2">
        <v>5103020101</v>
      </c>
      <c r="B3191" s="3" t="s">
        <v>56</v>
      </c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9"/>
      <c r="AC3191" s="9"/>
      <c r="AD3191" s="9"/>
      <c r="AE3191" s="9"/>
      <c r="AF3191" s="9"/>
      <c r="AG3191" s="9"/>
      <c r="AH3191" s="9"/>
      <c r="AI3191" s="9"/>
      <c r="AJ3191" s="9"/>
      <c r="AK3191" s="9"/>
      <c r="AL3191" s="9"/>
      <c r="AM3191" s="9"/>
      <c r="AN3191" s="9"/>
      <c r="AO3191" s="9"/>
    </row>
    <row r="3192" spans="1:41" ht="14.25" x14ac:dyDescent="0.2">
      <c r="A3192" s="2">
        <v>5103020109</v>
      </c>
      <c r="B3192" s="3" t="s">
        <v>60</v>
      </c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  <c r="AH3192" s="9"/>
      <c r="AI3192" s="9"/>
      <c r="AJ3192" s="9"/>
      <c r="AK3192" s="9"/>
      <c r="AL3192" s="9"/>
      <c r="AM3192" s="9"/>
      <c r="AN3192" s="9"/>
      <c r="AO3192" s="9"/>
    </row>
    <row r="3193" spans="1:41" ht="14.25" x14ac:dyDescent="0.2">
      <c r="A3193" s="2">
        <v>51030202</v>
      </c>
      <c r="B3193" s="3" t="s">
        <v>880</v>
      </c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  <c r="AF3193" s="9"/>
      <c r="AG3193" s="9"/>
      <c r="AH3193" s="9"/>
      <c r="AI3193" s="9"/>
      <c r="AJ3193" s="9"/>
      <c r="AK3193" s="9"/>
      <c r="AL3193" s="9"/>
      <c r="AM3193" s="9"/>
      <c r="AN3193" s="9"/>
      <c r="AO3193" s="9"/>
    </row>
    <row r="3194" spans="1:41" ht="14.25" x14ac:dyDescent="0.2">
      <c r="A3194" s="2">
        <v>51030203</v>
      </c>
      <c r="B3194" s="3" t="s">
        <v>62</v>
      </c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  <c r="AF3194" s="9"/>
      <c r="AG3194" s="9"/>
      <c r="AH3194" s="9"/>
      <c r="AI3194" s="9"/>
      <c r="AJ3194" s="9"/>
      <c r="AK3194" s="9"/>
      <c r="AL3194" s="9"/>
      <c r="AM3194" s="9"/>
      <c r="AN3194" s="9"/>
      <c r="AO3194" s="9"/>
    </row>
    <row r="3195" spans="1:41" ht="14.25" x14ac:dyDescent="0.2">
      <c r="A3195" s="2">
        <v>51030205</v>
      </c>
      <c r="B3195" s="3" t="s">
        <v>39</v>
      </c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  <c r="AB3195" s="9"/>
      <c r="AC3195" s="9"/>
      <c r="AD3195" s="9"/>
      <c r="AE3195" s="9"/>
      <c r="AF3195" s="9"/>
      <c r="AG3195" s="9"/>
      <c r="AH3195" s="9"/>
      <c r="AI3195" s="9"/>
      <c r="AJ3195" s="9"/>
      <c r="AK3195" s="9"/>
      <c r="AL3195" s="9"/>
      <c r="AM3195" s="9"/>
      <c r="AN3195" s="9"/>
      <c r="AO3195" s="9"/>
    </row>
    <row r="3196" spans="1:41" ht="14.25" x14ac:dyDescent="0.2">
      <c r="A3196" s="2">
        <v>5103020503</v>
      </c>
      <c r="B3196" s="3" t="s">
        <v>81</v>
      </c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9"/>
      <c r="AD3196" s="9"/>
      <c r="AE3196" s="9"/>
      <c r="AF3196" s="9"/>
      <c r="AG3196" s="9"/>
      <c r="AH3196" s="9"/>
      <c r="AI3196" s="9"/>
      <c r="AJ3196" s="9"/>
      <c r="AK3196" s="9"/>
      <c r="AL3196" s="9"/>
      <c r="AM3196" s="9"/>
      <c r="AN3196" s="9"/>
      <c r="AO3196" s="9"/>
    </row>
    <row r="3197" spans="1:41" ht="14.25" x14ac:dyDescent="0.2">
      <c r="A3197" s="2">
        <v>5103020505</v>
      </c>
      <c r="B3197" s="3" t="s">
        <v>66</v>
      </c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9"/>
      <c r="AH3197" s="9"/>
      <c r="AI3197" s="9"/>
      <c r="AJ3197" s="9"/>
      <c r="AK3197" s="9"/>
      <c r="AL3197" s="9"/>
      <c r="AM3197" s="9"/>
      <c r="AN3197" s="9"/>
      <c r="AO3197" s="9"/>
    </row>
    <row r="3198" spans="1:41" ht="14.25" x14ac:dyDescent="0.2">
      <c r="A3198" s="2">
        <v>5103020506</v>
      </c>
      <c r="B3198" s="3" t="s">
        <v>67</v>
      </c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9"/>
      <c r="AD3198" s="9"/>
      <c r="AE3198" s="9"/>
      <c r="AF3198" s="9"/>
      <c r="AG3198" s="9"/>
      <c r="AH3198" s="9"/>
      <c r="AI3198" s="9"/>
      <c r="AJ3198" s="9"/>
      <c r="AK3198" s="9"/>
      <c r="AL3198" s="9"/>
      <c r="AM3198" s="9"/>
      <c r="AN3198" s="9"/>
      <c r="AO3198" s="9"/>
    </row>
    <row r="3199" spans="1:41" ht="14.25" x14ac:dyDescent="0.2">
      <c r="A3199" s="2">
        <v>5103020507</v>
      </c>
      <c r="B3199" s="3" t="s">
        <v>68</v>
      </c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9"/>
      <c r="AD3199" s="9"/>
      <c r="AE3199" s="9"/>
      <c r="AF3199" s="9"/>
      <c r="AG3199" s="9"/>
      <c r="AH3199" s="9"/>
      <c r="AI3199" s="9"/>
      <c r="AJ3199" s="9"/>
      <c r="AK3199" s="9"/>
      <c r="AL3199" s="9"/>
      <c r="AM3199" s="9"/>
      <c r="AN3199" s="9"/>
      <c r="AO3199" s="9"/>
    </row>
    <row r="3200" spans="1:41" ht="14.25" x14ac:dyDescent="0.2">
      <c r="A3200" s="2">
        <v>5103020508</v>
      </c>
      <c r="B3200" s="3" t="s">
        <v>69</v>
      </c>
      <c r="C3200" s="9"/>
      <c r="D3200" s="9"/>
      <c r="E3200" s="9"/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  <c r="AB3200" s="9"/>
      <c r="AC3200" s="9"/>
      <c r="AD3200" s="9"/>
      <c r="AE3200" s="9"/>
      <c r="AF3200" s="9"/>
      <c r="AG3200" s="9"/>
      <c r="AH3200" s="9"/>
      <c r="AI3200" s="9"/>
      <c r="AJ3200" s="9"/>
      <c r="AK3200" s="9"/>
      <c r="AL3200" s="9"/>
      <c r="AM3200" s="9"/>
      <c r="AN3200" s="9"/>
      <c r="AO3200" s="9"/>
    </row>
    <row r="3201" spans="1:41" ht="14.25" x14ac:dyDescent="0.2">
      <c r="A3201" s="2">
        <v>5103020509</v>
      </c>
      <c r="B3201" s="3" t="s">
        <v>70</v>
      </c>
      <c r="C3201" s="9"/>
      <c r="D3201" s="9"/>
      <c r="E3201" s="9"/>
      <c r="F3201" s="9"/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9"/>
      <c r="AH3201" s="9"/>
      <c r="AI3201" s="9"/>
      <c r="AJ3201" s="9"/>
      <c r="AK3201" s="9"/>
      <c r="AL3201" s="9"/>
      <c r="AM3201" s="9"/>
      <c r="AN3201" s="9"/>
      <c r="AO3201" s="9"/>
    </row>
    <row r="3202" spans="1:41" ht="28.5" x14ac:dyDescent="0.2">
      <c r="A3202" s="2">
        <v>5103020510</v>
      </c>
      <c r="B3202" s="4" t="s">
        <v>71</v>
      </c>
      <c r="C3202" s="11"/>
      <c r="D3202" s="11"/>
      <c r="E3202" s="11"/>
      <c r="F3202" s="11"/>
      <c r="G3202" s="11"/>
      <c r="H3202" s="11"/>
      <c r="I3202" s="11"/>
      <c r="J3202" s="11"/>
      <c r="K3202" s="11"/>
      <c r="L3202" s="11"/>
      <c r="M3202" s="11"/>
      <c r="N3202" s="11"/>
      <c r="O3202" s="11"/>
      <c r="P3202" s="11"/>
      <c r="Q3202" s="11"/>
      <c r="R3202" s="11"/>
      <c r="S3202" s="11"/>
      <c r="T3202" s="11"/>
      <c r="U3202" s="11"/>
      <c r="V3202" s="11"/>
      <c r="W3202" s="11"/>
      <c r="X3202" s="11"/>
      <c r="Y3202" s="11"/>
      <c r="Z3202" s="11"/>
      <c r="AA3202" s="11"/>
      <c r="AB3202" s="11"/>
      <c r="AC3202" s="11"/>
      <c r="AD3202" s="11"/>
      <c r="AE3202" s="11"/>
      <c r="AF3202" s="11"/>
      <c r="AG3202" s="11"/>
      <c r="AH3202" s="11"/>
      <c r="AI3202" s="11"/>
      <c r="AJ3202" s="11"/>
      <c r="AK3202" s="11"/>
      <c r="AL3202" s="11"/>
      <c r="AM3202" s="11"/>
      <c r="AN3202" s="11"/>
      <c r="AO3202" s="11"/>
    </row>
    <row r="3203" spans="1:41" ht="14.25" x14ac:dyDescent="0.2">
      <c r="A3203" s="2">
        <v>5103020511</v>
      </c>
      <c r="B3203" s="3" t="s">
        <v>72</v>
      </c>
      <c r="C3203" s="9"/>
      <c r="D3203" s="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9"/>
      <c r="AE3203" s="9"/>
      <c r="AF3203" s="9"/>
      <c r="AG3203" s="9"/>
      <c r="AH3203" s="9"/>
      <c r="AI3203" s="9"/>
      <c r="AJ3203" s="9"/>
      <c r="AK3203" s="9"/>
      <c r="AL3203" s="9"/>
      <c r="AM3203" s="9"/>
      <c r="AN3203" s="9"/>
      <c r="AO3203" s="9"/>
    </row>
    <row r="3204" spans="1:41" ht="14.25" x14ac:dyDescent="0.2">
      <c r="A3204" s="2">
        <v>5103020519</v>
      </c>
      <c r="B3204" s="3" t="s">
        <v>41</v>
      </c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9"/>
      <c r="AE3204" s="9"/>
      <c r="AF3204" s="9"/>
      <c r="AG3204" s="9"/>
      <c r="AH3204" s="9"/>
      <c r="AI3204" s="9"/>
      <c r="AJ3204" s="9"/>
      <c r="AK3204" s="9"/>
      <c r="AL3204" s="9"/>
      <c r="AM3204" s="9"/>
      <c r="AN3204" s="9"/>
      <c r="AO3204" s="9"/>
    </row>
    <row r="3205" spans="1:41" ht="14.25" x14ac:dyDescent="0.2">
      <c r="A3205" s="2">
        <v>51030206</v>
      </c>
      <c r="B3205" s="3" t="s">
        <v>42</v>
      </c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  <c r="AB3205" s="9"/>
      <c r="AC3205" s="9"/>
      <c r="AD3205" s="9"/>
      <c r="AE3205" s="9"/>
      <c r="AF3205" s="9"/>
      <c r="AG3205" s="9"/>
      <c r="AH3205" s="9"/>
      <c r="AI3205" s="9"/>
      <c r="AJ3205" s="9"/>
      <c r="AK3205" s="9"/>
      <c r="AL3205" s="9"/>
      <c r="AM3205" s="9"/>
      <c r="AN3205" s="9"/>
      <c r="AO3205" s="9"/>
    </row>
    <row r="3206" spans="1:41" ht="14.25" x14ac:dyDescent="0.2">
      <c r="A3206" s="2">
        <v>5103020608</v>
      </c>
      <c r="B3206" s="3" t="s">
        <v>69</v>
      </c>
      <c r="C3206" s="9"/>
      <c r="D3206" s="9"/>
      <c r="E3206" s="9"/>
      <c r="F3206" s="9"/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9"/>
      <c r="AD3206" s="9"/>
      <c r="AE3206" s="9"/>
      <c r="AF3206" s="9"/>
      <c r="AG3206" s="9"/>
      <c r="AH3206" s="9"/>
      <c r="AI3206" s="9"/>
      <c r="AJ3206" s="9"/>
      <c r="AK3206" s="9"/>
      <c r="AL3206" s="9"/>
      <c r="AM3206" s="9"/>
      <c r="AN3206" s="9"/>
      <c r="AO3206" s="9"/>
    </row>
    <row r="3207" spans="1:41" ht="14.25" x14ac:dyDescent="0.2">
      <c r="A3207" s="2">
        <v>5103020609</v>
      </c>
      <c r="B3207" s="3" t="s">
        <v>70</v>
      </c>
      <c r="C3207" s="9"/>
      <c r="D3207" s="9"/>
      <c r="E3207" s="9"/>
      <c r="F3207" s="9"/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9"/>
      <c r="AD3207" s="9"/>
      <c r="AE3207" s="9"/>
      <c r="AF3207" s="9"/>
      <c r="AG3207" s="9"/>
      <c r="AH3207" s="9"/>
      <c r="AI3207" s="9"/>
      <c r="AJ3207" s="9"/>
      <c r="AK3207" s="9"/>
      <c r="AL3207" s="9"/>
      <c r="AM3207" s="9"/>
      <c r="AN3207" s="9"/>
      <c r="AO3207" s="9"/>
    </row>
    <row r="3208" spans="1:41" ht="28.5" x14ac:dyDescent="0.2">
      <c r="A3208" s="2">
        <v>5103020610</v>
      </c>
      <c r="B3208" s="4" t="s">
        <v>71</v>
      </c>
      <c r="C3208" s="11"/>
      <c r="D3208" s="11"/>
      <c r="E3208" s="11"/>
      <c r="F3208" s="11"/>
      <c r="G3208" s="11"/>
      <c r="H3208" s="11"/>
      <c r="I3208" s="11"/>
      <c r="J3208" s="11"/>
      <c r="K3208" s="11"/>
      <c r="L3208" s="11"/>
      <c r="M3208" s="11"/>
      <c r="N3208" s="11"/>
      <c r="O3208" s="11"/>
      <c r="P3208" s="11"/>
      <c r="Q3208" s="11"/>
      <c r="R3208" s="11"/>
      <c r="S3208" s="11"/>
      <c r="T3208" s="11"/>
      <c r="U3208" s="11"/>
      <c r="V3208" s="11"/>
      <c r="W3208" s="11"/>
      <c r="X3208" s="11"/>
      <c r="Y3208" s="11"/>
      <c r="Z3208" s="11"/>
      <c r="AA3208" s="11"/>
      <c r="AB3208" s="11"/>
      <c r="AC3208" s="11"/>
      <c r="AD3208" s="11"/>
      <c r="AE3208" s="11"/>
      <c r="AF3208" s="11"/>
      <c r="AG3208" s="11"/>
      <c r="AH3208" s="11"/>
      <c r="AI3208" s="11"/>
      <c r="AJ3208" s="11"/>
      <c r="AK3208" s="11"/>
      <c r="AL3208" s="11"/>
      <c r="AM3208" s="11"/>
      <c r="AN3208" s="11"/>
      <c r="AO3208" s="11"/>
    </row>
    <row r="3209" spans="1:41" ht="14.25" x14ac:dyDescent="0.2">
      <c r="A3209" s="2">
        <v>5103020611</v>
      </c>
      <c r="B3209" s="3" t="s">
        <v>72</v>
      </c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9"/>
      <c r="AD3209" s="9"/>
      <c r="AE3209" s="9"/>
      <c r="AF3209" s="9"/>
      <c r="AG3209" s="9"/>
      <c r="AH3209" s="9"/>
      <c r="AI3209" s="9"/>
      <c r="AJ3209" s="9"/>
      <c r="AK3209" s="9"/>
      <c r="AL3209" s="9"/>
      <c r="AM3209" s="9"/>
      <c r="AN3209" s="9"/>
      <c r="AO3209" s="9"/>
    </row>
    <row r="3210" spans="1:41" ht="14.25" x14ac:dyDescent="0.2">
      <c r="A3210" s="2">
        <v>5103020619</v>
      </c>
      <c r="B3210" s="3" t="s">
        <v>41</v>
      </c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9"/>
      <c r="AD3210" s="9"/>
      <c r="AE3210" s="9"/>
      <c r="AF3210" s="9"/>
      <c r="AG3210" s="9"/>
      <c r="AH3210" s="9"/>
      <c r="AI3210" s="9"/>
      <c r="AJ3210" s="9"/>
      <c r="AK3210" s="9"/>
      <c r="AL3210" s="9"/>
      <c r="AM3210" s="9"/>
      <c r="AN3210" s="9"/>
      <c r="AO3210" s="9"/>
    </row>
    <row r="3211" spans="1:41" ht="14.25" x14ac:dyDescent="0.2">
      <c r="A3211" s="2">
        <v>51030207</v>
      </c>
      <c r="B3211" s="3" t="s">
        <v>43</v>
      </c>
      <c r="C3211" s="9"/>
      <c r="D3211" s="9"/>
      <c r="E3211" s="9"/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9"/>
      <c r="AE3211" s="9"/>
      <c r="AF3211" s="9"/>
      <c r="AG3211" s="9"/>
      <c r="AH3211" s="9"/>
      <c r="AI3211" s="9"/>
      <c r="AJ3211" s="9"/>
      <c r="AK3211" s="9"/>
      <c r="AL3211" s="9"/>
      <c r="AM3211" s="9"/>
      <c r="AN3211" s="9"/>
      <c r="AO3211" s="9"/>
    </row>
    <row r="3212" spans="1:41" ht="14.25" x14ac:dyDescent="0.2">
      <c r="A3212" s="2">
        <v>5103020708</v>
      </c>
      <c r="B3212" s="3" t="s">
        <v>69</v>
      </c>
      <c r="C3212" s="9"/>
      <c r="D3212" s="9"/>
      <c r="E3212" s="9"/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  <c r="AB3212" s="9"/>
      <c r="AC3212" s="9"/>
      <c r="AD3212" s="9"/>
      <c r="AE3212" s="9"/>
      <c r="AF3212" s="9"/>
      <c r="AG3212" s="9"/>
      <c r="AH3212" s="9"/>
      <c r="AI3212" s="9"/>
      <c r="AJ3212" s="9"/>
      <c r="AK3212" s="9"/>
      <c r="AL3212" s="9"/>
      <c r="AM3212" s="9"/>
      <c r="AN3212" s="9"/>
      <c r="AO3212" s="9"/>
    </row>
    <row r="3213" spans="1:41" ht="14.25" x14ac:dyDescent="0.2">
      <c r="A3213" s="2">
        <v>5103020709</v>
      </c>
      <c r="B3213" s="3" t="s">
        <v>70</v>
      </c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9"/>
      <c r="AD3213" s="9"/>
      <c r="AE3213" s="9"/>
      <c r="AF3213" s="9"/>
      <c r="AG3213" s="9"/>
      <c r="AH3213" s="9"/>
      <c r="AI3213" s="9"/>
      <c r="AJ3213" s="9"/>
      <c r="AK3213" s="9"/>
      <c r="AL3213" s="9"/>
      <c r="AM3213" s="9"/>
      <c r="AN3213" s="9"/>
      <c r="AO3213" s="9"/>
    </row>
    <row r="3214" spans="1:41" ht="28.5" x14ac:dyDescent="0.2">
      <c r="A3214" s="2">
        <v>5103020710</v>
      </c>
      <c r="B3214" s="4" t="s">
        <v>71</v>
      </c>
      <c r="C3214" s="11"/>
      <c r="D3214" s="11"/>
      <c r="E3214" s="11"/>
      <c r="F3214" s="11"/>
      <c r="G3214" s="11"/>
      <c r="H3214" s="11"/>
      <c r="I3214" s="11"/>
      <c r="J3214" s="11"/>
      <c r="K3214" s="11"/>
      <c r="L3214" s="11"/>
      <c r="M3214" s="11"/>
      <c r="N3214" s="11"/>
      <c r="O3214" s="11"/>
      <c r="P3214" s="11"/>
      <c r="Q3214" s="11"/>
      <c r="R3214" s="11"/>
      <c r="S3214" s="11"/>
      <c r="T3214" s="11"/>
      <c r="U3214" s="11"/>
      <c r="V3214" s="11"/>
      <c r="W3214" s="11"/>
      <c r="X3214" s="11"/>
      <c r="Y3214" s="11"/>
      <c r="Z3214" s="11"/>
      <c r="AA3214" s="11"/>
      <c r="AB3214" s="11"/>
      <c r="AC3214" s="11"/>
      <c r="AD3214" s="11"/>
      <c r="AE3214" s="11"/>
      <c r="AF3214" s="11"/>
      <c r="AG3214" s="11"/>
      <c r="AH3214" s="11"/>
      <c r="AI3214" s="11"/>
      <c r="AJ3214" s="11"/>
      <c r="AK3214" s="11"/>
      <c r="AL3214" s="11"/>
      <c r="AM3214" s="11"/>
      <c r="AN3214" s="11"/>
      <c r="AO3214" s="11"/>
    </row>
    <row r="3215" spans="1:41" ht="14.25" x14ac:dyDescent="0.2">
      <c r="A3215" s="2">
        <v>5103020711</v>
      </c>
      <c r="B3215" s="3" t="s">
        <v>72</v>
      </c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  <c r="AE3215" s="9"/>
      <c r="AF3215" s="9"/>
      <c r="AG3215" s="9"/>
      <c r="AH3215" s="9"/>
      <c r="AI3215" s="9"/>
      <c r="AJ3215" s="9"/>
      <c r="AK3215" s="9"/>
      <c r="AL3215" s="9"/>
      <c r="AM3215" s="9"/>
      <c r="AN3215" s="9"/>
      <c r="AO3215" s="9"/>
    </row>
    <row r="3216" spans="1:41" ht="14.25" x14ac:dyDescent="0.2">
      <c r="A3216" s="2">
        <v>5103020712</v>
      </c>
      <c r="B3216" s="3" t="s">
        <v>47</v>
      </c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9"/>
      <c r="AC3216" s="9"/>
      <c r="AD3216" s="9"/>
      <c r="AE3216" s="9"/>
      <c r="AF3216" s="9"/>
      <c r="AG3216" s="9"/>
      <c r="AH3216" s="9"/>
      <c r="AI3216" s="9"/>
      <c r="AJ3216" s="9"/>
      <c r="AK3216" s="9"/>
      <c r="AL3216" s="9"/>
      <c r="AM3216" s="9"/>
      <c r="AN3216" s="9"/>
      <c r="AO3216" s="9"/>
    </row>
    <row r="3217" spans="1:41" ht="14.25" x14ac:dyDescent="0.2">
      <c r="A3217" s="2">
        <v>5103020714</v>
      </c>
      <c r="B3217" s="3" t="s">
        <v>73</v>
      </c>
      <c r="C3217" s="9"/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9"/>
      <c r="AC3217" s="9"/>
      <c r="AD3217" s="9"/>
      <c r="AE3217" s="9"/>
      <c r="AF3217" s="9"/>
      <c r="AG3217" s="9"/>
      <c r="AH3217" s="9"/>
      <c r="AI3217" s="9"/>
      <c r="AJ3217" s="9"/>
      <c r="AK3217" s="9"/>
      <c r="AL3217" s="9"/>
      <c r="AM3217" s="9"/>
      <c r="AN3217" s="9"/>
      <c r="AO3217" s="9"/>
    </row>
    <row r="3218" spans="1:41" ht="14.25" x14ac:dyDescent="0.2">
      <c r="A3218" s="2">
        <v>5103020715</v>
      </c>
      <c r="B3218" s="3" t="s">
        <v>74</v>
      </c>
      <c r="C3218" s="9"/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9"/>
      <c r="AD3218" s="9"/>
      <c r="AE3218" s="9"/>
      <c r="AF3218" s="9"/>
      <c r="AG3218" s="9"/>
      <c r="AH3218" s="9"/>
      <c r="AI3218" s="9"/>
      <c r="AJ3218" s="9"/>
      <c r="AK3218" s="9"/>
      <c r="AL3218" s="9"/>
      <c r="AM3218" s="9"/>
      <c r="AN3218" s="9"/>
      <c r="AO3218" s="9"/>
    </row>
    <row r="3219" spans="1:41" ht="14.25" x14ac:dyDescent="0.2">
      <c r="A3219" s="2">
        <v>5103020719</v>
      </c>
      <c r="B3219" s="3" t="s">
        <v>41</v>
      </c>
      <c r="C3219" s="9"/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  <c r="AB3219" s="9"/>
      <c r="AC3219" s="9"/>
      <c r="AD3219" s="9"/>
      <c r="AE3219" s="9"/>
      <c r="AF3219" s="9"/>
      <c r="AG3219" s="9"/>
      <c r="AH3219" s="9"/>
      <c r="AI3219" s="9"/>
      <c r="AJ3219" s="9"/>
      <c r="AK3219" s="9"/>
      <c r="AL3219" s="9"/>
      <c r="AM3219" s="9"/>
      <c r="AN3219" s="9"/>
      <c r="AO3219" s="9"/>
    </row>
    <row r="3220" spans="1:41" ht="28.5" x14ac:dyDescent="0.2">
      <c r="A3220" s="2">
        <v>51030210</v>
      </c>
      <c r="B3220" s="4" t="s">
        <v>48</v>
      </c>
      <c r="C3220" s="11"/>
      <c r="D3220" s="11"/>
      <c r="E3220" s="11"/>
      <c r="F3220" s="11"/>
      <c r="G3220" s="11"/>
      <c r="H3220" s="11"/>
      <c r="I3220" s="11"/>
      <c r="J3220" s="11"/>
      <c r="K3220" s="11"/>
      <c r="L3220" s="11"/>
      <c r="M3220" s="11"/>
      <c r="N3220" s="11"/>
      <c r="O3220" s="11"/>
      <c r="P3220" s="11"/>
      <c r="Q3220" s="11"/>
      <c r="R3220" s="11"/>
      <c r="S3220" s="11"/>
      <c r="T3220" s="11"/>
      <c r="U3220" s="11"/>
      <c r="V3220" s="11"/>
      <c r="W3220" s="11"/>
      <c r="X3220" s="11"/>
      <c r="Y3220" s="11"/>
      <c r="Z3220" s="11"/>
      <c r="AA3220" s="11"/>
      <c r="AB3220" s="11"/>
      <c r="AC3220" s="11"/>
      <c r="AD3220" s="11"/>
      <c r="AE3220" s="11"/>
      <c r="AF3220" s="11"/>
      <c r="AG3220" s="11"/>
      <c r="AH3220" s="11"/>
      <c r="AI3220" s="11"/>
      <c r="AJ3220" s="11"/>
      <c r="AK3220" s="11"/>
      <c r="AL3220" s="11"/>
      <c r="AM3220" s="11"/>
      <c r="AN3220" s="11"/>
      <c r="AO3220" s="11"/>
    </row>
    <row r="3221" spans="1:41" ht="14.25" x14ac:dyDescent="0.2">
      <c r="A3221" s="2">
        <v>5103021001</v>
      </c>
      <c r="B3221" s="3" t="s">
        <v>55</v>
      </c>
      <c r="C3221" s="9"/>
      <c r="D3221" s="9"/>
      <c r="E3221" s="9"/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9"/>
      <c r="AD3221" s="9"/>
      <c r="AE3221" s="9"/>
      <c r="AF3221" s="9"/>
      <c r="AG3221" s="9"/>
      <c r="AH3221" s="9"/>
      <c r="AI3221" s="9"/>
      <c r="AJ3221" s="9"/>
      <c r="AK3221" s="9"/>
      <c r="AL3221" s="9"/>
      <c r="AM3221" s="9"/>
      <c r="AN3221" s="9"/>
      <c r="AO3221" s="9"/>
    </row>
    <row r="3222" spans="1:41" ht="14.25" x14ac:dyDescent="0.2">
      <c r="A3222" s="2">
        <v>5103021002</v>
      </c>
      <c r="B3222" s="3" t="s">
        <v>61</v>
      </c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9"/>
      <c r="AD3222" s="9"/>
      <c r="AE3222" s="9"/>
      <c r="AF3222" s="9"/>
      <c r="AG3222" s="9"/>
      <c r="AH3222" s="9"/>
      <c r="AI3222" s="9"/>
      <c r="AJ3222" s="9"/>
      <c r="AK3222" s="9"/>
      <c r="AL3222" s="9"/>
      <c r="AM3222" s="9"/>
      <c r="AN3222" s="9"/>
      <c r="AO3222" s="9"/>
    </row>
    <row r="3223" spans="1:41" ht="14.25" x14ac:dyDescent="0.2">
      <c r="A3223" s="2">
        <v>5103021003</v>
      </c>
      <c r="B3223" s="3" t="s">
        <v>62</v>
      </c>
      <c r="C3223" s="9"/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9"/>
      <c r="AD3223" s="9"/>
      <c r="AE3223" s="9"/>
      <c r="AF3223" s="9"/>
      <c r="AG3223" s="9"/>
      <c r="AH3223" s="9"/>
      <c r="AI3223" s="9"/>
      <c r="AJ3223" s="9"/>
      <c r="AK3223" s="9"/>
      <c r="AL3223" s="9"/>
      <c r="AM3223" s="9"/>
      <c r="AN3223" s="9"/>
      <c r="AO3223" s="9"/>
    </row>
    <row r="3224" spans="1:41" ht="14.25" x14ac:dyDescent="0.2">
      <c r="A3224" s="2">
        <v>5103021005</v>
      </c>
      <c r="B3224" s="3" t="s">
        <v>39</v>
      </c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9"/>
      <c r="AE3224" s="9"/>
      <c r="AF3224" s="9"/>
      <c r="AG3224" s="9"/>
      <c r="AH3224" s="9"/>
      <c r="AI3224" s="9"/>
      <c r="AJ3224" s="9"/>
      <c r="AK3224" s="9"/>
      <c r="AL3224" s="9"/>
      <c r="AM3224" s="9"/>
      <c r="AN3224" s="9"/>
      <c r="AO3224" s="9"/>
    </row>
    <row r="3225" spans="1:41" ht="14.25" x14ac:dyDescent="0.2">
      <c r="A3225" s="2">
        <v>5103021006</v>
      </c>
      <c r="B3225" s="3" t="s">
        <v>42</v>
      </c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  <c r="AH3225" s="9"/>
      <c r="AI3225" s="9"/>
      <c r="AJ3225" s="9"/>
      <c r="AK3225" s="9"/>
      <c r="AL3225" s="9"/>
      <c r="AM3225" s="9"/>
      <c r="AN3225" s="9"/>
      <c r="AO3225" s="9"/>
    </row>
    <row r="3226" spans="1:41" ht="14.25" x14ac:dyDescent="0.2">
      <c r="A3226" s="2">
        <v>5103021007</v>
      </c>
      <c r="B3226" s="3" t="s">
        <v>43</v>
      </c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9"/>
      <c r="AE3226" s="9"/>
      <c r="AF3226" s="9"/>
      <c r="AG3226" s="9"/>
      <c r="AH3226" s="9"/>
      <c r="AI3226" s="9"/>
      <c r="AJ3226" s="9"/>
      <c r="AK3226" s="9"/>
      <c r="AL3226" s="9"/>
      <c r="AM3226" s="9"/>
      <c r="AN3226" s="9"/>
      <c r="AO3226" s="9"/>
    </row>
    <row r="3227" spans="1:41" ht="28.5" x14ac:dyDescent="0.2">
      <c r="A3227" s="2">
        <v>51030211</v>
      </c>
      <c r="B3227" s="4" t="s">
        <v>50</v>
      </c>
      <c r="C3227" s="11"/>
      <c r="D3227" s="11"/>
      <c r="E3227" s="11"/>
      <c r="F3227" s="11"/>
      <c r="G3227" s="11"/>
      <c r="H3227" s="11"/>
      <c r="I3227" s="11"/>
      <c r="J3227" s="11"/>
      <c r="K3227" s="11"/>
      <c r="L3227" s="11"/>
      <c r="M3227" s="11"/>
      <c r="N3227" s="11"/>
      <c r="O3227" s="11"/>
      <c r="P3227" s="11"/>
      <c r="Q3227" s="11"/>
      <c r="R3227" s="11"/>
      <c r="S3227" s="11"/>
      <c r="T3227" s="11"/>
      <c r="U3227" s="11"/>
      <c r="V3227" s="11"/>
      <c r="W3227" s="11"/>
      <c r="X3227" s="11"/>
      <c r="Y3227" s="11"/>
      <c r="Z3227" s="11"/>
      <c r="AA3227" s="11"/>
      <c r="AB3227" s="11"/>
      <c r="AC3227" s="11"/>
      <c r="AD3227" s="11"/>
      <c r="AE3227" s="11"/>
      <c r="AF3227" s="11"/>
      <c r="AG3227" s="11"/>
      <c r="AH3227" s="11"/>
      <c r="AI3227" s="11"/>
      <c r="AJ3227" s="11"/>
      <c r="AK3227" s="11"/>
      <c r="AL3227" s="11"/>
      <c r="AM3227" s="11"/>
      <c r="AN3227" s="11"/>
      <c r="AO3227" s="11"/>
    </row>
    <row r="3228" spans="1:41" ht="14.25" x14ac:dyDescent="0.2">
      <c r="A3228" s="2">
        <v>5103021101</v>
      </c>
      <c r="B3228" s="3" t="s">
        <v>55</v>
      </c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9"/>
      <c r="AD3228" s="9"/>
      <c r="AE3228" s="9"/>
      <c r="AF3228" s="9"/>
      <c r="AG3228" s="9"/>
      <c r="AH3228" s="9"/>
      <c r="AI3228" s="9"/>
      <c r="AJ3228" s="9"/>
      <c r="AK3228" s="9"/>
      <c r="AL3228" s="9"/>
      <c r="AM3228" s="9"/>
      <c r="AN3228" s="9"/>
      <c r="AO3228" s="9"/>
    </row>
    <row r="3229" spans="1:41" ht="14.25" x14ac:dyDescent="0.2">
      <c r="A3229" s="2">
        <v>5103021102</v>
      </c>
      <c r="B3229" s="3" t="s">
        <v>61</v>
      </c>
      <c r="C3229" s="9"/>
      <c r="D3229" s="9"/>
      <c r="E3229" s="9"/>
      <c r="F3229" s="9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9"/>
      <c r="AE3229" s="9"/>
      <c r="AF3229" s="9"/>
      <c r="AG3229" s="9"/>
      <c r="AH3229" s="9"/>
      <c r="AI3229" s="9"/>
      <c r="AJ3229" s="9"/>
      <c r="AK3229" s="9"/>
      <c r="AL3229" s="9"/>
      <c r="AM3229" s="9"/>
      <c r="AN3229" s="9"/>
      <c r="AO3229" s="9"/>
    </row>
    <row r="3230" spans="1:41" ht="14.25" x14ac:dyDescent="0.2">
      <c r="A3230" s="2">
        <v>5103021103</v>
      </c>
      <c r="B3230" s="3" t="s">
        <v>62</v>
      </c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9"/>
      <c r="AE3230" s="9"/>
      <c r="AF3230" s="9"/>
      <c r="AG3230" s="9"/>
      <c r="AH3230" s="9"/>
      <c r="AI3230" s="9"/>
      <c r="AJ3230" s="9"/>
      <c r="AK3230" s="9"/>
      <c r="AL3230" s="9"/>
      <c r="AM3230" s="9"/>
      <c r="AN3230" s="9"/>
      <c r="AO3230" s="9"/>
    </row>
    <row r="3231" spans="1:41" ht="14.25" x14ac:dyDescent="0.2">
      <c r="A3231" s="2">
        <v>5103021105</v>
      </c>
      <c r="B3231" s="3" t="s">
        <v>39</v>
      </c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9"/>
      <c r="AC3231" s="9"/>
      <c r="AD3231" s="9"/>
      <c r="AE3231" s="9"/>
      <c r="AF3231" s="9"/>
      <c r="AG3231" s="9"/>
      <c r="AH3231" s="9"/>
      <c r="AI3231" s="9"/>
      <c r="AJ3231" s="9"/>
      <c r="AK3231" s="9"/>
      <c r="AL3231" s="9"/>
      <c r="AM3231" s="9"/>
      <c r="AN3231" s="9"/>
      <c r="AO3231" s="9"/>
    </row>
    <row r="3232" spans="1:41" ht="14.25" x14ac:dyDescent="0.2">
      <c r="A3232" s="2">
        <v>5103021106</v>
      </c>
      <c r="B3232" s="3" t="s">
        <v>42</v>
      </c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9"/>
      <c r="AE3232" s="9"/>
      <c r="AF3232" s="9"/>
      <c r="AG3232" s="9"/>
      <c r="AH3232" s="9"/>
      <c r="AI3232" s="9"/>
      <c r="AJ3232" s="9"/>
      <c r="AK3232" s="9"/>
      <c r="AL3232" s="9"/>
      <c r="AM3232" s="9"/>
      <c r="AN3232" s="9"/>
      <c r="AO3232" s="9"/>
    </row>
    <row r="3233" spans="1:41" ht="14.25" x14ac:dyDescent="0.2">
      <c r="A3233" s="2">
        <v>5103021107</v>
      </c>
      <c r="B3233" s="3" t="s">
        <v>43</v>
      </c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9"/>
      <c r="AE3233" s="9"/>
      <c r="AF3233" s="9"/>
      <c r="AG3233" s="9"/>
      <c r="AH3233" s="9"/>
      <c r="AI3233" s="9"/>
      <c r="AJ3233" s="9"/>
      <c r="AK3233" s="9"/>
      <c r="AL3233" s="9"/>
      <c r="AM3233" s="9"/>
      <c r="AN3233" s="9"/>
      <c r="AO3233" s="9"/>
    </row>
    <row r="3234" spans="1:41" ht="28.5" x14ac:dyDescent="0.2">
      <c r="A3234" s="2">
        <v>51030212</v>
      </c>
      <c r="B3234" s="4" t="s">
        <v>51</v>
      </c>
      <c r="C3234" s="11"/>
      <c r="D3234" s="11"/>
      <c r="E3234" s="11"/>
      <c r="F3234" s="11"/>
      <c r="G3234" s="11"/>
      <c r="H3234" s="11"/>
      <c r="I3234" s="11"/>
      <c r="J3234" s="11"/>
      <c r="K3234" s="11"/>
      <c r="L3234" s="11"/>
      <c r="M3234" s="11"/>
      <c r="N3234" s="11"/>
      <c r="O3234" s="11"/>
      <c r="P3234" s="11"/>
      <c r="Q3234" s="11"/>
      <c r="R3234" s="11"/>
      <c r="S3234" s="11"/>
      <c r="T3234" s="11"/>
      <c r="U3234" s="11"/>
      <c r="V3234" s="11"/>
      <c r="W3234" s="11"/>
      <c r="X3234" s="11"/>
      <c r="Y3234" s="11"/>
      <c r="Z3234" s="11"/>
      <c r="AA3234" s="11"/>
      <c r="AB3234" s="11"/>
      <c r="AC3234" s="11"/>
      <c r="AD3234" s="11"/>
      <c r="AE3234" s="11"/>
      <c r="AF3234" s="11"/>
      <c r="AG3234" s="11"/>
      <c r="AH3234" s="11"/>
      <c r="AI3234" s="11"/>
      <c r="AJ3234" s="11"/>
      <c r="AK3234" s="11"/>
      <c r="AL3234" s="11"/>
      <c r="AM3234" s="11"/>
      <c r="AN3234" s="11"/>
      <c r="AO3234" s="11"/>
    </row>
    <row r="3235" spans="1:41" ht="14.25" x14ac:dyDescent="0.2">
      <c r="A3235" s="2">
        <v>5103021201</v>
      </c>
      <c r="B3235" s="3" t="s">
        <v>55</v>
      </c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9"/>
      <c r="AE3235" s="9"/>
      <c r="AF3235" s="9"/>
      <c r="AG3235" s="9"/>
      <c r="AH3235" s="9"/>
      <c r="AI3235" s="9"/>
      <c r="AJ3235" s="9"/>
      <c r="AK3235" s="9"/>
      <c r="AL3235" s="9"/>
      <c r="AM3235" s="9"/>
      <c r="AN3235" s="9"/>
      <c r="AO3235" s="9"/>
    </row>
    <row r="3236" spans="1:41" ht="14.25" x14ac:dyDescent="0.2">
      <c r="A3236" s="2">
        <v>5103021202</v>
      </c>
      <c r="B3236" s="3" t="s">
        <v>61</v>
      </c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9"/>
      <c r="AE3236" s="9"/>
      <c r="AF3236" s="9"/>
      <c r="AG3236" s="9"/>
      <c r="AH3236" s="9"/>
      <c r="AI3236" s="9"/>
      <c r="AJ3236" s="9"/>
      <c r="AK3236" s="9"/>
      <c r="AL3236" s="9"/>
      <c r="AM3236" s="9"/>
      <c r="AN3236" s="9"/>
      <c r="AO3236" s="9"/>
    </row>
    <row r="3237" spans="1:41" ht="14.25" x14ac:dyDescent="0.2">
      <c r="A3237" s="2">
        <v>5103021203</v>
      </c>
      <c r="B3237" s="3" t="s">
        <v>62</v>
      </c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9"/>
      <c r="AE3237" s="9"/>
      <c r="AF3237" s="9"/>
      <c r="AG3237" s="9"/>
      <c r="AH3237" s="9"/>
      <c r="AI3237" s="9"/>
      <c r="AJ3237" s="9"/>
      <c r="AK3237" s="9"/>
      <c r="AL3237" s="9"/>
      <c r="AM3237" s="9"/>
      <c r="AN3237" s="9"/>
      <c r="AO3237" s="9"/>
    </row>
    <row r="3238" spans="1:41" ht="14.25" x14ac:dyDescent="0.2">
      <c r="A3238" s="2">
        <v>5103021205</v>
      </c>
      <c r="B3238" s="3" t="s">
        <v>39</v>
      </c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9"/>
      <c r="AE3238" s="9"/>
      <c r="AF3238" s="9"/>
      <c r="AG3238" s="9"/>
      <c r="AH3238" s="9"/>
      <c r="AI3238" s="9"/>
      <c r="AJ3238" s="9"/>
      <c r="AK3238" s="9"/>
      <c r="AL3238" s="9"/>
      <c r="AM3238" s="9"/>
      <c r="AN3238" s="9"/>
      <c r="AO3238" s="9"/>
    </row>
    <row r="3239" spans="1:41" ht="14.25" x14ac:dyDescent="0.2">
      <c r="A3239" s="2">
        <v>5103021206</v>
      </c>
      <c r="B3239" s="3" t="s">
        <v>42</v>
      </c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9"/>
      <c r="AE3239" s="9"/>
      <c r="AF3239" s="9"/>
      <c r="AG3239" s="9"/>
      <c r="AH3239" s="9"/>
      <c r="AI3239" s="9"/>
      <c r="AJ3239" s="9"/>
      <c r="AK3239" s="9"/>
      <c r="AL3239" s="9"/>
      <c r="AM3239" s="9"/>
      <c r="AN3239" s="9"/>
      <c r="AO3239" s="9"/>
    </row>
    <row r="3240" spans="1:41" ht="14.25" x14ac:dyDescent="0.2">
      <c r="A3240" s="2">
        <v>5103021207</v>
      </c>
      <c r="B3240" s="3" t="s">
        <v>43</v>
      </c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9"/>
      <c r="AC3240" s="9"/>
      <c r="AD3240" s="9"/>
      <c r="AE3240" s="9"/>
      <c r="AF3240" s="9"/>
      <c r="AG3240" s="9"/>
      <c r="AH3240" s="9"/>
      <c r="AI3240" s="9"/>
      <c r="AJ3240" s="9"/>
      <c r="AK3240" s="9"/>
      <c r="AL3240" s="9"/>
      <c r="AM3240" s="9"/>
      <c r="AN3240" s="9"/>
      <c r="AO3240" s="9"/>
    </row>
    <row r="3241" spans="1:41" ht="14.25" x14ac:dyDescent="0.2">
      <c r="A3241" s="2">
        <v>51030219</v>
      </c>
      <c r="B3241" s="3" t="s">
        <v>59</v>
      </c>
      <c r="C3241" s="9"/>
      <c r="D3241" s="9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9"/>
      <c r="AC3241" s="9"/>
      <c r="AD3241" s="9"/>
      <c r="AE3241" s="9"/>
      <c r="AF3241" s="9"/>
      <c r="AG3241" s="9"/>
      <c r="AH3241" s="9"/>
      <c r="AI3241" s="9"/>
      <c r="AJ3241" s="9"/>
      <c r="AK3241" s="9"/>
      <c r="AL3241" s="9"/>
      <c r="AM3241" s="9"/>
      <c r="AN3241" s="9"/>
      <c r="AO3241" s="9"/>
    </row>
    <row r="3242" spans="1:41" ht="28.5" x14ac:dyDescent="0.2">
      <c r="A3242" s="2">
        <v>510303</v>
      </c>
      <c r="B3242" s="4" t="s">
        <v>87</v>
      </c>
      <c r="C3242" s="11"/>
      <c r="D3242" s="11"/>
      <c r="E3242" s="11"/>
      <c r="F3242" s="11"/>
      <c r="G3242" s="11"/>
      <c r="H3242" s="11"/>
      <c r="I3242" s="11"/>
      <c r="J3242" s="11"/>
      <c r="K3242" s="11"/>
      <c r="L3242" s="11"/>
      <c r="M3242" s="11"/>
      <c r="N3242" s="11"/>
      <c r="O3242" s="11"/>
      <c r="P3242" s="11"/>
      <c r="Q3242" s="11"/>
      <c r="R3242" s="11"/>
      <c r="S3242" s="11"/>
      <c r="T3242" s="11"/>
      <c r="U3242" s="11"/>
      <c r="V3242" s="11"/>
      <c r="W3242" s="11"/>
      <c r="X3242" s="11"/>
      <c r="Y3242" s="11"/>
      <c r="Z3242" s="11"/>
      <c r="AA3242" s="11"/>
      <c r="AB3242" s="11"/>
      <c r="AC3242" s="11"/>
      <c r="AD3242" s="11"/>
      <c r="AE3242" s="11"/>
      <c r="AF3242" s="11"/>
      <c r="AG3242" s="11"/>
      <c r="AH3242" s="11"/>
      <c r="AI3242" s="11"/>
      <c r="AJ3242" s="11"/>
      <c r="AK3242" s="11"/>
      <c r="AL3242" s="11"/>
      <c r="AM3242" s="11"/>
      <c r="AN3242" s="11"/>
      <c r="AO3242" s="11"/>
    </row>
    <row r="3243" spans="1:41" ht="14.25" x14ac:dyDescent="0.2">
      <c r="A3243" s="2">
        <v>51030305</v>
      </c>
      <c r="B3243" s="3" t="s">
        <v>39</v>
      </c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9"/>
      <c r="AH3243" s="9"/>
      <c r="AI3243" s="9"/>
      <c r="AJ3243" s="9"/>
      <c r="AK3243" s="9"/>
      <c r="AL3243" s="9"/>
      <c r="AM3243" s="9"/>
      <c r="AN3243" s="9"/>
      <c r="AO3243" s="9"/>
    </row>
    <row r="3244" spans="1:41" ht="14.25" x14ac:dyDescent="0.2">
      <c r="A3244" s="2">
        <v>5103030501</v>
      </c>
      <c r="B3244" s="3" t="s">
        <v>40</v>
      </c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9"/>
      <c r="AH3244" s="9"/>
      <c r="AI3244" s="9"/>
      <c r="AJ3244" s="9"/>
      <c r="AK3244" s="9"/>
      <c r="AL3244" s="9"/>
      <c r="AM3244" s="9"/>
      <c r="AN3244" s="9"/>
      <c r="AO3244" s="9"/>
    </row>
    <row r="3245" spans="1:41" ht="14.25" x14ac:dyDescent="0.2">
      <c r="A3245" s="2">
        <v>5103030519</v>
      </c>
      <c r="B3245" s="3" t="s">
        <v>41</v>
      </c>
      <c r="C3245" s="9"/>
      <c r="D3245" s="9"/>
      <c r="E3245" s="9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9"/>
      <c r="AH3245" s="9"/>
      <c r="AI3245" s="9"/>
      <c r="AJ3245" s="9"/>
      <c r="AK3245" s="9"/>
      <c r="AL3245" s="9"/>
      <c r="AM3245" s="9"/>
      <c r="AN3245" s="9"/>
      <c r="AO3245" s="9"/>
    </row>
    <row r="3246" spans="1:41" ht="14.25" x14ac:dyDescent="0.2">
      <c r="A3246" s="2">
        <v>51030306</v>
      </c>
      <c r="B3246" s="3" t="s">
        <v>42</v>
      </c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9"/>
      <c r="AH3246" s="9"/>
      <c r="AI3246" s="9"/>
      <c r="AJ3246" s="9"/>
      <c r="AK3246" s="9"/>
      <c r="AL3246" s="9"/>
      <c r="AM3246" s="9"/>
      <c r="AN3246" s="9"/>
      <c r="AO3246" s="9"/>
    </row>
    <row r="3247" spans="1:41" ht="14.25" x14ac:dyDescent="0.2">
      <c r="A3247" s="2">
        <v>5103030601</v>
      </c>
      <c r="B3247" s="3" t="s">
        <v>40</v>
      </c>
      <c r="C3247" s="9"/>
      <c r="D3247" s="9"/>
      <c r="E3247" s="9"/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9"/>
      <c r="AH3247" s="9"/>
      <c r="AI3247" s="9"/>
      <c r="AJ3247" s="9"/>
      <c r="AK3247" s="9"/>
      <c r="AL3247" s="9"/>
      <c r="AM3247" s="9"/>
      <c r="AN3247" s="9"/>
      <c r="AO3247" s="9"/>
    </row>
    <row r="3248" spans="1:41" ht="14.25" x14ac:dyDescent="0.2">
      <c r="A3248" s="2">
        <v>5103030619</v>
      </c>
      <c r="B3248" s="3" t="s">
        <v>41</v>
      </c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9"/>
      <c r="AH3248" s="9"/>
      <c r="AI3248" s="9"/>
      <c r="AJ3248" s="9"/>
      <c r="AK3248" s="9"/>
      <c r="AL3248" s="9"/>
      <c r="AM3248" s="9"/>
      <c r="AN3248" s="9"/>
      <c r="AO3248" s="9"/>
    </row>
    <row r="3249" spans="1:41" ht="14.25" x14ac:dyDescent="0.2">
      <c r="A3249" s="2">
        <v>51030307</v>
      </c>
      <c r="B3249" s="3" t="s">
        <v>43</v>
      </c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9"/>
      <c r="AH3249" s="9"/>
      <c r="AI3249" s="9"/>
      <c r="AJ3249" s="9"/>
      <c r="AK3249" s="9"/>
      <c r="AL3249" s="9"/>
      <c r="AM3249" s="9"/>
      <c r="AN3249" s="9"/>
      <c r="AO3249" s="9"/>
    </row>
    <row r="3250" spans="1:41" ht="14.25" x14ac:dyDescent="0.2">
      <c r="A3250" s="2">
        <v>5103030701</v>
      </c>
      <c r="B3250" s="3" t="s">
        <v>40</v>
      </c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  <c r="AH3250" s="9"/>
      <c r="AI3250" s="9"/>
      <c r="AJ3250" s="9"/>
      <c r="AK3250" s="9"/>
      <c r="AL3250" s="9"/>
      <c r="AM3250" s="9"/>
      <c r="AN3250" s="9"/>
      <c r="AO3250" s="9"/>
    </row>
    <row r="3251" spans="1:41" ht="14.25" x14ac:dyDescent="0.2">
      <c r="A3251" s="2">
        <v>5103030702</v>
      </c>
      <c r="B3251" s="3" t="s">
        <v>44</v>
      </c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9"/>
      <c r="AH3251" s="9"/>
      <c r="AI3251" s="9"/>
      <c r="AJ3251" s="9"/>
      <c r="AK3251" s="9"/>
      <c r="AL3251" s="9"/>
      <c r="AM3251" s="9"/>
      <c r="AN3251" s="9"/>
      <c r="AO3251" s="9"/>
    </row>
    <row r="3252" spans="1:41" ht="14.25" x14ac:dyDescent="0.2">
      <c r="A3252" s="2">
        <v>5103030705</v>
      </c>
      <c r="B3252" s="3" t="s">
        <v>45</v>
      </c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  <c r="AH3252" s="9"/>
      <c r="AI3252" s="9"/>
      <c r="AJ3252" s="9"/>
      <c r="AK3252" s="9"/>
      <c r="AL3252" s="9"/>
      <c r="AM3252" s="9"/>
      <c r="AN3252" s="9"/>
      <c r="AO3252" s="9"/>
    </row>
    <row r="3253" spans="1:41" ht="14.25" x14ac:dyDescent="0.2">
      <c r="A3253" s="2">
        <v>5103030706</v>
      </c>
      <c r="B3253" s="3" t="s">
        <v>46</v>
      </c>
      <c r="C3253" s="9"/>
      <c r="D3253" s="9"/>
      <c r="E3253" s="9"/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  <c r="AF3253" s="9"/>
      <c r="AG3253" s="9"/>
      <c r="AH3253" s="9"/>
      <c r="AI3253" s="9"/>
      <c r="AJ3253" s="9"/>
      <c r="AK3253" s="9"/>
      <c r="AL3253" s="9"/>
      <c r="AM3253" s="9"/>
      <c r="AN3253" s="9"/>
      <c r="AO3253" s="9"/>
    </row>
    <row r="3254" spans="1:41" ht="14.25" x14ac:dyDescent="0.2">
      <c r="A3254" s="2">
        <v>5103030712</v>
      </c>
      <c r="B3254" s="3" t="s">
        <v>47</v>
      </c>
      <c r="C3254" s="9"/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9"/>
      <c r="AD3254" s="9"/>
      <c r="AE3254" s="9"/>
      <c r="AF3254" s="9"/>
      <c r="AG3254" s="9"/>
      <c r="AH3254" s="9"/>
      <c r="AI3254" s="9"/>
      <c r="AJ3254" s="9"/>
      <c r="AK3254" s="9"/>
      <c r="AL3254" s="9"/>
      <c r="AM3254" s="9"/>
      <c r="AN3254" s="9"/>
      <c r="AO3254" s="9"/>
    </row>
    <row r="3255" spans="1:41" ht="14.25" x14ac:dyDescent="0.2">
      <c r="A3255" s="2">
        <v>5103030719</v>
      </c>
      <c r="B3255" s="3" t="s">
        <v>41</v>
      </c>
      <c r="C3255" s="9"/>
      <c r="D3255" s="9"/>
      <c r="E3255" s="9"/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  <c r="AF3255" s="9"/>
      <c r="AG3255" s="9"/>
      <c r="AH3255" s="9"/>
      <c r="AI3255" s="9"/>
      <c r="AJ3255" s="9"/>
      <c r="AK3255" s="9"/>
      <c r="AL3255" s="9"/>
      <c r="AM3255" s="9"/>
      <c r="AN3255" s="9"/>
      <c r="AO3255" s="9"/>
    </row>
    <row r="3256" spans="1:41" ht="28.5" x14ac:dyDescent="0.2">
      <c r="A3256" s="2">
        <v>51030310</v>
      </c>
      <c r="B3256" s="4" t="s">
        <v>48</v>
      </c>
      <c r="C3256" s="11"/>
      <c r="D3256" s="11"/>
      <c r="E3256" s="11"/>
      <c r="F3256" s="11"/>
      <c r="G3256" s="11"/>
      <c r="H3256" s="11"/>
      <c r="I3256" s="11"/>
      <c r="J3256" s="11"/>
      <c r="K3256" s="11"/>
      <c r="L3256" s="11"/>
      <c r="M3256" s="11"/>
      <c r="N3256" s="11"/>
      <c r="O3256" s="11"/>
      <c r="P3256" s="11"/>
      <c r="Q3256" s="11"/>
      <c r="R3256" s="11"/>
      <c r="S3256" s="11"/>
      <c r="T3256" s="11"/>
      <c r="U3256" s="11"/>
      <c r="V3256" s="11"/>
      <c r="W3256" s="11"/>
      <c r="X3256" s="11"/>
      <c r="Y3256" s="11"/>
      <c r="Z3256" s="11"/>
      <c r="AA3256" s="11"/>
      <c r="AB3256" s="11"/>
      <c r="AC3256" s="11"/>
      <c r="AD3256" s="11"/>
      <c r="AE3256" s="11"/>
      <c r="AF3256" s="11"/>
      <c r="AG3256" s="11"/>
      <c r="AH3256" s="11"/>
      <c r="AI3256" s="11"/>
      <c r="AJ3256" s="11"/>
      <c r="AK3256" s="11"/>
      <c r="AL3256" s="11"/>
      <c r="AM3256" s="11"/>
      <c r="AN3256" s="11"/>
      <c r="AO3256" s="11"/>
    </row>
    <row r="3257" spans="1:41" ht="14.25" x14ac:dyDescent="0.2">
      <c r="A3257" s="2">
        <v>5103031005</v>
      </c>
      <c r="B3257" s="3" t="s">
        <v>39</v>
      </c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  <c r="AH3257" s="9"/>
      <c r="AI3257" s="9"/>
      <c r="AJ3257" s="9"/>
      <c r="AK3257" s="9"/>
      <c r="AL3257" s="9"/>
      <c r="AM3257" s="9"/>
      <c r="AN3257" s="9"/>
      <c r="AO3257" s="9"/>
    </row>
    <row r="3258" spans="1:41" ht="14.25" x14ac:dyDescent="0.2">
      <c r="A3258" s="2">
        <v>5103031006</v>
      </c>
      <c r="B3258" s="3" t="s">
        <v>42</v>
      </c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9"/>
      <c r="AD3258" s="9"/>
      <c r="AE3258" s="9"/>
      <c r="AF3258" s="9"/>
      <c r="AG3258" s="9"/>
      <c r="AH3258" s="9"/>
      <c r="AI3258" s="9"/>
      <c r="AJ3258" s="9"/>
      <c r="AK3258" s="9"/>
      <c r="AL3258" s="9"/>
      <c r="AM3258" s="9"/>
      <c r="AN3258" s="9"/>
      <c r="AO3258" s="9"/>
    </row>
    <row r="3259" spans="1:41" ht="14.25" x14ac:dyDescent="0.2">
      <c r="A3259" s="2">
        <v>5103031007</v>
      </c>
      <c r="B3259" s="3" t="s">
        <v>43</v>
      </c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9"/>
      <c r="AD3259" s="9"/>
      <c r="AE3259" s="9"/>
      <c r="AF3259" s="9"/>
      <c r="AG3259" s="9"/>
      <c r="AH3259" s="9"/>
      <c r="AI3259" s="9"/>
      <c r="AJ3259" s="9"/>
      <c r="AK3259" s="9"/>
      <c r="AL3259" s="9"/>
      <c r="AM3259" s="9"/>
      <c r="AN3259" s="9"/>
      <c r="AO3259" s="9"/>
    </row>
    <row r="3260" spans="1:41" ht="28.5" x14ac:dyDescent="0.2">
      <c r="A3260" s="2">
        <v>51030311</v>
      </c>
      <c r="B3260" s="4" t="s">
        <v>50</v>
      </c>
      <c r="C3260" s="11"/>
      <c r="D3260" s="11"/>
      <c r="E3260" s="11"/>
      <c r="F3260" s="11"/>
      <c r="G3260" s="11"/>
      <c r="H3260" s="11"/>
      <c r="I3260" s="11"/>
      <c r="J3260" s="11"/>
      <c r="K3260" s="11"/>
      <c r="L3260" s="11"/>
      <c r="M3260" s="11"/>
      <c r="N3260" s="11"/>
      <c r="O3260" s="11"/>
      <c r="P3260" s="11"/>
      <c r="Q3260" s="11"/>
      <c r="R3260" s="11"/>
      <c r="S3260" s="11"/>
      <c r="T3260" s="11"/>
      <c r="U3260" s="11"/>
      <c r="V3260" s="11"/>
      <c r="W3260" s="11"/>
      <c r="X3260" s="11"/>
      <c r="Y3260" s="11"/>
      <c r="Z3260" s="11"/>
      <c r="AA3260" s="11"/>
      <c r="AB3260" s="11"/>
      <c r="AC3260" s="11"/>
      <c r="AD3260" s="11"/>
      <c r="AE3260" s="11"/>
      <c r="AF3260" s="11"/>
      <c r="AG3260" s="11"/>
      <c r="AH3260" s="11"/>
      <c r="AI3260" s="11"/>
      <c r="AJ3260" s="11"/>
      <c r="AK3260" s="11"/>
      <c r="AL3260" s="11"/>
      <c r="AM3260" s="11"/>
      <c r="AN3260" s="11"/>
      <c r="AO3260" s="11"/>
    </row>
    <row r="3261" spans="1:41" ht="14.25" x14ac:dyDescent="0.2">
      <c r="A3261" s="2">
        <v>5103031105</v>
      </c>
      <c r="B3261" s="3" t="s">
        <v>39</v>
      </c>
      <c r="C3261" s="9"/>
      <c r="D3261" s="9"/>
      <c r="E3261" s="9"/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9"/>
      <c r="AD3261" s="9"/>
      <c r="AE3261" s="9"/>
      <c r="AF3261" s="9"/>
      <c r="AG3261" s="9"/>
      <c r="AH3261" s="9"/>
      <c r="AI3261" s="9"/>
      <c r="AJ3261" s="9"/>
      <c r="AK3261" s="9"/>
      <c r="AL3261" s="9"/>
      <c r="AM3261" s="9"/>
      <c r="AN3261" s="9"/>
      <c r="AO3261" s="9"/>
    </row>
    <row r="3262" spans="1:41" ht="14.25" x14ac:dyDescent="0.2">
      <c r="A3262" s="2">
        <v>5103031106</v>
      </c>
      <c r="B3262" s="3" t="s">
        <v>42</v>
      </c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  <c r="AB3262" s="9"/>
      <c r="AC3262" s="9"/>
      <c r="AD3262" s="9"/>
      <c r="AE3262" s="9"/>
      <c r="AF3262" s="9"/>
      <c r="AG3262" s="9"/>
      <c r="AH3262" s="9"/>
      <c r="AI3262" s="9"/>
      <c r="AJ3262" s="9"/>
      <c r="AK3262" s="9"/>
      <c r="AL3262" s="9"/>
      <c r="AM3262" s="9"/>
      <c r="AN3262" s="9"/>
      <c r="AO3262" s="9"/>
    </row>
    <row r="3263" spans="1:41" ht="14.25" x14ac:dyDescent="0.2">
      <c r="A3263" s="2">
        <v>5103031107</v>
      </c>
      <c r="B3263" s="3" t="s">
        <v>43</v>
      </c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9"/>
      <c r="AD3263" s="9"/>
      <c r="AE3263" s="9"/>
      <c r="AF3263" s="9"/>
      <c r="AG3263" s="9"/>
      <c r="AH3263" s="9"/>
      <c r="AI3263" s="9"/>
      <c r="AJ3263" s="9"/>
      <c r="AK3263" s="9"/>
      <c r="AL3263" s="9"/>
      <c r="AM3263" s="9"/>
      <c r="AN3263" s="9"/>
      <c r="AO3263" s="9"/>
    </row>
    <row r="3264" spans="1:41" ht="28.5" x14ac:dyDescent="0.2">
      <c r="A3264" s="2">
        <v>51030312</v>
      </c>
      <c r="B3264" s="4" t="s">
        <v>51</v>
      </c>
      <c r="C3264" s="11"/>
      <c r="D3264" s="11"/>
      <c r="E3264" s="11"/>
      <c r="F3264" s="11"/>
      <c r="G3264" s="11"/>
      <c r="H3264" s="11"/>
      <c r="I3264" s="11"/>
      <c r="J3264" s="11"/>
      <c r="K3264" s="11"/>
      <c r="L3264" s="11"/>
      <c r="M3264" s="11"/>
      <c r="N3264" s="11"/>
      <c r="O3264" s="11"/>
      <c r="P3264" s="11"/>
      <c r="Q3264" s="11"/>
      <c r="R3264" s="11"/>
      <c r="S3264" s="11"/>
      <c r="T3264" s="11"/>
      <c r="U3264" s="11"/>
      <c r="V3264" s="11"/>
      <c r="W3264" s="11"/>
      <c r="X3264" s="11"/>
      <c r="Y3264" s="11"/>
      <c r="Z3264" s="11"/>
      <c r="AA3264" s="11"/>
      <c r="AB3264" s="11"/>
      <c r="AC3264" s="11"/>
      <c r="AD3264" s="11"/>
      <c r="AE3264" s="11"/>
      <c r="AF3264" s="11"/>
      <c r="AG3264" s="11"/>
      <c r="AH3264" s="11"/>
      <c r="AI3264" s="11"/>
      <c r="AJ3264" s="11"/>
      <c r="AK3264" s="11"/>
      <c r="AL3264" s="11"/>
      <c r="AM3264" s="11"/>
      <c r="AN3264" s="11"/>
      <c r="AO3264" s="11"/>
    </row>
    <row r="3265" spans="1:41" ht="14.25" x14ac:dyDescent="0.2">
      <c r="A3265" s="2">
        <v>5103031205</v>
      </c>
      <c r="B3265" s="3" t="s">
        <v>39</v>
      </c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9"/>
      <c r="AD3265" s="9"/>
      <c r="AE3265" s="9"/>
      <c r="AF3265" s="9"/>
      <c r="AG3265" s="9"/>
      <c r="AH3265" s="9"/>
      <c r="AI3265" s="9"/>
      <c r="AJ3265" s="9"/>
      <c r="AK3265" s="9"/>
      <c r="AL3265" s="9"/>
      <c r="AM3265" s="9"/>
      <c r="AN3265" s="9"/>
      <c r="AO3265" s="9"/>
    </row>
    <row r="3266" spans="1:41" ht="14.25" x14ac:dyDescent="0.2">
      <c r="A3266" s="2">
        <v>5103031206</v>
      </c>
      <c r="B3266" s="3" t="s">
        <v>42</v>
      </c>
      <c r="C3266" s="9"/>
      <c r="D3266" s="9"/>
      <c r="E3266" s="9"/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9"/>
      <c r="AD3266" s="9"/>
      <c r="AE3266" s="9"/>
      <c r="AF3266" s="9"/>
      <c r="AG3266" s="9"/>
      <c r="AH3266" s="9"/>
      <c r="AI3266" s="9"/>
      <c r="AJ3266" s="9"/>
      <c r="AK3266" s="9"/>
      <c r="AL3266" s="9"/>
      <c r="AM3266" s="9"/>
      <c r="AN3266" s="9"/>
      <c r="AO3266" s="9"/>
    </row>
    <row r="3267" spans="1:41" ht="14.25" x14ac:dyDescent="0.2">
      <c r="A3267" s="2">
        <v>5103031207</v>
      </c>
      <c r="B3267" s="3" t="s">
        <v>43</v>
      </c>
      <c r="C3267" s="9"/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9"/>
      <c r="AD3267" s="9"/>
      <c r="AE3267" s="9"/>
      <c r="AF3267" s="9"/>
      <c r="AG3267" s="9"/>
      <c r="AH3267" s="9"/>
      <c r="AI3267" s="9"/>
      <c r="AJ3267" s="9"/>
      <c r="AK3267" s="9"/>
      <c r="AL3267" s="9"/>
      <c r="AM3267" s="9"/>
      <c r="AN3267" s="9"/>
      <c r="AO3267" s="9"/>
    </row>
    <row r="3268" spans="1:41" ht="14.25" x14ac:dyDescent="0.2">
      <c r="A3268" s="2">
        <v>51030313</v>
      </c>
      <c r="B3268" s="3" t="s">
        <v>49</v>
      </c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9"/>
      <c r="AE3268" s="9"/>
      <c r="AF3268" s="9"/>
      <c r="AG3268" s="9"/>
      <c r="AH3268" s="9"/>
      <c r="AI3268" s="9"/>
      <c r="AJ3268" s="9"/>
      <c r="AK3268" s="9"/>
      <c r="AL3268" s="9"/>
      <c r="AM3268" s="9"/>
      <c r="AN3268" s="9"/>
      <c r="AO3268" s="9"/>
    </row>
    <row r="3269" spans="1:41" ht="14.25" x14ac:dyDescent="0.2">
      <c r="A3269" s="2">
        <v>5103031301</v>
      </c>
      <c r="B3269" s="3" t="s">
        <v>52</v>
      </c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9"/>
      <c r="AD3269" s="9"/>
      <c r="AE3269" s="9"/>
      <c r="AF3269" s="9"/>
      <c r="AG3269" s="9"/>
      <c r="AH3269" s="9"/>
      <c r="AI3269" s="9"/>
      <c r="AJ3269" s="9"/>
      <c r="AK3269" s="9"/>
      <c r="AL3269" s="9"/>
      <c r="AM3269" s="9"/>
      <c r="AN3269" s="9"/>
      <c r="AO3269" s="9"/>
    </row>
    <row r="3270" spans="1:41" ht="14.25" x14ac:dyDescent="0.2">
      <c r="A3270" s="2">
        <v>51030318</v>
      </c>
      <c r="B3270" s="3" t="s">
        <v>78</v>
      </c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9"/>
      <c r="AE3270" s="9"/>
      <c r="AF3270" s="9"/>
      <c r="AG3270" s="9"/>
      <c r="AH3270" s="9"/>
      <c r="AI3270" s="9"/>
      <c r="AJ3270" s="9"/>
      <c r="AK3270" s="9"/>
      <c r="AL3270" s="9"/>
      <c r="AM3270" s="9"/>
      <c r="AN3270" s="9"/>
      <c r="AO3270" s="9"/>
    </row>
    <row r="3271" spans="1:41" ht="14.25" x14ac:dyDescent="0.2">
      <c r="A3271" s="2">
        <v>5103031805</v>
      </c>
      <c r="B3271" s="3" t="s">
        <v>39</v>
      </c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  <c r="AF3271" s="9"/>
      <c r="AG3271" s="9"/>
      <c r="AH3271" s="9"/>
      <c r="AI3271" s="9"/>
      <c r="AJ3271" s="9"/>
      <c r="AK3271" s="9"/>
      <c r="AL3271" s="9"/>
      <c r="AM3271" s="9"/>
      <c r="AN3271" s="9"/>
      <c r="AO3271" s="9"/>
    </row>
    <row r="3272" spans="1:41" ht="14.25" x14ac:dyDescent="0.2">
      <c r="A3272" s="2">
        <v>5103031806</v>
      </c>
      <c r="B3272" s="3" t="s">
        <v>42</v>
      </c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  <c r="AB3272" s="9"/>
      <c r="AC3272" s="9"/>
      <c r="AD3272" s="9"/>
      <c r="AE3272" s="9"/>
      <c r="AF3272" s="9"/>
      <c r="AG3272" s="9"/>
      <c r="AH3272" s="9"/>
      <c r="AI3272" s="9"/>
      <c r="AJ3272" s="9"/>
      <c r="AK3272" s="9"/>
      <c r="AL3272" s="9"/>
      <c r="AM3272" s="9"/>
      <c r="AN3272" s="9"/>
      <c r="AO3272" s="9"/>
    </row>
    <row r="3273" spans="1:41" ht="14.25" x14ac:dyDescent="0.2">
      <c r="A3273" s="2">
        <v>5103031807</v>
      </c>
      <c r="B3273" s="3" t="s">
        <v>43</v>
      </c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  <c r="AE3273" s="9"/>
      <c r="AF3273" s="9"/>
      <c r="AG3273" s="9"/>
      <c r="AH3273" s="9"/>
      <c r="AI3273" s="9"/>
      <c r="AJ3273" s="9"/>
      <c r="AK3273" s="9"/>
      <c r="AL3273" s="9"/>
      <c r="AM3273" s="9"/>
      <c r="AN3273" s="9"/>
      <c r="AO3273" s="9"/>
    </row>
    <row r="3274" spans="1:41" ht="14.25" x14ac:dyDescent="0.2">
      <c r="A3274" s="2">
        <v>51030319</v>
      </c>
      <c r="B3274" s="3" t="s">
        <v>53</v>
      </c>
      <c r="C3274" s="9"/>
      <c r="D3274" s="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9"/>
      <c r="AE3274" s="9"/>
      <c r="AF3274" s="9"/>
      <c r="AG3274" s="9"/>
      <c r="AH3274" s="9"/>
      <c r="AI3274" s="9"/>
      <c r="AJ3274" s="9"/>
      <c r="AK3274" s="9"/>
      <c r="AL3274" s="9"/>
      <c r="AM3274" s="9"/>
      <c r="AN3274" s="9"/>
      <c r="AO3274" s="9"/>
    </row>
    <row r="3275" spans="1:41" ht="28.5" x14ac:dyDescent="0.2">
      <c r="A3275" s="2">
        <v>510304</v>
      </c>
      <c r="B3275" s="4" t="s">
        <v>879</v>
      </c>
      <c r="C3275" s="11"/>
      <c r="D3275" s="11"/>
      <c r="E3275" s="11"/>
      <c r="F3275" s="11"/>
      <c r="G3275" s="11"/>
      <c r="H3275" s="11"/>
      <c r="I3275" s="11"/>
      <c r="J3275" s="11"/>
      <c r="K3275" s="11"/>
      <c r="L3275" s="11"/>
      <c r="M3275" s="11"/>
      <c r="N3275" s="11"/>
      <c r="O3275" s="11"/>
      <c r="P3275" s="11"/>
      <c r="Q3275" s="11"/>
      <c r="R3275" s="11"/>
      <c r="S3275" s="11"/>
      <c r="T3275" s="11"/>
      <c r="U3275" s="11"/>
      <c r="V3275" s="11"/>
      <c r="W3275" s="11"/>
      <c r="X3275" s="11"/>
      <c r="Y3275" s="11"/>
      <c r="Z3275" s="11"/>
      <c r="AA3275" s="11"/>
      <c r="AB3275" s="11"/>
      <c r="AC3275" s="11"/>
      <c r="AD3275" s="11"/>
      <c r="AE3275" s="11"/>
      <c r="AF3275" s="11"/>
      <c r="AG3275" s="11"/>
      <c r="AH3275" s="11"/>
      <c r="AI3275" s="11"/>
      <c r="AJ3275" s="11"/>
      <c r="AK3275" s="11"/>
      <c r="AL3275" s="11"/>
      <c r="AM3275" s="11"/>
      <c r="AN3275" s="11"/>
      <c r="AO3275" s="11"/>
    </row>
    <row r="3276" spans="1:41" ht="14.25" x14ac:dyDescent="0.2">
      <c r="A3276" s="2">
        <v>51030401</v>
      </c>
      <c r="B3276" s="3" t="s">
        <v>55</v>
      </c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  <c r="AE3276" s="9"/>
      <c r="AF3276" s="9"/>
      <c r="AG3276" s="9"/>
      <c r="AH3276" s="9"/>
      <c r="AI3276" s="9"/>
      <c r="AJ3276" s="9"/>
      <c r="AK3276" s="9"/>
      <c r="AL3276" s="9"/>
      <c r="AM3276" s="9"/>
      <c r="AN3276" s="9"/>
      <c r="AO3276" s="9"/>
    </row>
    <row r="3277" spans="1:41" ht="14.25" x14ac:dyDescent="0.2">
      <c r="A3277" s="2">
        <v>5103040101</v>
      </c>
      <c r="B3277" s="3" t="s">
        <v>56</v>
      </c>
      <c r="C3277" s="9"/>
      <c r="D3277" s="9"/>
      <c r="E3277" s="9"/>
      <c r="F3277" s="9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9"/>
      <c r="AD3277" s="9"/>
      <c r="AE3277" s="9"/>
      <c r="AF3277" s="9"/>
      <c r="AG3277" s="9"/>
      <c r="AH3277" s="9"/>
      <c r="AI3277" s="9"/>
      <c r="AJ3277" s="9"/>
      <c r="AK3277" s="9"/>
      <c r="AL3277" s="9"/>
      <c r="AM3277" s="9"/>
      <c r="AN3277" s="9"/>
      <c r="AO3277" s="9"/>
    </row>
    <row r="3278" spans="1:41" ht="14.25" x14ac:dyDescent="0.2">
      <c r="A3278" s="2">
        <v>5103040109</v>
      </c>
      <c r="B3278" s="3" t="s">
        <v>60</v>
      </c>
      <c r="C3278" s="9"/>
      <c r="D3278" s="9"/>
      <c r="E3278" s="9"/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  <c r="AE3278" s="9"/>
      <c r="AF3278" s="9"/>
      <c r="AG3278" s="9"/>
      <c r="AH3278" s="9"/>
      <c r="AI3278" s="9"/>
      <c r="AJ3278" s="9"/>
      <c r="AK3278" s="9"/>
      <c r="AL3278" s="9"/>
      <c r="AM3278" s="9"/>
      <c r="AN3278" s="9"/>
      <c r="AO3278" s="9"/>
    </row>
    <row r="3279" spans="1:41" ht="14.25" x14ac:dyDescent="0.2">
      <c r="A3279" s="2">
        <v>51030402</v>
      </c>
      <c r="B3279" s="3" t="s">
        <v>61</v>
      </c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  <c r="AE3279" s="9"/>
      <c r="AF3279" s="9"/>
      <c r="AG3279" s="9"/>
      <c r="AH3279" s="9"/>
      <c r="AI3279" s="9"/>
      <c r="AJ3279" s="9"/>
      <c r="AK3279" s="9"/>
      <c r="AL3279" s="9"/>
      <c r="AM3279" s="9"/>
      <c r="AN3279" s="9"/>
      <c r="AO3279" s="9"/>
    </row>
    <row r="3280" spans="1:41" ht="14.25" x14ac:dyDescent="0.2">
      <c r="A3280" s="2">
        <v>51030403</v>
      </c>
      <c r="B3280" s="3" t="s">
        <v>62</v>
      </c>
      <c r="C3280" s="9"/>
      <c r="D3280" s="9"/>
      <c r="E3280" s="9"/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  <c r="AE3280" s="9"/>
      <c r="AF3280" s="9"/>
      <c r="AG3280" s="9"/>
      <c r="AH3280" s="9"/>
      <c r="AI3280" s="9"/>
      <c r="AJ3280" s="9"/>
      <c r="AK3280" s="9"/>
      <c r="AL3280" s="9"/>
      <c r="AM3280" s="9"/>
      <c r="AN3280" s="9"/>
      <c r="AO3280" s="9"/>
    </row>
    <row r="3281" spans="1:41" ht="14.25" x14ac:dyDescent="0.2">
      <c r="A3281" s="2">
        <v>51030405</v>
      </c>
      <c r="B3281" s="3" t="s">
        <v>39</v>
      </c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9"/>
      <c r="AD3281" s="9"/>
      <c r="AE3281" s="9"/>
      <c r="AF3281" s="9"/>
      <c r="AG3281" s="9"/>
      <c r="AH3281" s="9"/>
      <c r="AI3281" s="9"/>
      <c r="AJ3281" s="9"/>
      <c r="AK3281" s="9"/>
      <c r="AL3281" s="9"/>
      <c r="AM3281" s="9"/>
      <c r="AN3281" s="9"/>
      <c r="AO3281" s="9"/>
    </row>
    <row r="3282" spans="1:41" ht="14.25" x14ac:dyDescent="0.2">
      <c r="A3282" s="2">
        <v>5103040503</v>
      </c>
      <c r="B3282" s="3" t="s">
        <v>81</v>
      </c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  <c r="AF3282" s="9"/>
      <c r="AG3282" s="9"/>
      <c r="AH3282" s="9"/>
      <c r="AI3282" s="9"/>
      <c r="AJ3282" s="9"/>
      <c r="AK3282" s="9"/>
      <c r="AL3282" s="9"/>
      <c r="AM3282" s="9"/>
      <c r="AN3282" s="9"/>
      <c r="AO3282" s="9"/>
    </row>
    <row r="3283" spans="1:41" ht="14.25" x14ac:dyDescent="0.2">
      <c r="A3283" s="2">
        <v>5103040505</v>
      </c>
      <c r="B3283" s="3" t="s">
        <v>66</v>
      </c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  <c r="AE3283" s="9"/>
      <c r="AF3283" s="9"/>
      <c r="AG3283" s="9"/>
      <c r="AH3283" s="9"/>
      <c r="AI3283" s="9"/>
      <c r="AJ3283" s="9"/>
      <c r="AK3283" s="9"/>
      <c r="AL3283" s="9"/>
      <c r="AM3283" s="9"/>
      <c r="AN3283" s="9"/>
      <c r="AO3283" s="9"/>
    </row>
    <row r="3284" spans="1:41" ht="14.25" x14ac:dyDescent="0.2">
      <c r="A3284" s="2">
        <v>5103040506</v>
      </c>
      <c r="B3284" s="3" t="s">
        <v>67</v>
      </c>
      <c r="C3284" s="9"/>
      <c r="D3284" s="9"/>
      <c r="E3284" s="9"/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  <c r="AE3284" s="9"/>
      <c r="AF3284" s="9"/>
      <c r="AG3284" s="9"/>
      <c r="AH3284" s="9"/>
      <c r="AI3284" s="9"/>
      <c r="AJ3284" s="9"/>
      <c r="AK3284" s="9"/>
      <c r="AL3284" s="9"/>
      <c r="AM3284" s="9"/>
      <c r="AN3284" s="9"/>
      <c r="AO3284" s="9"/>
    </row>
    <row r="3285" spans="1:41" ht="14.25" x14ac:dyDescent="0.2">
      <c r="A3285" s="2">
        <v>5103040507</v>
      </c>
      <c r="B3285" s="3" t="s">
        <v>68</v>
      </c>
      <c r="C3285" s="9"/>
      <c r="D3285" s="9"/>
      <c r="E3285" s="9"/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  <c r="AE3285" s="9"/>
      <c r="AF3285" s="9"/>
      <c r="AG3285" s="9"/>
      <c r="AH3285" s="9"/>
      <c r="AI3285" s="9"/>
      <c r="AJ3285" s="9"/>
      <c r="AK3285" s="9"/>
      <c r="AL3285" s="9"/>
      <c r="AM3285" s="9"/>
      <c r="AN3285" s="9"/>
      <c r="AO3285" s="9"/>
    </row>
    <row r="3286" spans="1:41" ht="14.25" x14ac:dyDescent="0.2">
      <c r="A3286" s="2">
        <v>5103040508</v>
      </c>
      <c r="B3286" s="3" t="s">
        <v>69</v>
      </c>
      <c r="C3286" s="9"/>
      <c r="D3286" s="9"/>
      <c r="E3286" s="9"/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9"/>
      <c r="AD3286" s="9"/>
      <c r="AE3286" s="9"/>
      <c r="AF3286" s="9"/>
      <c r="AG3286" s="9"/>
      <c r="AH3286" s="9"/>
      <c r="AI3286" s="9"/>
      <c r="AJ3286" s="9"/>
      <c r="AK3286" s="9"/>
      <c r="AL3286" s="9"/>
      <c r="AM3286" s="9"/>
      <c r="AN3286" s="9"/>
      <c r="AO3286" s="9"/>
    </row>
    <row r="3287" spans="1:41" ht="14.25" x14ac:dyDescent="0.2">
      <c r="A3287" s="2">
        <v>5103040509</v>
      </c>
      <c r="B3287" s="3" t="s">
        <v>70</v>
      </c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9"/>
      <c r="AE3287" s="9"/>
      <c r="AF3287" s="9"/>
      <c r="AG3287" s="9"/>
      <c r="AH3287" s="9"/>
      <c r="AI3287" s="9"/>
      <c r="AJ3287" s="9"/>
      <c r="AK3287" s="9"/>
      <c r="AL3287" s="9"/>
      <c r="AM3287" s="9"/>
      <c r="AN3287" s="9"/>
      <c r="AO3287" s="9"/>
    </row>
    <row r="3288" spans="1:41" ht="28.5" x14ac:dyDescent="0.2">
      <c r="A3288" s="2">
        <v>5103040510</v>
      </c>
      <c r="B3288" s="4" t="s">
        <v>71</v>
      </c>
      <c r="C3288" s="11"/>
      <c r="D3288" s="11"/>
      <c r="E3288" s="11"/>
      <c r="F3288" s="11"/>
      <c r="G3288" s="11"/>
      <c r="H3288" s="11"/>
      <c r="I3288" s="11"/>
      <c r="J3288" s="11"/>
      <c r="K3288" s="11"/>
      <c r="L3288" s="11"/>
      <c r="M3288" s="11"/>
      <c r="N3288" s="11"/>
      <c r="O3288" s="11"/>
      <c r="P3288" s="11"/>
      <c r="Q3288" s="11"/>
      <c r="R3288" s="11"/>
      <c r="S3288" s="11"/>
      <c r="T3288" s="11"/>
      <c r="U3288" s="11"/>
      <c r="V3288" s="11"/>
      <c r="W3288" s="11"/>
      <c r="X3288" s="11"/>
      <c r="Y3288" s="11"/>
      <c r="Z3288" s="11"/>
      <c r="AA3288" s="11"/>
      <c r="AB3288" s="11"/>
      <c r="AC3288" s="11"/>
      <c r="AD3288" s="11"/>
      <c r="AE3288" s="11"/>
      <c r="AF3288" s="11"/>
      <c r="AG3288" s="11"/>
      <c r="AH3288" s="11"/>
      <c r="AI3288" s="11"/>
      <c r="AJ3288" s="11"/>
      <c r="AK3288" s="11"/>
      <c r="AL3288" s="11"/>
      <c r="AM3288" s="11"/>
      <c r="AN3288" s="11"/>
      <c r="AO3288" s="11"/>
    </row>
    <row r="3289" spans="1:41" ht="14.25" x14ac:dyDescent="0.2">
      <c r="A3289" s="2">
        <v>5103040511</v>
      </c>
      <c r="B3289" s="3" t="s">
        <v>72</v>
      </c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9"/>
      <c r="AD3289" s="9"/>
      <c r="AE3289" s="9"/>
      <c r="AF3289" s="9"/>
      <c r="AG3289" s="9"/>
      <c r="AH3289" s="9"/>
      <c r="AI3289" s="9"/>
      <c r="AJ3289" s="9"/>
      <c r="AK3289" s="9"/>
      <c r="AL3289" s="9"/>
      <c r="AM3289" s="9"/>
      <c r="AN3289" s="9"/>
      <c r="AO3289" s="9"/>
    </row>
    <row r="3290" spans="1:41" ht="14.25" x14ac:dyDescent="0.2">
      <c r="A3290" s="2">
        <v>5103040519</v>
      </c>
      <c r="B3290" s="3" t="s">
        <v>41</v>
      </c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9"/>
      <c r="AC3290" s="9"/>
      <c r="AD3290" s="9"/>
      <c r="AE3290" s="9"/>
      <c r="AF3290" s="9"/>
      <c r="AG3290" s="9"/>
      <c r="AH3290" s="9"/>
      <c r="AI3290" s="9"/>
      <c r="AJ3290" s="9"/>
      <c r="AK3290" s="9"/>
      <c r="AL3290" s="9"/>
      <c r="AM3290" s="9"/>
      <c r="AN3290" s="9"/>
      <c r="AO3290" s="9"/>
    </row>
    <row r="3291" spans="1:41" ht="14.25" x14ac:dyDescent="0.2">
      <c r="A3291" s="2">
        <v>51030406</v>
      </c>
      <c r="B3291" s="3" t="s">
        <v>42</v>
      </c>
      <c r="C3291" s="9"/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9"/>
      <c r="AC3291" s="9"/>
      <c r="AD3291" s="9"/>
      <c r="AE3291" s="9"/>
      <c r="AF3291" s="9"/>
      <c r="AG3291" s="9"/>
      <c r="AH3291" s="9"/>
      <c r="AI3291" s="9"/>
      <c r="AJ3291" s="9"/>
      <c r="AK3291" s="9"/>
      <c r="AL3291" s="9"/>
      <c r="AM3291" s="9"/>
      <c r="AN3291" s="9"/>
      <c r="AO3291" s="9"/>
    </row>
    <row r="3292" spans="1:41" ht="14.25" x14ac:dyDescent="0.2">
      <c r="A3292" s="2">
        <v>5103040608</v>
      </c>
      <c r="B3292" s="3" t="s">
        <v>69</v>
      </c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  <c r="AF3292" s="9"/>
      <c r="AG3292" s="9"/>
      <c r="AH3292" s="9"/>
      <c r="AI3292" s="9"/>
      <c r="AJ3292" s="9"/>
      <c r="AK3292" s="9"/>
      <c r="AL3292" s="9"/>
      <c r="AM3292" s="9"/>
      <c r="AN3292" s="9"/>
      <c r="AO3292" s="9"/>
    </row>
    <row r="3293" spans="1:41" ht="14.25" x14ac:dyDescent="0.2">
      <c r="A3293" s="2">
        <v>5103040609</v>
      </c>
      <c r="B3293" s="3" t="s">
        <v>70</v>
      </c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9"/>
      <c r="AE3293" s="9"/>
      <c r="AF3293" s="9"/>
      <c r="AG3293" s="9"/>
      <c r="AH3293" s="9"/>
      <c r="AI3293" s="9"/>
      <c r="AJ3293" s="9"/>
      <c r="AK3293" s="9"/>
      <c r="AL3293" s="9"/>
      <c r="AM3293" s="9"/>
      <c r="AN3293" s="9"/>
      <c r="AO3293" s="9"/>
    </row>
    <row r="3294" spans="1:41" ht="28.5" x14ac:dyDescent="0.2">
      <c r="A3294" s="2">
        <v>5103040610</v>
      </c>
      <c r="B3294" s="4" t="s">
        <v>71</v>
      </c>
      <c r="C3294" s="11"/>
      <c r="D3294" s="11"/>
      <c r="E3294" s="11"/>
      <c r="F3294" s="11"/>
      <c r="G3294" s="11"/>
      <c r="H3294" s="11"/>
      <c r="I3294" s="11"/>
      <c r="J3294" s="11"/>
      <c r="K3294" s="11"/>
      <c r="L3294" s="11"/>
      <c r="M3294" s="11"/>
      <c r="N3294" s="11"/>
      <c r="O3294" s="11"/>
      <c r="P3294" s="11"/>
      <c r="Q3294" s="11"/>
      <c r="R3294" s="11"/>
      <c r="S3294" s="11"/>
      <c r="T3294" s="11"/>
      <c r="U3294" s="11"/>
      <c r="V3294" s="11"/>
      <c r="W3294" s="11"/>
      <c r="X3294" s="11"/>
      <c r="Y3294" s="11"/>
      <c r="Z3294" s="11"/>
      <c r="AA3294" s="11"/>
      <c r="AB3294" s="11"/>
      <c r="AC3294" s="11"/>
      <c r="AD3294" s="11"/>
      <c r="AE3294" s="11"/>
      <c r="AF3294" s="11"/>
      <c r="AG3294" s="11"/>
      <c r="AH3294" s="11"/>
      <c r="AI3294" s="11"/>
      <c r="AJ3294" s="11"/>
      <c r="AK3294" s="11"/>
      <c r="AL3294" s="11"/>
      <c r="AM3294" s="11"/>
      <c r="AN3294" s="11"/>
      <c r="AO3294" s="11"/>
    </row>
    <row r="3295" spans="1:41" ht="14.25" x14ac:dyDescent="0.2">
      <c r="A3295" s="2">
        <v>5103040611</v>
      </c>
      <c r="B3295" s="3" t="s">
        <v>72</v>
      </c>
      <c r="C3295" s="9"/>
      <c r="D3295" s="9"/>
      <c r="E3295" s="9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  <c r="AB3295" s="9"/>
      <c r="AC3295" s="9"/>
      <c r="AD3295" s="9"/>
      <c r="AE3295" s="9"/>
      <c r="AF3295" s="9"/>
      <c r="AG3295" s="9"/>
      <c r="AH3295" s="9"/>
      <c r="AI3295" s="9"/>
      <c r="AJ3295" s="9"/>
      <c r="AK3295" s="9"/>
      <c r="AL3295" s="9"/>
      <c r="AM3295" s="9"/>
      <c r="AN3295" s="9"/>
      <c r="AO3295" s="9"/>
    </row>
    <row r="3296" spans="1:41" ht="14.25" x14ac:dyDescent="0.2">
      <c r="A3296" s="2">
        <v>5103040619</v>
      </c>
      <c r="B3296" s="3" t="s">
        <v>41</v>
      </c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9"/>
      <c r="AC3296" s="9"/>
      <c r="AD3296" s="9"/>
      <c r="AE3296" s="9"/>
      <c r="AF3296" s="9"/>
      <c r="AG3296" s="9"/>
      <c r="AH3296" s="9"/>
      <c r="AI3296" s="9"/>
      <c r="AJ3296" s="9"/>
      <c r="AK3296" s="9"/>
      <c r="AL3296" s="9"/>
      <c r="AM3296" s="9"/>
      <c r="AN3296" s="9"/>
      <c r="AO3296" s="9"/>
    </row>
    <row r="3297" spans="1:41" ht="14.25" x14ac:dyDescent="0.2">
      <c r="A3297" s="2">
        <v>51030407</v>
      </c>
      <c r="B3297" s="3" t="s">
        <v>43</v>
      </c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9"/>
      <c r="AE3297" s="9"/>
      <c r="AF3297" s="9"/>
      <c r="AG3297" s="9"/>
      <c r="AH3297" s="9"/>
      <c r="AI3297" s="9"/>
      <c r="AJ3297" s="9"/>
      <c r="AK3297" s="9"/>
      <c r="AL3297" s="9"/>
      <c r="AM3297" s="9"/>
      <c r="AN3297" s="9"/>
      <c r="AO3297" s="9"/>
    </row>
    <row r="3298" spans="1:41" ht="14.25" x14ac:dyDescent="0.2">
      <c r="A3298" s="2">
        <v>5103040708</v>
      </c>
      <c r="B3298" s="3" t="s">
        <v>69</v>
      </c>
      <c r="C3298" s="9"/>
      <c r="D3298" s="9"/>
      <c r="E3298" s="9"/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9"/>
      <c r="AD3298" s="9"/>
      <c r="AE3298" s="9"/>
      <c r="AF3298" s="9"/>
      <c r="AG3298" s="9"/>
      <c r="AH3298" s="9"/>
      <c r="AI3298" s="9"/>
      <c r="AJ3298" s="9"/>
      <c r="AK3298" s="9"/>
      <c r="AL3298" s="9"/>
      <c r="AM3298" s="9"/>
      <c r="AN3298" s="9"/>
      <c r="AO3298" s="9"/>
    </row>
    <row r="3299" spans="1:41" ht="14.25" x14ac:dyDescent="0.2">
      <c r="A3299" s="2">
        <v>5103040709</v>
      </c>
      <c r="B3299" s="3" t="s">
        <v>70</v>
      </c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9"/>
      <c r="AD3299" s="9"/>
      <c r="AE3299" s="9"/>
      <c r="AF3299" s="9"/>
      <c r="AG3299" s="9"/>
      <c r="AH3299" s="9"/>
      <c r="AI3299" s="9"/>
      <c r="AJ3299" s="9"/>
      <c r="AK3299" s="9"/>
      <c r="AL3299" s="9"/>
      <c r="AM3299" s="9"/>
      <c r="AN3299" s="9"/>
      <c r="AO3299" s="9"/>
    </row>
    <row r="3300" spans="1:41" ht="28.5" x14ac:dyDescent="0.2">
      <c r="A3300" s="2">
        <v>5103040710</v>
      </c>
      <c r="B3300" s="4" t="s">
        <v>71</v>
      </c>
      <c r="C3300" s="11"/>
      <c r="D3300" s="11"/>
      <c r="E3300" s="11"/>
      <c r="F3300" s="11"/>
      <c r="G3300" s="11"/>
      <c r="H3300" s="11"/>
      <c r="I3300" s="11"/>
      <c r="J3300" s="11"/>
      <c r="K3300" s="11"/>
      <c r="L3300" s="11"/>
      <c r="M3300" s="11"/>
      <c r="N3300" s="11"/>
      <c r="O3300" s="11"/>
      <c r="P3300" s="11"/>
      <c r="Q3300" s="11"/>
      <c r="R3300" s="11"/>
      <c r="S3300" s="11"/>
      <c r="T3300" s="11"/>
      <c r="U3300" s="11"/>
      <c r="V3300" s="11"/>
      <c r="W3300" s="11"/>
      <c r="X3300" s="11"/>
      <c r="Y3300" s="11"/>
      <c r="Z3300" s="11"/>
      <c r="AA3300" s="11"/>
      <c r="AB3300" s="11"/>
      <c r="AC3300" s="11"/>
      <c r="AD3300" s="11"/>
      <c r="AE3300" s="11"/>
      <c r="AF3300" s="11"/>
      <c r="AG3300" s="11"/>
      <c r="AH3300" s="11"/>
      <c r="AI3300" s="11"/>
      <c r="AJ3300" s="11"/>
      <c r="AK3300" s="11"/>
      <c r="AL3300" s="11"/>
      <c r="AM3300" s="11"/>
      <c r="AN3300" s="11"/>
      <c r="AO3300" s="11"/>
    </row>
    <row r="3301" spans="1:41" ht="14.25" x14ac:dyDescent="0.2">
      <c r="A3301" s="2">
        <v>5103040711</v>
      </c>
      <c r="B3301" s="3" t="s">
        <v>72</v>
      </c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9"/>
      <c r="AD3301" s="9"/>
      <c r="AE3301" s="9"/>
      <c r="AF3301" s="9"/>
      <c r="AG3301" s="9"/>
      <c r="AH3301" s="9"/>
      <c r="AI3301" s="9"/>
      <c r="AJ3301" s="9"/>
      <c r="AK3301" s="9"/>
      <c r="AL3301" s="9"/>
      <c r="AM3301" s="9"/>
      <c r="AN3301" s="9"/>
      <c r="AO3301" s="9"/>
    </row>
    <row r="3302" spans="1:41" ht="14.25" x14ac:dyDescent="0.2">
      <c r="A3302" s="2">
        <v>5103040712</v>
      </c>
      <c r="B3302" s="3" t="s">
        <v>47</v>
      </c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9"/>
      <c r="AD3302" s="9"/>
      <c r="AE3302" s="9"/>
      <c r="AF3302" s="9"/>
      <c r="AG3302" s="9"/>
      <c r="AH3302" s="9"/>
      <c r="AI3302" s="9"/>
      <c r="AJ3302" s="9"/>
      <c r="AK3302" s="9"/>
      <c r="AL3302" s="9"/>
      <c r="AM3302" s="9"/>
      <c r="AN3302" s="9"/>
      <c r="AO3302" s="9"/>
    </row>
    <row r="3303" spans="1:41" ht="14.25" x14ac:dyDescent="0.2">
      <c r="A3303" s="2">
        <v>5103040714</v>
      </c>
      <c r="B3303" s="3" t="s">
        <v>73</v>
      </c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9"/>
      <c r="AD3303" s="9"/>
      <c r="AE3303" s="9"/>
      <c r="AF3303" s="9"/>
      <c r="AG3303" s="9"/>
      <c r="AH3303" s="9"/>
      <c r="AI3303" s="9"/>
      <c r="AJ3303" s="9"/>
      <c r="AK3303" s="9"/>
      <c r="AL3303" s="9"/>
      <c r="AM3303" s="9"/>
      <c r="AN3303" s="9"/>
      <c r="AO3303" s="9"/>
    </row>
    <row r="3304" spans="1:41" ht="14.25" x14ac:dyDescent="0.2">
      <c r="A3304" s="2">
        <v>5103040715</v>
      </c>
      <c r="B3304" s="3" t="s">
        <v>74</v>
      </c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  <c r="AB3304" s="9"/>
      <c r="AC3304" s="9"/>
      <c r="AD3304" s="9"/>
      <c r="AE3304" s="9"/>
      <c r="AF3304" s="9"/>
      <c r="AG3304" s="9"/>
      <c r="AH3304" s="9"/>
      <c r="AI3304" s="9"/>
      <c r="AJ3304" s="9"/>
      <c r="AK3304" s="9"/>
      <c r="AL3304" s="9"/>
      <c r="AM3304" s="9"/>
      <c r="AN3304" s="9"/>
      <c r="AO3304" s="9"/>
    </row>
    <row r="3305" spans="1:41" ht="14.25" x14ac:dyDescent="0.2">
      <c r="A3305" s="2">
        <v>5103040719</v>
      </c>
      <c r="B3305" s="3" t="s">
        <v>41</v>
      </c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  <c r="AB3305" s="9"/>
      <c r="AC3305" s="9"/>
      <c r="AD3305" s="9"/>
      <c r="AE3305" s="9"/>
      <c r="AF3305" s="9"/>
      <c r="AG3305" s="9"/>
      <c r="AH3305" s="9"/>
      <c r="AI3305" s="9"/>
      <c r="AJ3305" s="9"/>
      <c r="AK3305" s="9"/>
      <c r="AL3305" s="9"/>
      <c r="AM3305" s="9"/>
      <c r="AN3305" s="9"/>
      <c r="AO3305" s="9"/>
    </row>
    <row r="3306" spans="1:41" ht="28.5" x14ac:dyDescent="0.2">
      <c r="A3306" s="2">
        <v>51030410</v>
      </c>
      <c r="B3306" s="4" t="s">
        <v>48</v>
      </c>
      <c r="C3306" s="11"/>
      <c r="D3306" s="11"/>
      <c r="E3306" s="11"/>
      <c r="F3306" s="11"/>
      <c r="G3306" s="11"/>
      <c r="H3306" s="11"/>
      <c r="I3306" s="11"/>
      <c r="J3306" s="11"/>
      <c r="K3306" s="11"/>
      <c r="L3306" s="11"/>
      <c r="M3306" s="11"/>
      <c r="N3306" s="11"/>
      <c r="O3306" s="11"/>
      <c r="P3306" s="11"/>
      <c r="Q3306" s="11"/>
      <c r="R3306" s="11"/>
      <c r="S3306" s="11"/>
      <c r="T3306" s="11"/>
      <c r="U3306" s="11"/>
      <c r="V3306" s="11"/>
      <c r="W3306" s="11"/>
      <c r="X3306" s="11"/>
      <c r="Y3306" s="11"/>
      <c r="Z3306" s="11"/>
      <c r="AA3306" s="11"/>
      <c r="AB3306" s="11"/>
      <c r="AC3306" s="11"/>
      <c r="AD3306" s="11"/>
      <c r="AE3306" s="11"/>
      <c r="AF3306" s="11"/>
      <c r="AG3306" s="11"/>
      <c r="AH3306" s="11"/>
      <c r="AI3306" s="11"/>
      <c r="AJ3306" s="11"/>
      <c r="AK3306" s="11"/>
      <c r="AL3306" s="11"/>
      <c r="AM3306" s="11"/>
      <c r="AN3306" s="11"/>
      <c r="AO3306" s="11"/>
    </row>
    <row r="3307" spans="1:41" ht="14.25" x14ac:dyDescent="0.2">
      <c r="A3307" s="2">
        <v>5103041001</v>
      </c>
      <c r="B3307" s="3" t="s">
        <v>55</v>
      </c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9"/>
      <c r="AD3307" s="9"/>
      <c r="AE3307" s="9"/>
      <c r="AF3307" s="9"/>
      <c r="AG3307" s="9"/>
      <c r="AH3307" s="9"/>
      <c r="AI3307" s="9"/>
      <c r="AJ3307" s="9"/>
      <c r="AK3307" s="9"/>
      <c r="AL3307" s="9"/>
      <c r="AM3307" s="9"/>
      <c r="AN3307" s="9"/>
      <c r="AO3307" s="9"/>
    </row>
    <row r="3308" spans="1:41" ht="14.25" x14ac:dyDescent="0.2">
      <c r="A3308" s="2">
        <v>5103041002</v>
      </c>
      <c r="B3308" s="3" t="s">
        <v>61</v>
      </c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  <c r="AB3308" s="9"/>
      <c r="AC3308" s="9"/>
      <c r="AD3308" s="9"/>
      <c r="AE3308" s="9"/>
      <c r="AF3308" s="9"/>
      <c r="AG3308" s="9"/>
      <c r="AH3308" s="9"/>
      <c r="AI3308" s="9"/>
      <c r="AJ3308" s="9"/>
      <c r="AK3308" s="9"/>
      <c r="AL3308" s="9"/>
      <c r="AM3308" s="9"/>
      <c r="AN3308" s="9"/>
      <c r="AO3308" s="9"/>
    </row>
    <row r="3309" spans="1:41" ht="14.25" x14ac:dyDescent="0.2">
      <c r="A3309" s="2">
        <v>5103041003</v>
      </c>
      <c r="B3309" s="3" t="s">
        <v>62</v>
      </c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  <c r="AA3309" s="9"/>
      <c r="AB3309" s="9"/>
      <c r="AC3309" s="9"/>
      <c r="AD3309" s="9"/>
      <c r="AE3309" s="9"/>
      <c r="AF3309" s="9"/>
      <c r="AG3309" s="9"/>
      <c r="AH3309" s="9"/>
      <c r="AI3309" s="9"/>
      <c r="AJ3309" s="9"/>
      <c r="AK3309" s="9"/>
      <c r="AL3309" s="9"/>
      <c r="AM3309" s="9"/>
      <c r="AN3309" s="9"/>
      <c r="AO3309" s="9"/>
    </row>
    <row r="3310" spans="1:41" ht="14.25" x14ac:dyDescent="0.2">
      <c r="A3310" s="2">
        <v>5103041005</v>
      </c>
      <c r="B3310" s="3" t="s">
        <v>39</v>
      </c>
      <c r="C3310" s="9"/>
      <c r="D3310" s="9"/>
      <c r="E3310" s="9"/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  <c r="AB3310" s="9"/>
      <c r="AC3310" s="9"/>
      <c r="AD3310" s="9"/>
      <c r="AE3310" s="9"/>
      <c r="AF3310" s="9"/>
      <c r="AG3310" s="9"/>
      <c r="AH3310" s="9"/>
      <c r="AI3310" s="9"/>
      <c r="AJ3310" s="9"/>
      <c r="AK3310" s="9"/>
      <c r="AL3310" s="9"/>
      <c r="AM3310" s="9"/>
      <c r="AN3310" s="9"/>
      <c r="AO3310" s="9"/>
    </row>
    <row r="3311" spans="1:41" ht="14.25" x14ac:dyDescent="0.2">
      <c r="A3311" s="2">
        <v>5103041006</v>
      </c>
      <c r="B3311" s="3" t="s">
        <v>42</v>
      </c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9"/>
      <c r="AD3311" s="9"/>
      <c r="AE3311" s="9"/>
      <c r="AF3311" s="9"/>
      <c r="AG3311" s="9"/>
      <c r="AH3311" s="9"/>
      <c r="AI3311" s="9"/>
      <c r="AJ3311" s="9"/>
      <c r="AK3311" s="9"/>
      <c r="AL3311" s="9"/>
      <c r="AM3311" s="9"/>
      <c r="AN3311" s="9"/>
      <c r="AO3311" s="9"/>
    </row>
    <row r="3312" spans="1:41" ht="14.25" x14ac:dyDescent="0.2">
      <c r="A3312" s="2">
        <v>5103041007</v>
      </c>
      <c r="B3312" s="3" t="s">
        <v>43</v>
      </c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9"/>
      <c r="AD3312" s="9"/>
      <c r="AE3312" s="9"/>
      <c r="AF3312" s="9"/>
      <c r="AG3312" s="9"/>
      <c r="AH3312" s="9"/>
      <c r="AI3312" s="9"/>
      <c r="AJ3312" s="9"/>
      <c r="AK3312" s="9"/>
      <c r="AL3312" s="9"/>
      <c r="AM3312" s="9"/>
      <c r="AN3312" s="9"/>
      <c r="AO3312" s="9"/>
    </row>
    <row r="3313" spans="1:41" ht="28.5" x14ac:dyDescent="0.2">
      <c r="A3313" s="2">
        <v>51030411</v>
      </c>
      <c r="B3313" s="4" t="s">
        <v>50</v>
      </c>
      <c r="C3313" s="11"/>
      <c r="D3313" s="11"/>
      <c r="E3313" s="11"/>
      <c r="F3313" s="11"/>
      <c r="G3313" s="11"/>
      <c r="H3313" s="11"/>
      <c r="I3313" s="11"/>
      <c r="J3313" s="11"/>
      <c r="K3313" s="11"/>
      <c r="L3313" s="11"/>
      <c r="M3313" s="11"/>
      <c r="N3313" s="11"/>
      <c r="O3313" s="11"/>
      <c r="P3313" s="11"/>
      <c r="Q3313" s="11"/>
      <c r="R3313" s="11"/>
      <c r="S3313" s="11"/>
      <c r="T3313" s="11"/>
      <c r="U3313" s="11"/>
      <c r="V3313" s="11"/>
      <c r="W3313" s="11"/>
      <c r="X3313" s="11"/>
      <c r="Y3313" s="11"/>
      <c r="Z3313" s="11"/>
      <c r="AA3313" s="11"/>
      <c r="AB3313" s="11"/>
      <c r="AC3313" s="11"/>
      <c r="AD3313" s="11"/>
      <c r="AE3313" s="11"/>
      <c r="AF3313" s="11"/>
      <c r="AG3313" s="11"/>
      <c r="AH3313" s="11"/>
      <c r="AI3313" s="11"/>
      <c r="AJ3313" s="11"/>
      <c r="AK3313" s="11"/>
      <c r="AL3313" s="11"/>
      <c r="AM3313" s="11"/>
      <c r="AN3313" s="11"/>
      <c r="AO3313" s="11"/>
    </row>
    <row r="3314" spans="1:41" ht="14.25" x14ac:dyDescent="0.2">
      <c r="A3314" s="2">
        <v>5103041101</v>
      </c>
      <c r="B3314" s="3" t="s">
        <v>55</v>
      </c>
      <c r="C3314" s="9"/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  <c r="AB3314" s="9"/>
      <c r="AC3314" s="9"/>
      <c r="AD3314" s="9"/>
      <c r="AE3314" s="9"/>
      <c r="AF3314" s="9"/>
      <c r="AG3314" s="9"/>
      <c r="AH3314" s="9"/>
      <c r="AI3314" s="9"/>
      <c r="AJ3314" s="9"/>
      <c r="AK3314" s="9"/>
      <c r="AL3314" s="9"/>
      <c r="AM3314" s="9"/>
      <c r="AN3314" s="9"/>
      <c r="AO3314" s="9"/>
    </row>
    <row r="3315" spans="1:41" ht="14.25" x14ac:dyDescent="0.2">
      <c r="A3315" s="2">
        <v>5103041102</v>
      </c>
      <c r="B3315" s="3" t="s">
        <v>61</v>
      </c>
      <c r="C3315" s="9"/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9"/>
      <c r="AD3315" s="9"/>
      <c r="AE3315" s="9"/>
      <c r="AF3315" s="9"/>
      <c r="AG3315" s="9"/>
      <c r="AH3315" s="9"/>
      <c r="AI3315" s="9"/>
      <c r="AJ3315" s="9"/>
      <c r="AK3315" s="9"/>
      <c r="AL3315" s="9"/>
      <c r="AM3315" s="9"/>
      <c r="AN3315" s="9"/>
      <c r="AO3315" s="9"/>
    </row>
    <row r="3316" spans="1:41" ht="14.25" x14ac:dyDescent="0.2">
      <c r="A3316" s="2">
        <v>5103041103</v>
      </c>
      <c r="B3316" s="3" t="s">
        <v>62</v>
      </c>
      <c r="C3316" s="9"/>
      <c r="D3316" s="9"/>
      <c r="E3316" s="9"/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9"/>
      <c r="AD3316" s="9"/>
      <c r="AE3316" s="9"/>
      <c r="AF3316" s="9"/>
      <c r="AG3316" s="9"/>
      <c r="AH3316" s="9"/>
      <c r="AI3316" s="9"/>
      <c r="AJ3316" s="9"/>
      <c r="AK3316" s="9"/>
      <c r="AL3316" s="9"/>
      <c r="AM3316" s="9"/>
      <c r="AN3316" s="9"/>
      <c r="AO3316" s="9"/>
    </row>
    <row r="3317" spans="1:41" ht="14.25" x14ac:dyDescent="0.2">
      <c r="A3317" s="2">
        <v>5103041105</v>
      </c>
      <c r="B3317" s="3" t="s">
        <v>39</v>
      </c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  <c r="AB3317" s="9"/>
      <c r="AC3317" s="9"/>
      <c r="AD3317" s="9"/>
      <c r="AE3317" s="9"/>
      <c r="AF3317" s="9"/>
      <c r="AG3317" s="9"/>
      <c r="AH3317" s="9"/>
      <c r="AI3317" s="9"/>
      <c r="AJ3317" s="9"/>
      <c r="AK3317" s="9"/>
      <c r="AL3317" s="9"/>
      <c r="AM3317" s="9"/>
      <c r="AN3317" s="9"/>
      <c r="AO3317" s="9"/>
    </row>
    <row r="3318" spans="1:41" ht="14.25" x14ac:dyDescent="0.2">
      <c r="A3318" s="2">
        <v>5103041106</v>
      </c>
      <c r="B3318" s="3" t="s">
        <v>42</v>
      </c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  <c r="AA3318" s="9"/>
      <c r="AB3318" s="9"/>
      <c r="AC3318" s="9"/>
      <c r="AD3318" s="9"/>
      <c r="AE3318" s="9"/>
      <c r="AF3318" s="9"/>
      <c r="AG3318" s="9"/>
      <c r="AH3318" s="9"/>
      <c r="AI3318" s="9"/>
      <c r="AJ3318" s="9"/>
      <c r="AK3318" s="9"/>
      <c r="AL3318" s="9"/>
      <c r="AM3318" s="9"/>
      <c r="AN3318" s="9"/>
      <c r="AO3318" s="9"/>
    </row>
    <row r="3319" spans="1:41" ht="14.25" x14ac:dyDescent="0.2">
      <c r="A3319" s="2">
        <v>5103041107</v>
      </c>
      <c r="B3319" s="3" t="s">
        <v>43</v>
      </c>
      <c r="C3319" s="9"/>
      <c r="D3319" s="9"/>
      <c r="E3319" s="9"/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  <c r="AA3319" s="9"/>
      <c r="AB3319" s="9"/>
      <c r="AC3319" s="9"/>
      <c r="AD3319" s="9"/>
      <c r="AE3319" s="9"/>
      <c r="AF3319" s="9"/>
      <c r="AG3319" s="9"/>
      <c r="AH3319" s="9"/>
      <c r="AI3319" s="9"/>
      <c r="AJ3319" s="9"/>
      <c r="AK3319" s="9"/>
      <c r="AL3319" s="9"/>
      <c r="AM3319" s="9"/>
      <c r="AN3319" s="9"/>
      <c r="AO3319" s="9"/>
    </row>
    <row r="3320" spans="1:41" ht="28.5" x14ac:dyDescent="0.2">
      <c r="A3320" s="2">
        <v>51030412</v>
      </c>
      <c r="B3320" s="4" t="s">
        <v>51</v>
      </c>
      <c r="C3320" s="11"/>
      <c r="D3320" s="11"/>
      <c r="E3320" s="11"/>
      <c r="F3320" s="11"/>
      <c r="G3320" s="11"/>
      <c r="H3320" s="11"/>
      <c r="I3320" s="11"/>
      <c r="J3320" s="11"/>
      <c r="K3320" s="11"/>
      <c r="L3320" s="11"/>
      <c r="M3320" s="11"/>
      <c r="N3320" s="11"/>
      <c r="O3320" s="11"/>
      <c r="P3320" s="11"/>
      <c r="Q3320" s="11"/>
      <c r="R3320" s="11"/>
      <c r="S3320" s="11"/>
      <c r="T3320" s="11"/>
      <c r="U3320" s="11"/>
      <c r="V3320" s="11"/>
      <c r="W3320" s="11"/>
      <c r="X3320" s="11"/>
      <c r="Y3320" s="11"/>
      <c r="Z3320" s="11"/>
      <c r="AA3320" s="11"/>
      <c r="AB3320" s="11"/>
      <c r="AC3320" s="11"/>
      <c r="AD3320" s="11"/>
      <c r="AE3320" s="11"/>
      <c r="AF3320" s="11"/>
      <c r="AG3320" s="11"/>
      <c r="AH3320" s="11"/>
      <c r="AI3320" s="11"/>
      <c r="AJ3320" s="11"/>
      <c r="AK3320" s="11"/>
      <c r="AL3320" s="11"/>
      <c r="AM3320" s="11"/>
      <c r="AN3320" s="11"/>
      <c r="AO3320" s="11"/>
    </row>
    <row r="3321" spans="1:41" ht="14.25" x14ac:dyDescent="0.2">
      <c r="A3321" s="2">
        <v>5103041201</v>
      </c>
      <c r="B3321" s="3" t="s">
        <v>55</v>
      </c>
      <c r="C3321" s="9"/>
      <c r="D3321" s="9"/>
      <c r="E3321" s="9"/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9"/>
      <c r="AD3321" s="9"/>
      <c r="AE3321" s="9"/>
      <c r="AF3321" s="9"/>
      <c r="AG3321" s="9"/>
      <c r="AH3321" s="9"/>
      <c r="AI3321" s="9"/>
      <c r="AJ3321" s="9"/>
      <c r="AK3321" s="9"/>
      <c r="AL3321" s="9"/>
      <c r="AM3321" s="9"/>
      <c r="AN3321" s="9"/>
      <c r="AO3321" s="9"/>
    </row>
    <row r="3322" spans="1:41" ht="14.25" x14ac:dyDescent="0.2">
      <c r="A3322" s="2">
        <v>5103041202</v>
      </c>
      <c r="B3322" s="3" t="s">
        <v>61</v>
      </c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  <c r="AB3322" s="9"/>
      <c r="AC3322" s="9"/>
      <c r="AD3322" s="9"/>
      <c r="AE3322" s="9"/>
      <c r="AF3322" s="9"/>
      <c r="AG3322" s="9"/>
      <c r="AH3322" s="9"/>
      <c r="AI3322" s="9"/>
      <c r="AJ3322" s="9"/>
      <c r="AK3322" s="9"/>
      <c r="AL3322" s="9"/>
      <c r="AM3322" s="9"/>
      <c r="AN3322" s="9"/>
      <c r="AO3322" s="9"/>
    </row>
    <row r="3323" spans="1:41" ht="14.25" x14ac:dyDescent="0.2">
      <c r="A3323" s="2">
        <v>5103041203</v>
      </c>
      <c r="B3323" s="3" t="s">
        <v>62</v>
      </c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  <c r="AA3323" s="9"/>
      <c r="AB3323" s="9"/>
      <c r="AC3323" s="9"/>
      <c r="AD3323" s="9"/>
      <c r="AE3323" s="9"/>
      <c r="AF3323" s="9"/>
      <c r="AG3323" s="9"/>
      <c r="AH3323" s="9"/>
      <c r="AI3323" s="9"/>
      <c r="AJ3323" s="9"/>
      <c r="AK3323" s="9"/>
      <c r="AL3323" s="9"/>
      <c r="AM3323" s="9"/>
      <c r="AN3323" s="9"/>
      <c r="AO3323" s="9"/>
    </row>
    <row r="3324" spans="1:41" ht="14.25" x14ac:dyDescent="0.2">
      <c r="A3324" s="2">
        <v>5103041205</v>
      </c>
      <c r="B3324" s="3" t="s">
        <v>39</v>
      </c>
      <c r="C3324" s="9"/>
      <c r="D3324" s="9"/>
      <c r="E3324" s="9"/>
      <c r="F3324" s="9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  <c r="AB3324" s="9"/>
      <c r="AC3324" s="9"/>
      <c r="AD3324" s="9"/>
      <c r="AE3324" s="9"/>
      <c r="AF3324" s="9"/>
      <c r="AG3324" s="9"/>
      <c r="AH3324" s="9"/>
      <c r="AI3324" s="9"/>
      <c r="AJ3324" s="9"/>
      <c r="AK3324" s="9"/>
      <c r="AL3324" s="9"/>
      <c r="AM3324" s="9"/>
      <c r="AN3324" s="9"/>
      <c r="AO3324" s="9"/>
    </row>
    <row r="3325" spans="1:41" ht="14.25" x14ac:dyDescent="0.2">
      <c r="A3325" s="2">
        <v>5103041206</v>
      </c>
      <c r="B3325" s="3" t="s">
        <v>42</v>
      </c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9"/>
      <c r="AD3325" s="9"/>
      <c r="AE3325" s="9"/>
      <c r="AF3325" s="9"/>
      <c r="AG3325" s="9"/>
      <c r="AH3325" s="9"/>
      <c r="AI3325" s="9"/>
      <c r="AJ3325" s="9"/>
      <c r="AK3325" s="9"/>
      <c r="AL3325" s="9"/>
      <c r="AM3325" s="9"/>
      <c r="AN3325" s="9"/>
      <c r="AO3325" s="9"/>
    </row>
    <row r="3326" spans="1:41" ht="14.25" x14ac:dyDescent="0.2">
      <c r="A3326" s="2">
        <v>5103041207</v>
      </c>
      <c r="B3326" s="3" t="s">
        <v>43</v>
      </c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/>
      <c r="AC3326" s="9"/>
      <c r="AD3326" s="9"/>
      <c r="AE3326" s="9"/>
      <c r="AF3326" s="9"/>
      <c r="AG3326" s="9"/>
      <c r="AH3326" s="9"/>
      <c r="AI3326" s="9"/>
      <c r="AJ3326" s="9"/>
      <c r="AK3326" s="9"/>
      <c r="AL3326" s="9"/>
      <c r="AM3326" s="9"/>
      <c r="AN3326" s="9"/>
      <c r="AO3326" s="9"/>
    </row>
    <row r="3327" spans="1:41" ht="14.25" x14ac:dyDescent="0.2">
      <c r="A3327" s="2">
        <v>51030418</v>
      </c>
      <c r="B3327" s="3" t="s">
        <v>78</v>
      </c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9"/>
      <c r="AB3327" s="9"/>
      <c r="AC3327" s="9"/>
      <c r="AD3327" s="9"/>
      <c r="AE3327" s="9"/>
      <c r="AF3327" s="9"/>
      <c r="AG3327" s="9"/>
      <c r="AH3327" s="9"/>
      <c r="AI3327" s="9"/>
      <c r="AJ3327" s="9"/>
      <c r="AK3327" s="9"/>
      <c r="AL3327" s="9"/>
      <c r="AM3327" s="9"/>
      <c r="AN3327" s="9"/>
      <c r="AO3327" s="9"/>
    </row>
    <row r="3328" spans="1:41" ht="14.25" x14ac:dyDescent="0.2">
      <c r="A3328" s="2">
        <v>5103041801</v>
      </c>
      <c r="B3328" s="3" t="s">
        <v>55</v>
      </c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  <c r="AB3328" s="9"/>
      <c r="AC3328" s="9"/>
      <c r="AD3328" s="9"/>
      <c r="AE3328" s="9"/>
      <c r="AF3328" s="9"/>
      <c r="AG3328" s="9"/>
      <c r="AH3328" s="9"/>
      <c r="AI3328" s="9"/>
      <c r="AJ3328" s="9"/>
      <c r="AK3328" s="9"/>
      <c r="AL3328" s="9"/>
      <c r="AM3328" s="9"/>
      <c r="AN3328" s="9"/>
      <c r="AO3328" s="9"/>
    </row>
    <row r="3329" spans="1:41" ht="14.25" x14ac:dyDescent="0.2">
      <c r="A3329" s="2">
        <v>5103041802</v>
      </c>
      <c r="B3329" s="3" t="s">
        <v>61</v>
      </c>
      <c r="C3329" s="9"/>
      <c r="D3329" s="9"/>
      <c r="E3329" s="9"/>
      <c r="F3329" s="9"/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9"/>
      <c r="AC3329" s="9"/>
      <c r="AD3329" s="9"/>
      <c r="AE3329" s="9"/>
      <c r="AF3329" s="9"/>
      <c r="AG3329" s="9"/>
      <c r="AH3329" s="9"/>
      <c r="AI3329" s="9"/>
      <c r="AJ3329" s="9"/>
      <c r="AK3329" s="9"/>
      <c r="AL3329" s="9"/>
      <c r="AM3329" s="9"/>
      <c r="AN3329" s="9"/>
      <c r="AO3329" s="9"/>
    </row>
    <row r="3330" spans="1:41" ht="14.25" x14ac:dyDescent="0.2">
      <c r="A3330" s="2">
        <v>5103041803</v>
      </c>
      <c r="B3330" s="3" t="s">
        <v>62</v>
      </c>
      <c r="C3330" s="9"/>
      <c r="D3330" s="9"/>
      <c r="E3330" s="9"/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9"/>
      <c r="AD3330" s="9"/>
      <c r="AE3330" s="9"/>
      <c r="AF3330" s="9"/>
      <c r="AG3330" s="9"/>
      <c r="AH3330" s="9"/>
      <c r="AI3330" s="9"/>
      <c r="AJ3330" s="9"/>
      <c r="AK3330" s="9"/>
      <c r="AL3330" s="9"/>
      <c r="AM3330" s="9"/>
      <c r="AN3330" s="9"/>
      <c r="AO3330" s="9"/>
    </row>
    <row r="3331" spans="1:41" ht="14.25" x14ac:dyDescent="0.2">
      <c r="A3331" s="2">
        <v>5103041805</v>
      </c>
      <c r="B3331" s="3" t="s">
        <v>39</v>
      </c>
      <c r="C3331" s="9"/>
      <c r="D3331" s="9"/>
      <c r="E3331" s="9"/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  <c r="AB3331" s="9"/>
      <c r="AC3331" s="9"/>
      <c r="AD3331" s="9"/>
      <c r="AE3331" s="9"/>
      <c r="AF3331" s="9"/>
      <c r="AG3331" s="9"/>
      <c r="AH3331" s="9"/>
      <c r="AI3331" s="9"/>
      <c r="AJ3331" s="9"/>
      <c r="AK3331" s="9"/>
      <c r="AL3331" s="9"/>
      <c r="AM3331" s="9"/>
      <c r="AN3331" s="9"/>
      <c r="AO3331" s="9"/>
    </row>
    <row r="3332" spans="1:41" ht="14.25" x14ac:dyDescent="0.2">
      <c r="A3332" s="2">
        <v>5103041806</v>
      </c>
      <c r="B3332" s="3" t="s">
        <v>42</v>
      </c>
      <c r="C3332" s="9"/>
      <c r="D3332" s="9"/>
      <c r="E3332" s="9"/>
      <c r="F3332" s="9"/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9"/>
      <c r="AB3332" s="9"/>
      <c r="AC3332" s="9"/>
      <c r="AD3332" s="9"/>
      <c r="AE3332" s="9"/>
      <c r="AF3332" s="9"/>
      <c r="AG3332" s="9"/>
      <c r="AH3332" s="9"/>
      <c r="AI3332" s="9"/>
      <c r="AJ3332" s="9"/>
      <c r="AK3332" s="9"/>
      <c r="AL3332" s="9"/>
      <c r="AM3332" s="9"/>
      <c r="AN3332" s="9"/>
      <c r="AO3332" s="9"/>
    </row>
    <row r="3333" spans="1:41" ht="14.25" x14ac:dyDescent="0.2">
      <c r="A3333" s="2">
        <v>5103041807</v>
      </c>
      <c r="B3333" s="3" t="s">
        <v>43</v>
      </c>
      <c r="C3333" s="9"/>
      <c r="D3333" s="9"/>
      <c r="E3333" s="9"/>
      <c r="F3333" s="9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  <c r="AB3333" s="9"/>
      <c r="AC3333" s="9"/>
      <c r="AD3333" s="9"/>
      <c r="AE3333" s="9"/>
      <c r="AF3333" s="9"/>
      <c r="AG3333" s="9"/>
      <c r="AH3333" s="9"/>
      <c r="AI3333" s="9"/>
      <c r="AJ3333" s="9"/>
      <c r="AK3333" s="9"/>
      <c r="AL3333" s="9"/>
      <c r="AM3333" s="9"/>
      <c r="AN3333" s="9"/>
      <c r="AO3333" s="9"/>
    </row>
    <row r="3334" spans="1:41" ht="14.25" x14ac:dyDescent="0.2">
      <c r="A3334" s="2">
        <v>51030419</v>
      </c>
      <c r="B3334" s="3" t="s">
        <v>59</v>
      </c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  <c r="AB3334" s="9"/>
      <c r="AC3334" s="9"/>
      <c r="AD3334" s="9"/>
      <c r="AE3334" s="9"/>
      <c r="AF3334" s="9"/>
      <c r="AG3334" s="9"/>
      <c r="AH3334" s="9"/>
      <c r="AI3334" s="9"/>
      <c r="AJ3334" s="9"/>
      <c r="AK3334" s="9"/>
      <c r="AL3334" s="9"/>
      <c r="AM3334" s="9"/>
      <c r="AN3334" s="9"/>
      <c r="AO3334" s="9"/>
    </row>
    <row r="3335" spans="1:41" ht="14.25" x14ac:dyDescent="0.2">
      <c r="A3335" s="2">
        <v>510305</v>
      </c>
      <c r="B3335" s="3" t="s">
        <v>91</v>
      </c>
      <c r="C3335" s="9"/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  <c r="AB3335" s="9"/>
      <c r="AC3335" s="9"/>
      <c r="AD3335" s="9"/>
      <c r="AE3335" s="9"/>
      <c r="AF3335" s="9"/>
      <c r="AG3335" s="9"/>
      <c r="AH3335" s="9"/>
      <c r="AI3335" s="9"/>
      <c r="AJ3335" s="9"/>
      <c r="AK3335" s="9"/>
      <c r="AL3335" s="9"/>
      <c r="AM3335" s="9"/>
      <c r="AN3335" s="9"/>
      <c r="AO3335" s="9"/>
    </row>
    <row r="3336" spans="1:41" ht="14.25" x14ac:dyDescent="0.2">
      <c r="A3336" s="2">
        <v>51030501</v>
      </c>
      <c r="B3336" s="3" t="s">
        <v>55</v>
      </c>
      <c r="C3336" s="9"/>
      <c r="D3336" s="9"/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9"/>
      <c r="AB3336" s="9"/>
      <c r="AC3336" s="9"/>
      <c r="AD3336" s="9"/>
      <c r="AE3336" s="9"/>
      <c r="AF3336" s="9"/>
      <c r="AG3336" s="9"/>
      <c r="AH3336" s="9"/>
      <c r="AI3336" s="9"/>
      <c r="AJ3336" s="9"/>
      <c r="AK3336" s="9"/>
      <c r="AL3336" s="9"/>
      <c r="AM3336" s="9"/>
      <c r="AN3336" s="9"/>
      <c r="AO3336" s="9"/>
    </row>
    <row r="3337" spans="1:41" ht="14.25" x14ac:dyDescent="0.2">
      <c r="A3337" s="2">
        <v>5103050101</v>
      </c>
      <c r="B3337" s="3" t="s">
        <v>56</v>
      </c>
      <c r="C3337" s="9"/>
      <c r="D3337" s="9"/>
      <c r="E3337" s="9"/>
      <c r="F3337" s="9"/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  <c r="AA3337" s="9"/>
      <c r="AB3337" s="9"/>
      <c r="AC3337" s="9"/>
      <c r="AD3337" s="9"/>
      <c r="AE3337" s="9"/>
      <c r="AF3337" s="9"/>
      <c r="AG3337" s="9"/>
      <c r="AH3337" s="9"/>
      <c r="AI3337" s="9"/>
      <c r="AJ3337" s="9"/>
      <c r="AK3337" s="9"/>
      <c r="AL3337" s="9"/>
      <c r="AM3337" s="9"/>
      <c r="AN3337" s="9"/>
      <c r="AO3337" s="9"/>
    </row>
    <row r="3338" spans="1:41" ht="14.25" x14ac:dyDescent="0.2">
      <c r="A3338" s="2">
        <v>5103050109</v>
      </c>
      <c r="B3338" s="3" t="s">
        <v>60</v>
      </c>
      <c r="C3338" s="9"/>
      <c r="D3338" s="9"/>
      <c r="E3338" s="9"/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  <c r="AA3338" s="9"/>
      <c r="AB3338" s="9"/>
      <c r="AC3338" s="9"/>
      <c r="AD3338" s="9"/>
      <c r="AE3338" s="9"/>
      <c r="AF3338" s="9"/>
      <c r="AG3338" s="9"/>
      <c r="AH3338" s="9"/>
      <c r="AI3338" s="9"/>
      <c r="AJ3338" s="9"/>
      <c r="AK3338" s="9"/>
      <c r="AL3338" s="9"/>
      <c r="AM3338" s="9"/>
      <c r="AN3338" s="9"/>
      <c r="AO3338" s="9"/>
    </row>
    <row r="3339" spans="1:41" ht="14.25" x14ac:dyDescent="0.2">
      <c r="A3339" s="2">
        <v>51030502</v>
      </c>
      <c r="B3339" s="3" t="s">
        <v>61</v>
      </c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9"/>
      <c r="AB3339" s="9"/>
      <c r="AC3339" s="9"/>
      <c r="AD3339" s="9"/>
      <c r="AE3339" s="9"/>
      <c r="AF3339" s="9"/>
      <c r="AG3339" s="9"/>
      <c r="AH3339" s="9"/>
      <c r="AI3339" s="9"/>
      <c r="AJ3339" s="9"/>
      <c r="AK3339" s="9"/>
      <c r="AL3339" s="9"/>
      <c r="AM3339" s="9"/>
      <c r="AN3339" s="9"/>
      <c r="AO3339" s="9"/>
    </row>
    <row r="3340" spans="1:41" ht="14.25" x14ac:dyDescent="0.2">
      <c r="A3340" s="2">
        <v>51030503</v>
      </c>
      <c r="B3340" s="3" t="s">
        <v>62</v>
      </c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  <c r="AB3340" s="9"/>
      <c r="AC3340" s="9"/>
      <c r="AD3340" s="9"/>
      <c r="AE3340" s="9"/>
      <c r="AF3340" s="9"/>
      <c r="AG3340" s="9"/>
      <c r="AH3340" s="9"/>
      <c r="AI3340" s="9"/>
      <c r="AJ3340" s="9"/>
      <c r="AK3340" s="9"/>
      <c r="AL3340" s="9"/>
      <c r="AM3340" s="9"/>
      <c r="AN3340" s="9"/>
      <c r="AO3340" s="9"/>
    </row>
    <row r="3341" spans="1:41" ht="14.25" x14ac:dyDescent="0.2">
      <c r="A3341" s="2">
        <v>51030505</v>
      </c>
      <c r="B3341" s="3" t="s">
        <v>39</v>
      </c>
      <c r="C3341" s="9"/>
      <c r="D3341" s="9"/>
      <c r="E3341" s="9"/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9"/>
      <c r="AB3341" s="9"/>
      <c r="AC3341" s="9"/>
      <c r="AD3341" s="9"/>
      <c r="AE3341" s="9"/>
      <c r="AF3341" s="9"/>
      <c r="AG3341" s="9"/>
      <c r="AH3341" s="9"/>
      <c r="AI3341" s="9"/>
      <c r="AJ3341" s="9"/>
      <c r="AK3341" s="9"/>
      <c r="AL3341" s="9"/>
      <c r="AM3341" s="9"/>
      <c r="AN3341" s="9"/>
      <c r="AO3341" s="9"/>
    </row>
    <row r="3342" spans="1:41" ht="14.25" x14ac:dyDescent="0.2">
      <c r="A3342" s="2">
        <v>5103050503</v>
      </c>
      <c r="B3342" s="3" t="s">
        <v>83</v>
      </c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  <c r="AA3342" s="9"/>
      <c r="AB3342" s="9"/>
      <c r="AC3342" s="9"/>
      <c r="AD3342" s="9"/>
      <c r="AE3342" s="9"/>
      <c r="AF3342" s="9"/>
      <c r="AG3342" s="9"/>
      <c r="AH3342" s="9"/>
      <c r="AI3342" s="9"/>
      <c r="AJ3342" s="9"/>
      <c r="AK3342" s="9"/>
      <c r="AL3342" s="9"/>
      <c r="AM3342" s="9"/>
      <c r="AN3342" s="9"/>
      <c r="AO3342" s="9"/>
    </row>
    <row r="3343" spans="1:41" ht="14.25" x14ac:dyDescent="0.2">
      <c r="A3343" s="2">
        <v>5103050505</v>
      </c>
      <c r="B3343" s="3" t="s">
        <v>66</v>
      </c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  <c r="AA3343" s="9"/>
      <c r="AB3343" s="9"/>
      <c r="AC3343" s="9"/>
      <c r="AD3343" s="9"/>
      <c r="AE3343" s="9"/>
      <c r="AF3343" s="9"/>
      <c r="AG3343" s="9"/>
      <c r="AH3343" s="9"/>
      <c r="AI3343" s="9"/>
      <c r="AJ3343" s="9"/>
      <c r="AK3343" s="9"/>
      <c r="AL3343" s="9"/>
      <c r="AM3343" s="9"/>
      <c r="AN3343" s="9"/>
      <c r="AO3343" s="9"/>
    </row>
    <row r="3344" spans="1:41" ht="14.25" x14ac:dyDescent="0.2">
      <c r="A3344" s="2">
        <v>5103050506</v>
      </c>
      <c r="B3344" s="3" t="s">
        <v>67</v>
      </c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  <c r="AA3344" s="9"/>
      <c r="AB3344" s="9"/>
      <c r="AC3344" s="9"/>
      <c r="AD3344" s="9"/>
      <c r="AE3344" s="9"/>
      <c r="AF3344" s="9"/>
      <c r="AG3344" s="9"/>
      <c r="AH3344" s="9"/>
      <c r="AI3344" s="9"/>
      <c r="AJ3344" s="9"/>
      <c r="AK3344" s="9"/>
      <c r="AL3344" s="9"/>
      <c r="AM3344" s="9"/>
      <c r="AN3344" s="9"/>
      <c r="AO3344" s="9"/>
    </row>
    <row r="3345" spans="1:41" ht="14.25" x14ac:dyDescent="0.2">
      <c r="A3345" s="2">
        <v>5103050507</v>
      </c>
      <c r="B3345" s="3" t="s">
        <v>68</v>
      </c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9"/>
      <c r="AD3345" s="9"/>
      <c r="AE3345" s="9"/>
      <c r="AF3345" s="9"/>
      <c r="AG3345" s="9"/>
      <c r="AH3345" s="9"/>
      <c r="AI3345" s="9"/>
      <c r="AJ3345" s="9"/>
      <c r="AK3345" s="9"/>
      <c r="AL3345" s="9"/>
      <c r="AM3345" s="9"/>
      <c r="AN3345" s="9"/>
      <c r="AO3345" s="9"/>
    </row>
    <row r="3346" spans="1:41" ht="14.25" x14ac:dyDescent="0.2">
      <c r="A3346" s="2">
        <v>5103050508</v>
      </c>
      <c r="B3346" s="3" t="s">
        <v>69</v>
      </c>
      <c r="C3346" s="9"/>
      <c r="D3346" s="9"/>
      <c r="E3346" s="9"/>
      <c r="F3346" s="9"/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  <c r="AA3346" s="9"/>
      <c r="AB3346" s="9"/>
      <c r="AC3346" s="9"/>
      <c r="AD3346" s="9"/>
      <c r="AE3346" s="9"/>
      <c r="AF3346" s="9"/>
      <c r="AG3346" s="9"/>
      <c r="AH3346" s="9"/>
      <c r="AI3346" s="9"/>
      <c r="AJ3346" s="9"/>
      <c r="AK3346" s="9"/>
      <c r="AL3346" s="9"/>
      <c r="AM3346" s="9"/>
      <c r="AN3346" s="9"/>
      <c r="AO3346" s="9"/>
    </row>
    <row r="3347" spans="1:41" ht="14.25" x14ac:dyDescent="0.2">
      <c r="A3347" s="2">
        <v>5103050509</v>
      </c>
      <c r="B3347" s="3" t="s">
        <v>70</v>
      </c>
      <c r="C3347" s="9"/>
      <c r="D3347" s="9"/>
      <c r="E3347" s="9"/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  <c r="AA3347" s="9"/>
      <c r="AB3347" s="9"/>
      <c r="AC3347" s="9"/>
      <c r="AD3347" s="9"/>
      <c r="AE3347" s="9"/>
      <c r="AF3347" s="9"/>
      <c r="AG3347" s="9"/>
      <c r="AH3347" s="9"/>
      <c r="AI3347" s="9"/>
      <c r="AJ3347" s="9"/>
      <c r="AK3347" s="9"/>
      <c r="AL3347" s="9"/>
      <c r="AM3347" s="9"/>
      <c r="AN3347" s="9"/>
      <c r="AO3347" s="9"/>
    </row>
    <row r="3348" spans="1:41" ht="28.5" x14ac:dyDescent="0.2">
      <c r="A3348" s="2">
        <v>5103050510</v>
      </c>
      <c r="B3348" s="4" t="s">
        <v>71</v>
      </c>
      <c r="C3348" s="11"/>
      <c r="D3348" s="11"/>
      <c r="E3348" s="11"/>
      <c r="F3348" s="11"/>
      <c r="G3348" s="11"/>
      <c r="H3348" s="11"/>
      <c r="I3348" s="11"/>
      <c r="J3348" s="11"/>
      <c r="K3348" s="11"/>
      <c r="L3348" s="11"/>
      <c r="M3348" s="11"/>
      <c r="N3348" s="11"/>
      <c r="O3348" s="11"/>
      <c r="P3348" s="11"/>
      <c r="Q3348" s="11"/>
      <c r="R3348" s="11"/>
      <c r="S3348" s="11"/>
      <c r="T3348" s="11"/>
      <c r="U3348" s="11"/>
      <c r="V3348" s="11"/>
      <c r="W3348" s="11"/>
      <c r="X3348" s="11"/>
      <c r="Y3348" s="11"/>
      <c r="Z3348" s="11"/>
      <c r="AA3348" s="11"/>
      <c r="AB3348" s="11"/>
      <c r="AC3348" s="11"/>
      <c r="AD3348" s="11"/>
      <c r="AE3348" s="11"/>
      <c r="AF3348" s="11"/>
      <c r="AG3348" s="11"/>
      <c r="AH3348" s="11"/>
      <c r="AI3348" s="11"/>
      <c r="AJ3348" s="11"/>
      <c r="AK3348" s="11"/>
      <c r="AL3348" s="11"/>
      <c r="AM3348" s="11"/>
      <c r="AN3348" s="11"/>
      <c r="AO3348" s="11"/>
    </row>
    <row r="3349" spans="1:41" ht="14.25" x14ac:dyDescent="0.2">
      <c r="A3349" s="2">
        <v>5103050511</v>
      </c>
      <c r="B3349" s="3" t="s">
        <v>72</v>
      </c>
      <c r="C3349" s="9"/>
      <c r="D3349" s="9"/>
      <c r="E3349" s="9"/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  <c r="AA3349" s="9"/>
      <c r="AB3349" s="9"/>
      <c r="AC3349" s="9"/>
      <c r="AD3349" s="9"/>
      <c r="AE3349" s="9"/>
      <c r="AF3349" s="9"/>
      <c r="AG3349" s="9"/>
      <c r="AH3349" s="9"/>
      <c r="AI3349" s="9"/>
      <c r="AJ3349" s="9"/>
      <c r="AK3349" s="9"/>
      <c r="AL3349" s="9"/>
      <c r="AM3349" s="9"/>
      <c r="AN3349" s="9"/>
      <c r="AO3349" s="9"/>
    </row>
    <row r="3350" spans="1:41" ht="14.25" x14ac:dyDescent="0.2">
      <c r="A3350" s="2">
        <v>5103050519</v>
      </c>
      <c r="B3350" s="3" t="s">
        <v>41</v>
      </c>
      <c r="C3350" s="9"/>
      <c r="D3350" s="9"/>
      <c r="E3350" s="9"/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9"/>
      <c r="AB3350" s="9"/>
      <c r="AC3350" s="9"/>
      <c r="AD3350" s="9"/>
      <c r="AE3350" s="9"/>
      <c r="AF3350" s="9"/>
      <c r="AG3350" s="9"/>
      <c r="AH3350" s="9"/>
      <c r="AI3350" s="9"/>
      <c r="AJ3350" s="9"/>
      <c r="AK3350" s="9"/>
      <c r="AL3350" s="9"/>
      <c r="AM3350" s="9"/>
      <c r="AN3350" s="9"/>
      <c r="AO3350" s="9"/>
    </row>
    <row r="3351" spans="1:41" ht="14.25" x14ac:dyDescent="0.2">
      <c r="A3351" s="2">
        <v>51030506</v>
      </c>
      <c r="B3351" s="3" t="s">
        <v>42</v>
      </c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9"/>
      <c r="AB3351" s="9"/>
      <c r="AC3351" s="9"/>
      <c r="AD3351" s="9"/>
      <c r="AE3351" s="9"/>
      <c r="AF3351" s="9"/>
      <c r="AG3351" s="9"/>
      <c r="AH3351" s="9"/>
      <c r="AI3351" s="9"/>
      <c r="AJ3351" s="9"/>
      <c r="AK3351" s="9"/>
      <c r="AL3351" s="9"/>
      <c r="AM3351" s="9"/>
      <c r="AN3351" s="9"/>
      <c r="AO3351" s="9"/>
    </row>
    <row r="3352" spans="1:41" ht="14.25" x14ac:dyDescent="0.2">
      <c r="A3352" s="2">
        <v>5103050608</v>
      </c>
      <c r="B3352" s="3" t="s">
        <v>69</v>
      </c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  <c r="AB3352" s="9"/>
      <c r="AC3352" s="9"/>
      <c r="AD3352" s="9"/>
      <c r="AE3352" s="9"/>
      <c r="AF3352" s="9"/>
      <c r="AG3352" s="9"/>
      <c r="AH3352" s="9"/>
      <c r="AI3352" s="9"/>
      <c r="AJ3352" s="9"/>
      <c r="AK3352" s="9"/>
      <c r="AL3352" s="9"/>
      <c r="AM3352" s="9"/>
      <c r="AN3352" s="9"/>
      <c r="AO3352" s="9"/>
    </row>
    <row r="3353" spans="1:41" ht="14.25" x14ac:dyDescent="0.2">
      <c r="A3353" s="2">
        <v>5103050609</v>
      </c>
      <c r="B3353" s="3" t="s">
        <v>70</v>
      </c>
      <c r="C3353" s="9"/>
      <c r="D3353" s="9"/>
      <c r="E3353" s="9"/>
      <c r="F3353" s="9"/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  <c r="AB3353" s="9"/>
      <c r="AC3353" s="9"/>
      <c r="AD3353" s="9"/>
      <c r="AE3353" s="9"/>
      <c r="AF3353" s="9"/>
      <c r="AG3353" s="9"/>
      <c r="AH3353" s="9"/>
      <c r="AI3353" s="9"/>
      <c r="AJ3353" s="9"/>
      <c r="AK3353" s="9"/>
      <c r="AL3353" s="9"/>
      <c r="AM3353" s="9"/>
      <c r="AN3353" s="9"/>
      <c r="AO3353" s="9"/>
    </row>
    <row r="3354" spans="1:41" ht="28.5" x14ac:dyDescent="0.2">
      <c r="A3354" s="2">
        <v>5103050610</v>
      </c>
      <c r="B3354" s="4" t="s">
        <v>71</v>
      </c>
      <c r="C3354" s="11"/>
      <c r="D3354" s="11"/>
      <c r="E3354" s="11"/>
      <c r="F3354" s="11"/>
      <c r="G3354" s="11"/>
      <c r="H3354" s="11"/>
      <c r="I3354" s="11"/>
      <c r="J3354" s="11"/>
      <c r="K3354" s="11"/>
      <c r="L3354" s="11"/>
      <c r="M3354" s="11"/>
      <c r="N3354" s="11"/>
      <c r="O3354" s="11"/>
      <c r="P3354" s="11"/>
      <c r="Q3354" s="11"/>
      <c r="R3354" s="11"/>
      <c r="S3354" s="11"/>
      <c r="T3354" s="11"/>
      <c r="U3354" s="11"/>
      <c r="V3354" s="11"/>
      <c r="W3354" s="11"/>
      <c r="X3354" s="11"/>
      <c r="Y3354" s="11"/>
      <c r="Z3354" s="11"/>
      <c r="AA3354" s="11"/>
      <c r="AB3354" s="11"/>
      <c r="AC3354" s="11"/>
      <c r="AD3354" s="11"/>
      <c r="AE3354" s="11"/>
      <c r="AF3354" s="11"/>
      <c r="AG3354" s="11"/>
      <c r="AH3354" s="11"/>
      <c r="AI3354" s="11"/>
      <c r="AJ3354" s="11"/>
      <c r="AK3354" s="11"/>
      <c r="AL3354" s="11"/>
      <c r="AM3354" s="11"/>
      <c r="AN3354" s="11"/>
      <c r="AO3354" s="11"/>
    </row>
    <row r="3355" spans="1:41" ht="14.25" x14ac:dyDescent="0.2">
      <c r="A3355" s="2">
        <v>5103050611</v>
      </c>
      <c r="B3355" s="3" t="s">
        <v>72</v>
      </c>
      <c r="C3355" s="9"/>
      <c r="D3355" s="9"/>
      <c r="E3355" s="9"/>
      <c r="F3355" s="9"/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  <c r="AA3355" s="9"/>
      <c r="AB3355" s="9"/>
      <c r="AC3355" s="9"/>
      <c r="AD3355" s="9"/>
      <c r="AE3355" s="9"/>
      <c r="AF3355" s="9"/>
      <c r="AG3355" s="9"/>
      <c r="AH3355" s="9"/>
      <c r="AI3355" s="9"/>
      <c r="AJ3355" s="9"/>
      <c r="AK3355" s="9"/>
      <c r="AL3355" s="9"/>
      <c r="AM3355" s="9"/>
      <c r="AN3355" s="9"/>
      <c r="AO3355" s="9"/>
    </row>
    <row r="3356" spans="1:41" ht="14.25" x14ac:dyDescent="0.2">
      <c r="A3356" s="2">
        <v>5103050619</v>
      </c>
      <c r="B3356" s="3" t="s">
        <v>41</v>
      </c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9"/>
      <c r="AB3356" s="9"/>
      <c r="AC3356" s="9"/>
      <c r="AD3356" s="9"/>
      <c r="AE3356" s="9"/>
      <c r="AF3356" s="9"/>
      <c r="AG3356" s="9"/>
      <c r="AH3356" s="9"/>
      <c r="AI3356" s="9"/>
      <c r="AJ3356" s="9"/>
      <c r="AK3356" s="9"/>
      <c r="AL3356" s="9"/>
      <c r="AM3356" s="9"/>
      <c r="AN3356" s="9"/>
      <c r="AO3356" s="9"/>
    </row>
    <row r="3357" spans="1:41" ht="14.25" x14ac:dyDescent="0.2">
      <c r="A3357" s="2">
        <v>51030507</v>
      </c>
      <c r="B3357" s="3" t="s">
        <v>43</v>
      </c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9"/>
      <c r="AD3357" s="9"/>
      <c r="AE3357" s="9"/>
      <c r="AF3357" s="9"/>
      <c r="AG3357" s="9"/>
      <c r="AH3357" s="9"/>
      <c r="AI3357" s="9"/>
      <c r="AJ3357" s="9"/>
      <c r="AK3357" s="9"/>
      <c r="AL3357" s="9"/>
      <c r="AM3357" s="9"/>
      <c r="AN3357" s="9"/>
      <c r="AO3357" s="9"/>
    </row>
    <row r="3358" spans="1:41" ht="14.25" x14ac:dyDescent="0.2">
      <c r="A3358" s="2">
        <v>5103050708</v>
      </c>
      <c r="B3358" s="3" t="s">
        <v>69</v>
      </c>
      <c r="C3358" s="9"/>
      <c r="D3358" s="9"/>
      <c r="E3358" s="9"/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9"/>
      <c r="AD3358" s="9"/>
      <c r="AE3358" s="9"/>
      <c r="AF3358" s="9"/>
      <c r="AG3358" s="9"/>
      <c r="AH3358" s="9"/>
      <c r="AI3358" s="9"/>
      <c r="AJ3358" s="9"/>
      <c r="AK3358" s="9"/>
      <c r="AL3358" s="9"/>
      <c r="AM3358" s="9"/>
      <c r="AN3358" s="9"/>
      <c r="AO3358" s="9"/>
    </row>
    <row r="3359" spans="1:41" ht="14.25" x14ac:dyDescent="0.2">
      <c r="A3359" s="2">
        <v>5103050709</v>
      </c>
      <c r="B3359" s="3" t="s">
        <v>70</v>
      </c>
      <c r="C3359" s="9"/>
      <c r="D3359" s="9"/>
      <c r="E3359" s="9"/>
      <c r="F3359" s="9"/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9"/>
      <c r="AD3359" s="9"/>
      <c r="AE3359" s="9"/>
      <c r="AF3359" s="9"/>
      <c r="AG3359" s="9"/>
      <c r="AH3359" s="9"/>
      <c r="AI3359" s="9"/>
      <c r="AJ3359" s="9"/>
      <c r="AK3359" s="9"/>
      <c r="AL3359" s="9"/>
      <c r="AM3359" s="9"/>
      <c r="AN3359" s="9"/>
      <c r="AO3359" s="9"/>
    </row>
    <row r="3360" spans="1:41" ht="28.5" x14ac:dyDescent="0.2">
      <c r="A3360" s="2">
        <v>5103050710</v>
      </c>
      <c r="B3360" s="4" t="s">
        <v>71</v>
      </c>
      <c r="C3360" s="11"/>
      <c r="D3360" s="11"/>
      <c r="E3360" s="11"/>
      <c r="F3360" s="11"/>
      <c r="G3360" s="11"/>
      <c r="H3360" s="11"/>
      <c r="I3360" s="11"/>
      <c r="J3360" s="11"/>
      <c r="K3360" s="11"/>
      <c r="L3360" s="11"/>
      <c r="M3360" s="11"/>
      <c r="N3360" s="11"/>
      <c r="O3360" s="11"/>
      <c r="P3360" s="11"/>
      <c r="Q3360" s="11"/>
      <c r="R3360" s="11"/>
      <c r="S3360" s="11"/>
      <c r="T3360" s="11"/>
      <c r="U3360" s="11"/>
      <c r="V3360" s="11"/>
      <c r="W3360" s="11"/>
      <c r="X3360" s="11"/>
      <c r="Y3360" s="11"/>
      <c r="Z3360" s="11"/>
      <c r="AA3360" s="11"/>
      <c r="AB3360" s="11"/>
      <c r="AC3360" s="11"/>
      <c r="AD3360" s="11"/>
      <c r="AE3360" s="11"/>
      <c r="AF3360" s="11"/>
      <c r="AG3360" s="11"/>
      <c r="AH3360" s="11"/>
      <c r="AI3360" s="11"/>
      <c r="AJ3360" s="11"/>
      <c r="AK3360" s="11"/>
      <c r="AL3360" s="11"/>
      <c r="AM3360" s="11"/>
      <c r="AN3360" s="11"/>
      <c r="AO3360" s="11"/>
    </row>
    <row r="3361" spans="1:41" ht="14.25" x14ac:dyDescent="0.2">
      <c r="A3361" s="2">
        <v>5103050711</v>
      </c>
      <c r="B3361" s="3" t="s">
        <v>72</v>
      </c>
      <c r="C3361" s="9"/>
      <c r="D3361" s="9"/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9"/>
      <c r="AB3361" s="9"/>
      <c r="AC3361" s="9"/>
      <c r="AD3361" s="9"/>
      <c r="AE3361" s="9"/>
      <c r="AF3361" s="9"/>
      <c r="AG3361" s="9"/>
      <c r="AH3361" s="9"/>
      <c r="AI3361" s="9"/>
      <c r="AJ3361" s="9"/>
      <c r="AK3361" s="9"/>
      <c r="AL3361" s="9"/>
      <c r="AM3361" s="9"/>
      <c r="AN3361" s="9"/>
      <c r="AO3361" s="9"/>
    </row>
    <row r="3362" spans="1:41" ht="14.25" x14ac:dyDescent="0.2">
      <c r="A3362" s="2">
        <v>5103050712</v>
      </c>
      <c r="B3362" s="3" t="s">
        <v>47</v>
      </c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9"/>
      <c r="AB3362" s="9"/>
      <c r="AC3362" s="9"/>
      <c r="AD3362" s="9"/>
      <c r="AE3362" s="9"/>
      <c r="AF3362" s="9"/>
      <c r="AG3362" s="9"/>
      <c r="AH3362" s="9"/>
      <c r="AI3362" s="9"/>
      <c r="AJ3362" s="9"/>
      <c r="AK3362" s="9"/>
      <c r="AL3362" s="9"/>
      <c r="AM3362" s="9"/>
      <c r="AN3362" s="9"/>
      <c r="AO3362" s="9"/>
    </row>
    <row r="3363" spans="1:41" ht="14.25" x14ac:dyDescent="0.2">
      <c r="A3363" s="2">
        <v>5103050719</v>
      </c>
      <c r="B3363" s="3" t="s">
        <v>41</v>
      </c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/>
      <c r="AC3363" s="9"/>
      <c r="AD3363" s="9"/>
      <c r="AE3363" s="9"/>
      <c r="AF3363" s="9"/>
      <c r="AG3363" s="9"/>
      <c r="AH3363" s="9"/>
      <c r="AI3363" s="9"/>
      <c r="AJ3363" s="9"/>
      <c r="AK3363" s="9"/>
      <c r="AL3363" s="9"/>
      <c r="AM3363" s="9"/>
      <c r="AN3363" s="9"/>
      <c r="AO3363" s="9"/>
    </row>
    <row r="3364" spans="1:41" ht="28.5" x14ac:dyDescent="0.2">
      <c r="A3364" s="2">
        <v>51030510</v>
      </c>
      <c r="B3364" s="4" t="s">
        <v>48</v>
      </c>
      <c r="C3364" s="11"/>
      <c r="D3364" s="11"/>
      <c r="E3364" s="11"/>
      <c r="F3364" s="11"/>
      <c r="G3364" s="11"/>
      <c r="H3364" s="11"/>
      <c r="I3364" s="11"/>
      <c r="J3364" s="11"/>
      <c r="K3364" s="11"/>
      <c r="L3364" s="11"/>
      <c r="M3364" s="11"/>
      <c r="N3364" s="11"/>
      <c r="O3364" s="11"/>
      <c r="P3364" s="11"/>
      <c r="Q3364" s="11"/>
      <c r="R3364" s="11"/>
      <c r="S3364" s="11"/>
      <c r="T3364" s="11"/>
      <c r="U3364" s="11"/>
      <c r="V3364" s="11"/>
      <c r="W3364" s="11"/>
      <c r="X3364" s="11"/>
      <c r="Y3364" s="11"/>
      <c r="Z3364" s="11"/>
      <c r="AA3364" s="11"/>
      <c r="AB3364" s="11"/>
      <c r="AC3364" s="11"/>
      <c r="AD3364" s="11"/>
      <c r="AE3364" s="11"/>
      <c r="AF3364" s="11"/>
      <c r="AG3364" s="11"/>
      <c r="AH3364" s="11"/>
      <c r="AI3364" s="11"/>
      <c r="AJ3364" s="11"/>
      <c r="AK3364" s="11"/>
      <c r="AL3364" s="11"/>
      <c r="AM3364" s="11"/>
      <c r="AN3364" s="11"/>
      <c r="AO3364" s="11"/>
    </row>
    <row r="3365" spans="1:41" ht="14.25" x14ac:dyDescent="0.2">
      <c r="A3365" s="2">
        <v>5103051001</v>
      </c>
      <c r="B3365" s="3" t="s">
        <v>55</v>
      </c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  <c r="AE3365" s="9"/>
      <c r="AF3365" s="9"/>
      <c r="AG3365" s="9"/>
      <c r="AH3365" s="9"/>
      <c r="AI3365" s="9"/>
      <c r="AJ3365" s="9"/>
      <c r="AK3365" s="9"/>
      <c r="AL3365" s="9"/>
      <c r="AM3365" s="9"/>
      <c r="AN3365" s="9"/>
      <c r="AO3365" s="9"/>
    </row>
    <row r="3366" spans="1:41" ht="14.25" x14ac:dyDescent="0.2">
      <c r="A3366" s="2">
        <v>5103051002</v>
      </c>
      <c r="B3366" s="3" t="s">
        <v>61</v>
      </c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  <c r="AA3366" s="9"/>
      <c r="AB3366" s="9"/>
      <c r="AC3366" s="9"/>
      <c r="AD3366" s="9"/>
      <c r="AE3366" s="9"/>
      <c r="AF3366" s="9"/>
      <c r="AG3366" s="9"/>
      <c r="AH3366" s="9"/>
      <c r="AI3366" s="9"/>
      <c r="AJ3366" s="9"/>
      <c r="AK3366" s="9"/>
      <c r="AL3366" s="9"/>
      <c r="AM3366" s="9"/>
      <c r="AN3366" s="9"/>
      <c r="AO3366" s="9"/>
    </row>
    <row r="3367" spans="1:41" ht="14.25" x14ac:dyDescent="0.2">
      <c r="A3367" s="2">
        <v>5103051003</v>
      </c>
      <c r="B3367" s="3" t="s">
        <v>62</v>
      </c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  <c r="AB3367" s="9"/>
      <c r="AC3367" s="9"/>
      <c r="AD3367" s="9"/>
      <c r="AE3367" s="9"/>
      <c r="AF3367" s="9"/>
      <c r="AG3367" s="9"/>
      <c r="AH3367" s="9"/>
      <c r="AI3367" s="9"/>
      <c r="AJ3367" s="9"/>
      <c r="AK3367" s="9"/>
      <c r="AL3367" s="9"/>
      <c r="AM3367" s="9"/>
      <c r="AN3367" s="9"/>
      <c r="AO3367" s="9"/>
    </row>
    <row r="3368" spans="1:41" ht="14.25" x14ac:dyDescent="0.2">
      <c r="A3368" s="2">
        <v>5103051005</v>
      </c>
      <c r="B3368" s="3" t="s">
        <v>39</v>
      </c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  <c r="AA3368" s="9"/>
      <c r="AB3368" s="9"/>
      <c r="AC3368" s="9"/>
      <c r="AD3368" s="9"/>
      <c r="AE3368" s="9"/>
      <c r="AF3368" s="9"/>
      <c r="AG3368" s="9"/>
      <c r="AH3368" s="9"/>
      <c r="AI3368" s="9"/>
      <c r="AJ3368" s="9"/>
      <c r="AK3368" s="9"/>
      <c r="AL3368" s="9"/>
      <c r="AM3368" s="9"/>
      <c r="AN3368" s="9"/>
      <c r="AO3368" s="9"/>
    </row>
    <row r="3369" spans="1:41" ht="14.25" x14ac:dyDescent="0.2">
      <c r="A3369" s="2">
        <v>5103051006</v>
      </c>
      <c r="B3369" s="3" t="s">
        <v>42</v>
      </c>
      <c r="C3369" s="9"/>
      <c r="D3369" s="9"/>
      <c r="E3369" s="9"/>
      <c r="F3369" s="9"/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  <c r="AE3369" s="9"/>
      <c r="AF3369" s="9"/>
      <c r="AG3369" s="9"/>
      <c r="AH3369" s="9"/>
      <c r="AI3369" s="9"/>
      <c r="AJ3369" s="9"/>
      <c r="AK3369" s="9"/>
      <c r="AL3369" s="9"/>
      <c r="AM3369" s="9"/>
      <c r="AN3369" s="9"/>
      <c r="AO3369" s="9"/>
    </row>
    <row r="3370" spans="1:41" ht="14.25" x14ac:dyDescent="0.2">
      <c r="A3370" s="2">
        <v>5103051007</v>
      </c>
      <c r="B3370" s="3" t="s">
        <v>43</v>
      </c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9"/>
      <c r="AD3370" s="9"/>
      <c r="AE3370" s="9"/>
      <c r="AF3370" s="9"/>
      <c r="AG3370" s="9"/>
      <c r="AH3370" s="9"/>
      <c r="AI3370" s="9"/>
      <c r="AJ3370" s="9"/>
      <c r="AK3370" s="9"/>
      <c r="AL3370" s="9"/>
      <c r="AM3370" s="9"/>
      <c r="AN3370" s="9"/>
      <c r="AO3370" s="9"/>
    </row>
    <row r="3371" spans="1:41" ht="28.5" x14ac:dyDescent="0.2">
      <c r="A3371" s="2">
        <v>51030511</v>
      </c>
      <c r="B3371" s="4" t="s">
        <v>50</v>
      </c>
      <c r="C3371" s="11"/>
      <c r="D3371" s="11"/>
      <c r="E3371" s="11"/>
      <c r="F3371" s="11"/>
      <c r="G3371" s="11"/>
      <c r="H3371" s="11"/>
      <c r="I3371" s="11"/>
      <c r="J3371" s="11"/>
      <c r="K3371" s="11"/>
      <c r="L3371" s="11"/>
      <c r="M3371" s="11"/>
      <c r="N3371" s="11"/>
      <c r="O3371" s="11"/>
      <c r="P3371" s="11"/>
      <c r="Q3371" s="11"/>
      <c r="R3371" s="11"/>
      <c r="S3371" s="11"/>
      <c r="T3371" s="11"/>
      <c r="U3371" s="11"/>
      <c r="V3371" s="11"/>
      <c r="W3371" s="11"/>
      <c r="X3371" s="11"/>
      <c r="Y3371" s="11"/>
      <c r="Z3371" s="11"/>
      <c r="AA3371" s="11"/>
      <c r="AB3371" s="11"/>
      <c r="AC3371" s="11"/>
      <c r="AD3371" s="11"/>
      <c r="AE3371" s="11"/>
      <c r="AF3371" s="11"/>
      <c r="AG3371" s="11"/>
      <c r="AH3371" s="11"/>
      <c r="AI3371" s="11"/>
      <c r="AJ3371" s="11"/>
      <c r="AK3371" s="11"/>
      <c r="AL3371" s="11"/>
      <c r="AM3371" s="11"/>
      <c r="AN3371" s="11"/>
      <c r="AO3371" s="11"/>
    </row>
    <row r="3372" spans="1:41" ht="14.25" x14ac:dyDescent="0.2">
      <c r="A3372" s="2">
        <v>5103051101</v>
      </c>
      <c r="B3372" s="3" t="s">
        <v>55</v>
      </c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9"/>
      <c r="AB3372" s="9"/>
      <c r="AC3372" s="9"/>
      <c r="AD3372" s="9"/>
      <c r="AE3372" s="9"/>
      <c r="AF3372" s="9"/>
      <c r="AG3372" s="9"/>
      <c r="AH3372" s="9"/>
      <c r="AI3372" s="9"/>
      <c r="AJ3372" s="9"/>
      <c r="AK3372" s="9"/>
      <c r="AL3372" s="9"/>
      <c r="AM3372" s="9"/>
      <c r="AN3372" s="9"/>
      <c r="AO3372" s="9"/>
    </row>
    <row r="3373" spans="1:41" ht="14.25" x14ac:dyDescent="0.2">
      <c r="A3373" s="2">
        <v>5103051102</v>
      </c>
      <c r="B3373" s="3" t="s">
        <v>61</v>
      </c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9"/>
      <c r="AB3373" s="9"/>
      <c r="AC3373" s="9"/>
      <c r="AD3373" s="9"/>
      <c r="AE3373" s="9"/>
      <c r="AF3373" s="9"/>
      <c r="AG3373" s="9"/>
      <c r="AH3373" s="9"/>
      <c r="AI3373" s="9"/>
      <c r="AJ3373" s="9"/>
      <c r="AK3373" s="9"/>
      <c r="AL3373" s="9"/>
      <c r="AM3373" s="9"/>
      <c r="AN3373" s="9"/>
      <c r="AO3373" s="9"/>
    </row>
    <row r="3374" spans="1:41" ht="14.25" x14ac:dyDescent="0.2">
      <c r="A3374" s="2">
        <v>5103051103</v>
      </c>
      <c r="B3374" s="3" t="s">
        <v>62</v>
      </c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  <c r="AA3374" s="9"/>
      <c r="AB3374" s="9"/>
      <c r="AC3374" s="9"/>
      <c r="AD3374" s="9"/>
      <c r="AE3374" s="9"/>
      <c r="AF3374" s="9"/>
      <c r="AG3374" s="9"/>
      <c r="AH3374" s="9"/>
      <c r="AI3374" s="9"/>
      <c r="AJ3374" s="9"/>
      <c r="AK3374" s="9"/>
      <c r="AL3374" s="9"/>
      <c r="AM3374" s="9"/>
      <c r="AN3374" s="9"/>
      <c r="AO3374" s="9"/>
    </row>
    <row r="3375" spans="1:41" ht="14.25" x14ac:dyDescent="0.2">
      <c r="A3375" s="2">
        <v>5103051105</v>
      </c>
      <c r="B3375" s="3" t="s">
        <v>39</v>
      </c>
      <c r="C3375" s="9"/>
      <c r="D3375" s="9"/>
      <c r="E3375" s="9"/>
      <c r="F3375" s="9"/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  <c r="AB3375" s="9"/>
      <c r="AC3375" s="9"/>
      <c r="AD3375" s="9"/>
      <c r="AE3375" s="9"/>
      <c r="AF3375" s="9"/>
      <c r="AG3375" s="9"/>
      <c r="AH3375" s="9"/>
      <c r="AI3375" s="9"/>
      <c r="AJ3375" s="9"/>
      <c r="AK3375" s="9"/>
      <c r="AL3375" s="9"/>
      <c r="AM3375" s="9"/>
      <c r="AN3375" s="9"/>
      <c r="AO3375" s="9"/>
    </row>
    <row r="3376" spans="1:41" ht="14.25" x14ac:dyDescent="0.2">
      <c r="A3376" s="2">
        <v>5103051106</v>
      </c>
      <c r="B3376" s="3" t="s">
        <v>42</v>
      </c>
      <c r="C3376" s="9"/>
      <c r="D3376" s="9"/>
      <c r="E3376" s="9"/>
      <c r="F3376" s="9"/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  <c r="AE3376" s="9"/>
      <c r="AF3376" s="9"/>
      <c r="AG3376" s="9"/>
      <c r="AH3376" s="9"/>
      <c r="AI3376" s="9"/>
      <c r="AJ3376" s="9"/>
      <c r="AK3376" s="9"/>
      <c r="AL3376" s="9"/>
      <c r="AM3376" s="9"/>
      <c r="AN3376" s="9"/>
      <c r="AO3376" s="9"/>
    </row>
    <row r="3377" spans="1:41" ht="14.25" x14ac:dyDescent="0.2">
      <c r="A3377" s="2">
        <v>5103051107</v>
      </c>
      <c r="B3377" s="3" t="s">
        <v>43</v>
      </c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9"/>
      <c r="AD3377" s="9"/>
      <c r="AE3377" s="9"/>
      <c r="AF3377" s="9"/>
      <c r="AG3377" s="9"/>
      <c r="AH3377" s="9"/>
      <c r="AI3377" s="9"/>
      <c r="AJ3377" s="9"/>
      <c r="AK3377" s="9"/>
      <c r="AL3377" s="9"/>
      <c r="AM3377" s="9"/>
      <c r="AN3377" s="9"/>
      <c r="AO3377" s="9"/>
    </row>
    <row r="3378" spans="1:41" ht="28.5" x14ac:dyDescent="0.2">
      <c r="A3378" s="2">
        <v>51030512</v>
      </c>
      <c r="B3378" s="4" t="s">
        <v>51</v>
      </c>
      <c r="C3378" s="11"/>
      <c r="D3378" s="11"/>
      <c r="E3378" s="11"/>
      <c r="F3378" s="11"/>
      <c r="G3378" s="11"/>
      <c r="H3378" s="11"/>
      <c r="I3378" s="11"/>
      <c r="J3378" s="11"/>
      <c r="K3378" s="11"/>
      <c r="L3378" s="11"/>
      <c r="M3378" s="11"/>
      <c r="N3378" s="11"/>
      <c r="O3378" s="11"/>
      <c r="P3378" s="11"/>
      <c r="Q3378" s="11"/>
      <c r="R3378" s="11"/>
      <c r="S3378" s="11"/>
      <c r="T3378" s="11"/>
      <c r="U3378" s="11"/>
      <c r="V3378" s="11"/>
      <c r="W3378" s="11"/>
      <c r="X3378" s="11"/>
      <c r="Y3378" s="11"/>
      <c r="Z3378" s="11"/>
      <c r="AA3378" s="11"/>
      <c r="AB3378" s="11"/>
      <c r="AC3378" s="11"/>
      <c r="AD3378" s="11"/>
      <c r="AE3378" s="11"/>
      <c r="AF3378" s="11"/>
      <c r="AG3378" s="11"/>
      <c r="AH3378" s="11"/>
      <c r="AI3378" s="11"/>
      <c r="AJ3378" s="11"/>
      <c r="AK3378" s="11"/>
      <c r="AL3378" s="11"/>
      <c r="AM3378" s="11"/>
      <c r="AN3378" s="11"/>
      <c r="AO3378" s="11"/>
    </row>
    <row r="3379" spans="1:41" ht="14.25" x14ac:dyDescent="0.2">
      <c r="A3379" s="2">
        <v>5103051201</v>
      </c>
      <c r="B3379" s="3" t="s">
        <v>55</v>
      </c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9"/>
      <c r="AD3379" s="9"/>
      <c r="AE3379" s="9"/>
      <c r="AF3379" s="9"/>
      <c r="AG3379" s="9"/>
      <c r="AH3379" s="9"/>
      <c r="AI3379" s="9"/>
      <c r="AJ3379" s="9"/>
      <c r="AK3379" s="9"/>
      <c r="AL3379" s="9"/>
      <c r="AM3379" s="9"/>
      <c r="AN3379" s="9"/>
      <c r="AO3379" s="9"/>
    </row>
    <row r="3380" spans="1:41" ht="14.25" x14ac:dyDescent="0.2">
      <c r="A3380" s="2">
        <v>5103051202</v>
      </c>
      <c r="B3380" s="3" t="s">
        <v>61</v>
      </c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  <c r="AA3380" s="9"/>
      <c r="AB3380" s="9"/>
      <c r="AC3380" s="9"/>
      <c r="AD3380" s="9"/>
      <c r="AE3380" s="9"/>
      <c r="AF3380" s="9"/>
      <c r="AG3380" s="9"/>
      <c r="AH3380" s="9"/>
      <c r="AI3380" s="9"/>
      <c r="AJ3380" s="9"/>
      <c r="AK3380" s="9"/>
      <c r="AL3380" s="9"/>
      <c r="AM3380" s="9"/>
      <c r="AN3380" s="9"/>
      <c r="AO3380" s="9"/>
    </row>
    <row r="3381" spans="1:41" ht="14.25" x14ac:dyDescent="0.2">
      <c r="A3381" s="2">
        <v>5103051203</v>
      </c>
      <c r="B3381" s="3" t="s">
        <v>62</v>
      </c>
      <c r="C3381" s="9"/>
      <c r="D3381" s="9"/>
      <c r="E3381" s="9"/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  <c r="AE3381" s="9"/>
      <c r="AF3381" s="9"/>
      <c r="AG3381" s="9"/>
      <c r="AH3381" s="9"/>
      <c r="AI3381" s="9"/>
      <c r="AJ3381" s="9"/>
      <c r="AK3381" s="9"/>
      <c r="AL3381" s="9"/>
      <c r="AM3381" s="9"/>
      <c r="AN3381" s="9"/>
      <c r="AO3381" s="9"/>
    </row>
    <row r="3382" spans="1:41" ht="14.25" x14ac:dyDescent="0.2">
      <c r="A3382" s="2">
        <v>5103051205</v>
      </c>
      <c r="B3382" s="3" t="s">
        <v>39</v>
      </c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9"/>
      <c r="AD3382" s="9"/>
      <c r="AE3382" s="9"/>
      <c r="AF3382" s="9"/>
      <c r="AG3382" s="9"/>
      <c r="AH3382" s="9"/>
      <c r="AI3382" s="9"/>
      <c r="AJ3382" s="9"/>
      <c r="AK3382" s="9"/>
      <c r="AL3382" s="9"/>
      <c r="AM3382" s="9"/>
      <c r="AN3382" s="9"/>
      <c r="AO3382" s="9"/>
    </row>
    <row r="3383" spans="1:41" ht="14.25" x14ac:dyDescent="0.2">
      <c r="A3383" s="2">
        <v>5103051206</v>
      </c>
      <c r="B3383" s="3" t="s">
        <v>42</v>
      </c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  <c r="AF3383" s="9"/>
      <c r="AG3383" s="9"/>
      <c r="AH3383" s="9"/>
      <c r="AI3383" s="9"/>
      <c r="AJ3383" s="9"/>
      <c r="AK3383" s="9"/>
      <c r="AL3383" s="9"/>
      <c r="AM3383" s="9"/>
      <c r="AN3383" s="9"/>
      <c r="AO3383" s="9"/>
    </row>
    <row r="3384" spans="1:41" ht="14.25" x14ac:dyDescent="0.2">
      <c r="A3384" s="2">
        <v>5103051207</v>
      </c>
      <c r="B3384" s="3" t="s">
        <v>43</v>
      </c>
      <c r="C3384" s="9"/>
      <c r="D3384" s="9"/>
      <c r="E3384" s="9"/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  <c r="AB3384" s="9"/>
      <c r="AC3384" s="9"/>
      <c r="AD3384" s="9"/>
      <c r="AE3384" s="9"/>
      <c r="AF3384" s="9"/>
      <c r="AG3384" s="9"/>
      <c r="AH3384" s="9"/>
      <c r="AI3384" s="9"/>
      <c r="AJ3384" s="9"/>
      <c r="AK3384" s="9"/>
      <c r="AL3384" s="9"/>
      <c r="AM3384" s="9"/>
      <c r="AN3384" s="9"/>
      <c r="AO3384" s="9"/>
    </row>
    <row r="3385" spans="1:41" ht="14.25" x14ac:dyDescent="0.2">
      <c r="A3385" s="2">
        <v>51030518</v>
      </c>
      <c r="B3385" s="3" t="s">
        <v>78</v>
      </c>
      <c r="C3385" s="9"/>
      <c r="D3385" s="9"/>
      <c r="E3385" s="9"/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9"/>
      <c r="AB3385" s="9"/>
      <c r="AC3385" s="9"/>
      <c r="AD3385" s="9"/>
      <c r="AE3385" s="9"/>
      <c r="AF3385" s="9"/>
      <c r="AG3385" s="9"/>
      <c r="AH3385" s="9"/>
      <c r="AI3385" s="9"/>
      <c r="AJ3385" s="9"/>
      <c r="AK3385" s="9"/>
      <c r="AL3385" s="9"/>
      <c r="AM3385" s="9"/>
      <c r="AN3385" s="9"/>
      <c r="AO3385" s="9"/>
    </row>
    <row r="3386" spans="1:41" ht="14.25" x14ac:dyDescent="0.2">
      <c r="A3386" s="2">
        <v>5103051801</v>
      </c>
      <c r="B3386" s="3" t="s">
        <v>55</v>
      </c>
      <c r="C3386" s="9"/>
      <c r="D3386" s="9"/>
      <c r="E3386" s="9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  <c r="AB3386" s="9"/>
      <c r="AC3386" s="9"/>
      <c r="AD3386" s="9"/>
      <c r="AE3386" s="9"/>
      <c r="AF3386" s="9"/>
      <c r="AG3386" s="9"/>
      <c r="AH3386" s="9"/>
      <c r="AI3386" s="9"/>
      <c r="AJ3386" s="9"/>
      <c r="AK3386" s="9"/>
      <c r="AL3386" s="9"/>
      <c r="AM3386" s="9"/>
      <c r="AN3386" s="9"/>
      <c r="AO3386" s="9"/>
    </row>
    <row r="3387" spans="1:41" ht="14.25" x14ac:dyDescent="0.2">
      <c r="A3387" s="2">
        <v>5103051802</v>
      </c>
      <c r="B3387" s="3" t="s">
        <v>61</v>
      </c>
      <c r="C3387" s="9"/>
      <c r="D3387" s="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  <c r="AF3387" s="9"/>
      <c r="AG3387" s="9"/>
      <c r="AH3387" s="9"/>
      <c r="AI3387" s="9"/>
      <c r="AJ3387" s="9"/>
      <c r="AK3387" s="9"/>
      <c r="AL3387" s="9"/>
      <c r="AM3387" s="9"/>
      <c r="AN3387" s="9"/>
      <c r="AO3387" s="9"/>
    </row>
    <row r="3388" spans="1:41" ht="14.25" x14ac:dyDescent="0.2">
      <c r="A3388" s="2">
        <v>5103051803</v>
      </c>
      <c r="B3388" s="3" t="s">
        <v>62</v>
      </c>
      <c r="C3388" s="9"/>
      <c r="D3388" s="9"/>
      <c r="E3388" s="9"/>
      <c r="F3388" s="9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  <c r="AF3388" s="9"/>
      <c r="AG3388" s="9"/>
      <c r="AH3388" s="9"/>
      <c r="AI3388" s="9"/>
      <c r="AJ3388" s="9"/>
      <c r="AK3388" s="9"/>
      <c r="AL3388" s="9"/>
      <c r="AM3388" s="9"/>
      <c r="AN3388" s="9"/>
      <c r="AO3388" s="9"/>
    </row>
    <row r="3389" spans="1:41" ht="14.25" x14ac:dyDescent="0.2">
      <c r="A3389" s="2">
        <v>5103051805</v>
      </c>
      <c r="B3389" s="3" t="s">
        <v>39</v>
      </c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9"/>
      <c r="AH3389" s="9"/>
      <c r="AI3389" s="9"/>
      <c r="AJ3389" s="9"/>
      <c r="AK3389" s="9"/>
      <c r="AL3389" s="9"/>
      <c r="AM3389" s="9"/>
      <c r="AN3389" s="9"/>
      <c r="AO3389" s="9"/>
    </row>
    <row r="3390" spans="1:41" ht="14.25" x14ac:dyDescent="0.2">
      <c r="A3390" s="2">
        <v>5103051806</v>
      </c>
      <c r="B3390" s="3" t="s">
        <v>42</v>
      </c>
      <c r="C3390" s="9"/>
      <c r="D3390" s="9"/>
      <c r="E3390" s="9"/>
      <c r="F3390" s="9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  <c r="AB3390" s="9"/>
      <c r="AC3390" s="9"/>
      <c r="AD3390" s="9"/>
      <c r="AE3390" s="9"/>
      <c r="AF3390" s="9"/>
      <c r="AG3390" s="9"/>
      <c r="AH3390" s="9"/>
      <c r="AI3390" s="9"/>
      <c r="AJ3390" s="9"/>
      <c r="AK3390" s="9"/>
      <c r="AL3390" s="9"/>
      <c r="AM3390" s="9"/>
      <c r="AN3390" s="9"/>
      <c r="AO3390" s="9"/>
    </row>
    <row r="3391" spans="1:41" ht="14.25" x14ac:dyDescent="0.2">
      <c r="A3391" s="2">
        <v>5103051807</v>
      </c>
      <c r="B3391" s="3" t="s">
        <v>43</v>
      </c>
      <c r="C3391" s="9"/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  <c r="AB3391" s="9"/>
      <c r="AC3391" s="9"/>
      <c r="AD3391" s="9"/>
      <c r="AE3391" s="9"/>
      <c r="AF3391" s="9"/>
      <c r="AG3391" s="9"/>
      <c r="AH3391" s="9"/>
      <c r="AI3391" s="9"/>
      <c r="AJ3391" s="9"/>
      <c r="AK3391" s="9"/>
      <c r="AL3391" s="9"/>
      <c r="AM3391" s="9"/>
      <c r="AN3391" s="9"/>
      <c r="AO3391" s="9"/>
    </row>
    <row r="3392" spans="1:41" ht="14.25" x14ac:dyDescent="0.2">
      <c r="A3392" s="2">
        <v>51030519</v>
      </c>
      <c r="B3392" s="3" t="s">
        <v>59</v>
      </c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9"/>
      <c r="AB3392" s="9"/>
      <c r="AC3392" s="9"/>
      <c r="AD3392" s="9"/>
      <c r="AE3392" s="9"/>
      <c r="AF3392" s="9"/>
      <c r="AG3392" s="9"/>
      <c r="AH3392" s="9"/>
      <c r="AI3392" s="9"/>
      <c r="AJ3392" s="9"/>
      <c r="AK3392" s="9"/>
      <c r="AL3392" s="9"/>
      <c r="AM3392" s="9"/>
      <c r="AN3392" s="9"/>
      <c r="AO3392" s="9"/>
    </row>
    <row r="3393" spans="1:41" ht="14.25" x14ac:dyDescent="0.2">
      <c r="A3393" s="2">
        <v>510306</v>
      </c>
      <c r="B3393" s="3" t="s">
        <v>881</v>
      </c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  <c r="AE3393" s="9"/>
      <c r="AF3393" s="9"/>
      <c r="AG3393" s="9"/>
      <c r="AH3393" s="9"/>
      <c r="AI3393" s="9"/>
      <c r="AJ3393" s="9"/>
      <c r="AK3393" s="9"/>
      <c r="AL3393" s="9"/>
      <c r="AM3393" s="9"/>
      <c r="AN3393" s="9"/>
      <c r="AO3393" s="9"/>
    </row>
    <row r="3394" spans="1:41" ht="14.25" x14ac:dyDescent="0.2">
      <c r="A3394" s="2">
        <v>5104</v>
      </c>
      <c r="B3394" s="3" t="s">
        <v>882</v>
      </c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9"/>
      <c r="AD3394" s="9"/>
      <c r="AE3394" s="9"/>
      <c r="AF3394" s="9"/>
      <c r="AG3394" s="9"/>
      <c r="AH3394" s="9"/>
      <c r="AI3394" s="9"/>
      <c r="AJ3394" s="9"/>
      <c r="AK3394" s="9"/>
      <c r="AL3394" s="9"/>
      <c r="AM3394" s="9"/>
      <c r="AN3394" s="9"/>
      <c r="AO3394" s="9"/>
    </row>
    <row r="3395" spans="1:41" ht="14.25" x14ac:dyDescent="0.2">
      <c r="A3395" s="2">
        <v>510401</v>
      </c>
      <c r="B3395" s="3" t="s">
        <v>883</v>
      </c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  <c r="AF3395" s="9"/>
      <c r="AG3395" s="9"/>
      <c r="AH3395" s="9"/>
      <c r="AI3395" s="9"/>
      <c r="AJ3395" s="9"/>
      <c r="AK3395" s="9"/>
      <c r="AL3395" s="9"/>
      <c r="AM3395" s="9"/>
      <c r="AN3395" s="9"/>
      <c r="AO3395" s="9"/>
    </row>
    <row r="3396" spans="1:41" ht="14.25" x14ac:dyDescent="0.2">
      <c r="A3396" s="2">
        <v>51040102</v>
      </c>
      <c r="B3396" s="3" t="s">
        <v>884</v>
      </c>
      <c r="C3396" s="9"/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9"/>
      <c r="AB3396" s="9"/>
      <c r="AC3396" s="9"/>
      <c r="AD3396" s="9"/>
      <c r="AE3396" s="9"/>
      <c r="AF3396" s="9"/>
      <c r="AG3396" s="9"/>
      <c r="AH3396" s="9"/>
      <c r="AI3396" s="9"/>
      <c r="AJ3396" s="9"/>
      <c r="AK3396" s="9"/>
      <c r="AL3396" s="9"/>
      <c r="AM3396" s="9"/>
      <c r="AN3396" s="9"/>
      <c r="AO3396" s="9"/>
    </row>
    <row r="3397" spans="1:41" x14ac:dyDescent="0.2">
      <c r="A3397" s="5">
        <v>5104010201</v>
      </c>
      <c r="B3397" s="6" t="s">
        <v>95</v>
      </c>
      <c r="C3397" s="12"/>
      <c r="D3397" s="12"/>
      <c r="E3397" s="12"/>
      <c r="F3397" s="12"/>
      <c r="G3397" s="12"/>
      <c r="H3397" s="12"/>
      <c r="I3397" s="12"/>
      <c r="J3397" s="12"/>
      <c r="K3397" s="12"/>
      <c r="L3397" s="12"/>
      <c r="M3397" s="12"/>
      <c r="N3397" s="12"/>
      <c r="O3397" s="12"/>
      <c r="P3397" s="12"/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  <c r="AA3397" s="12"/>
      <c r="AB3397" s="12"/>
      <c r="AC3397" s="12"/>
      <c r="AD3397" s="12"/>
      <c r="AE3397" s="12"/>
      <c r="AF3397" s="12"/>
      <c r="AG3397" s="12"/>
      <c r="AH3397" s="12"/>
      <c r="AI3397" s="12"/>
      <c r="AJ3397" s="12"/>
      <c r="AK3397" s="12"/>
      <c r="AL3397" s="12"/>
      <c r="AM3397" s="12"/>
      <c r="AN3397" s="12"/>
      <c r="AO3397" s="12"/>
    </row>
    <row r="3398" spans="1:41" x14ac:dyDescent="0.2">
      <c r="A3398" s="5">
        <v>5104010202</v>
      </c>
      <c r="B3398" s="6" t="s">
        <v>96</v>
      </c>
      <c r="C3398" s="12"/>
      <c r="D3398" s="12"/>
      <c r="E3398" s="12"/>
      <c r="F3398" s="12"/>
      <c r="G3398" s="12"/>
      <c r="H3398" s="12"/>
      <c r="I3398" s="12"/>
      <c r="J3398" s="12"/>
      <c r="K3398" s="12"/>
      <c r="L3398" s="12"/>
      <c r="M3398" s="12"/>
      <c r="N3398" s="12"/>
      <c r="O3398" s="12"/>
      <c r="P3398" s="12"/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  <c r="AA3398" s="12"/>
      <c r="AB3398" s="12"/>
      <c r="AC3398" s="12"/>
      <c r="AD3398" s="12"/>
      <c r="AE3398" s="12"/>
      <c r="AF3398" s="12"/>
      <c r="AG3398" s="12"/>
      <c r="AH3398" s="12"/>
      <c r="AI3398" s="12"/>
      <c r="AJ3398" s="12"/>
      <c r="AK3398" s="12"/>
      <c r="AL3398" s="12"/>
      <c r="AM3398" s="12"/>
      <c r="AN3398" s="12"/>
      <c r="AO3398" s="12"/>
    </row>
    <row r="3399" spans="1:41" ht="14.25" x14ac:dyDescent="0.2">
      <c r="A3399" s="2">
        <v>5104010203</v>
      </c>
      <c r="B3399" s="3" t="s">
        <v>97</v>
      </c>
      <c r="C3399" s="9"/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  <c r="AE3399" s="9"/>
      <c r="AF3399" s="9"/>
      <c r="AG3399" s="9"/>
      <c r="AH3399" s="9"/>
      <c r="AI3399" s="9"/>
      <c r="AJ3399" s="9"/>
      <c r="AK3399" s="9"/>
      <c r="AL3399" s="9"/>
      <c r="AM3399" s="9"/>
      <c r="AN3399" s="9"/>
      <c r="AO3399" s="9"/>
    </row>
    <row r="3400" spans="1:41" ht="14.25" x14ac:dyDescent="0.2">
      <c r="A3400" s="2">
        <v>5104010204</v>
      </c>
      <c r="B3400" s="3" t="s">
        <v>101</v>
      </c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  <c r="AE3400" s="9"/>
      <c r="AF3400" s="9"/>
      <c r="AG3400" s="9"/>
      <c r="AH3400" s="9"/>
      <c r="AI3400" s="9"/>
      <c r="AJ3400" s="9"/>
      <c r="AK3400" s="9"/>
      <c r="AL3400" s="9"/>
      <c r="AM3400" s="9"/>
      <c r="AN3400" s="9"/>
      <c r="AO3400" s="9"/>
    </row>
    <row r="3401" spans="1:41" ht="14.25" x14ac:dyDescent="0.2">
      <c r="A3401" s="2">
        <v>5104010205</v>
      </c>
      <c r="B3401" s="3" t="s">
        <v>106</v>
      </c>
      <c r="C3401" s="9"/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  <c r="AF3401" s="9"/>
      <c r="AG3401" s="9"/>
      <c r="AH3401" s="9"/>
      <c r="AI3401" s="9"/>
      <c r="AJ3401" s="9"/>
      <c r="AK3401" s="9"/>
      <c r="AL3401" s="9"/>
      <c r="AM3401" s="9"/>
      <c r="AN3401" s="9"/>
      <c r="AO3401" s="9"/>
    </row>
    <row r="3402" spans="1:41" ht="14.25" x14ac:dyDescent="0.2">
      <c r="A3402" s="2">
        <v>5104010206</v>
      </c>
      <c r="B3402" s="3" t="s">
        <v>111</v>
      </c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  <c r="AA3402" s="9"/>
      <c r="AB3402" s="9"/>
      <c r="AC3402" s="9"/>
      <c r="AD3402" s="9"/>
      <c r="AE3402" s="9"/>
      <c r="AF3402" s="9"/>
      <c r="AG3402" s="9"/>
      <c r="AH3402" s="9"/>
      <c r="AI3402" s="9"/>
      <c r="AJ3402" s="9"/>
      <c r="AK3402" s="9"/>
      <c r="AL3402" s="9"/>
      <c r="AM3402" s="9"/>
      <c r="AN3402" s="9"/>
      <c r="AO3402" s="9"/>
    </row>
    <row r="3403" spans="1:41" ht="14.25" x14ac:dyDescent="0.2">
      <c r="A3403" s="2">
        <v>5104010207</v>
      </c>
      <c r="B3403" s="3" t="s">
        <v>112</v>
      </c>
      <c r="C3403" s="9"/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  <c r="AB3403" s="9"/>
      <c r="AC3403" s="9"/>
      <c r="AD3403" s="9"/>
      <c r="AE3403" s="9"/>
      <c r="AF3403" s="9"/>
      <c r="AG3403" s="9"/>
      <c r="AH3403" s="9"/>
      <c r="AI3403" s="9"/>
      <c r="AJ3403" s="9"/>
      <c r="AK3403" s="9"/>
      <c r="AL3403" s="9"/>
      <c r="AM3403" s="9"/>
      <c r="AN3403" s="9"/>
      <c r="AO3403" s="9"/>
    </row>
    <row r="3404" spans="1:41" ht="14.25" x14ac:dyDescent="0.2">
      <c r="A3404" s="2">
        <v>5104010211</v>
      </c>
      <c r="B3404" s="3" t="s">
        <v>113</v>
      </c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  <c r="AB3404" s="9"/>
      <c r="AC3404" s="9"/>
      <c r="AD3404" s="9"/>
      <c r="AE3404" s="9"/>
      <c r="AF3404" s="9"/>
      <c r="AG3404" s="9"/>
      <c r="AH3404" s="9"/>
      <c r="AI3404" s="9"/>
      <c r="AJ3404" s="9"/>
      <c r="AK3404" s="9"/>
      <c r="AL3404" s="9"/>
      <c r="AM3404" s="9"/>
      <c r="AN3404" s="9"/>
      <c r="AO3404" s="9"/>
    </row>
    <row r="3405" spans="1:41" ht="14.25" x14ac:dyDescent="0.2">
      <c r="A3405" s="2">
        <v>5104010212</v>
      </c>
      <c r="B3405" s="3" t="s">
        <v>114</v>
      </c>
      <c r="C3405" s="9"/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  <c r="AF3405" s="9"/>
      <c r="AG3405" s="9"/>
      <c r="AH3405" s="9"/>
      <c r="AI3405" s="9"/>
      <c r="AJ3405" s="9"/>
      <c r="AK3405" s="9"/>
      <c r="AL3405" s="9"/>
      <c r="AM3405" s="9"/>
      <c r="AN3405" s="9"/>
      <c r="AO3405" s="9"/>
    </row>
    <row r="3406" spans="1:41" ht="14.25" x14ac:dyDescent="0.2">
      <c r="A3406" s="2">
        <v>5104010221</v>
      </c>
      <c r="B3406" s="3" t="s">
        <v>115</v>
      </c>
      <c r="C3406" s="9"/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9"/>
      <c r="AH3406" s="9"/>
      <c r="AI3406" s="9"/>
      <c r="AJ3406" s="9"/>
      <c r="AK3406" s="9"/>
      <c r="AL3406" s="9"/>
      <c r="AM3406" s="9"/>
      <c r="AN3406" s="9"/>
      <c r="AO3406" s="9"/>
    </row>
    <row r="3407" spans="1:41" ht="14.25" x14ac:dyDescent="0.2">
      <c r="A3407" s="2">
        <v>5104010227</v>
      </c>
      <c r="B3407" s="3" t="s">
        <v>166</v>
      </c>
      <c r="C3407" s="9"/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  <c r="AF3407" s="9"/>
      <c r="AG3407" s="9"/>
      <c r="AH3407" s="9"/>
      <c r="AI3407" s="9"/>
      <c r="AJ3407" s="9"/>
      <c r="AK3407" s="9"/>
      <c r="AL3407" s="9"/>
      <c r="AM3407" s="9"/>
      <c r="AN3407" s="9"/>
      <c r="AO3407" s="9"/>
    </row>
    <row r="3408" spans="1:41" ht="14.25" x14ac:dyDescent="0.2">
      <c r="A3408" s="2">
        <v>5104010299</v>
      </c>
      <c r="B3408" s="3" t="s">
        <v>117</v>
      </c>
      <c r="C3408" s="9"/>
      <c r="D3408" s="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  <c r="AB3408" s="9"/>
      <c r="AC3408" s="9"/>
      <c r="AD3408" s="9"/>
      <c r="AE3408" s="9"/>
      <c r="AF3408" s="9"/>
      <c r="AG3408" s="9"/>
      <c r="AH3408" s="9"/>
      <c r="AI3408" s="9"/>
      <c r="AJ3408" s="9"/>
      <c r="AK3408" s="9"/>
      <c r="AL3408" s="9"/>
      <c r="AM3408" s="9"/>
      <c r="AN3408" s="9"/>
      <c r="AO3408" s="9"/>
    </row>
    <row r="3409" spans="1:41" ht="14.25" x14ac:dyDescent="0.2">
      <c r="A3409" s="2">
        <v>51040103</v>
      </c>
      <c r="B3409" s="3" t="s">
        <v>885</v>
      </c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9"/>
      <c r="AD3409" s="9"/>
      <c r="AE3409" s="9"/>
      <c r="AF3409" s="9"/>
      <c r="AG3409" s="9"/>
      <c r="AH3409" s="9"/>
      <c r="AI3409" s="9"/>
      <c r="AJ3409" s="9"/>
      <c r="AK3409" s="9"/>
      <c r="AL3409" s="9"/>
      <c r="AM3409" s="9"/>
      <c r="AN3409" s="9"/>
      <c r="AO3409" s="9"/>
    </row>
    <row r="3410" spans="1:41" x14ac:dyDescent="0.2">
      <c r="A3410" s="5">
        <v>5104010301</v>
      </c>
      <c r="B3410" s="6" t="s">
        <v>95</v>
      </c>
      <c r="C3410" s="12"/>
      <c r="D3410" s="12"/>
      <c r="E3410" s="12"/>
      <c r="F3410" s="12"/>
      <c r="G3410" s="12"/>
      <c r="H3410" s="12"/>
      <c r="I3410" s="12"/>
      <c r="J3410" s="12"/>
      <c r="K3410" s="12"/>
      <c r="L3410" s="12"/>
      <c r="M3410" s="12"/>
      <c r="N3410" s="12"/>
      <c r="O3410" s="12"/>
      <c r="P3410" s="12"/>
      <c r="Q3410" s="12"/>
      <c r="R3410" s="12"/>
      <c r="S3410" s="12"/>
      <c r="T3410" s="12"/>
      <c r="U3410" s="12"/>
      <c r="V3410" s="12"/>
      <c r="W3410" s="12"/>
      <c r="X3410" s="12"/>
      <c r="Y3410" s="12"/>
      <c r="Z3410" s="12"/>
      <c r="AA3410" s="12"/>
      <c r="AB3410" s="12"/>
      <c r="AC3410" s="12"/>
      <c r="AD3410" s="12"/>
      <c r="AE3410" s="12"/>
      <c r="AF3410" s="12"/>
      <c r="AG3410" s="12"/>
      <c r="AH3410" s="12"/>
      <c r="AI3410" s="12"/>
      <c r="AJ3410" s="12"/>
      <c r="AK3410" s="12"/>
      <c r="AL3410" s="12"/>
      <c r="AM3410" s="12"/>
      <c r="AN3410" s="12"/>
      <c r="AO3410" s="12"/>
    </row>
    <row r="3411" spans="1:41" x14ac:dyDescent="0.2">
      <c r="A3411" s="5">
        <v>5104010302</v>
      </c>
      <c r="B3411" s="6" t="s">
        <v>96</v>
      </c>
      <c r="C3411" s="12"/>
      <c r="D3411" s="12"/>
      <c r="E3411" s="12"/>
      <c r="F3411" s="12"/>
      <c r="G3411" s="12"/>
      <c r="H3411" s="12"/>
      <c r="I3411" s="12"/>
      <c r="J3411" s="12"/>
      <c r="K3411" s="12"/>
      <c r="L3411" s="12"/>
      <c r="M3411" s="12"/>
      <c r="N3411" s="12"/>
      <c r="O3411" s="12"/>
      <c r="P3411" s="12"/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  <c r="AA3411" s="12"/>
      <c r="AB3411" s="12"/>
      <c r="AC3411" s="12"/>
      <c r="AD3411" s="12"/>
      <c r="AE3411" s="12"/>
      <c r="AF3411" s="12"/>
      <c r="AG3411" s="12"/>
      <c r="AH3411" s="12"/>
      <c r="AI3411" s="12"/>
      <c r="AJ3411" s="12"/>
      <c r="AK3411" s="12"/>
      <c r="AL3411" s="12"/>
      <c r="AM3411" s="12"/>
      <c r="AN3411" s="12"/>
      <c r="AO3411" s="12"/>
    </row>
    <row r="3412" spans="1:41" ht="14.25" x14ac:dyDescent="0.2">
      <c r="A3412" s="2">
        <v>5104010303</v>
      </c>
      <c r="B3412" s="3" t="s">
        <v>97</v>
      </c>
      <c r="C3412" s="9"/>
      <c r="D3412" s="9"/>
      <c r="E3412" s="9"/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9"/>
      <c r="AD3412" s="9"/>
      <c r="AE3412" s="9"/>
      <c r="AF3412" s="9"/>
      <c r="AG3412" s="9"/>
      <c r="AH3412" s="9"/>
      <c r="AI3412" s="9"/>
      <c r="AJ3412" s="9"/>
      <c r="AK3412" s="9"/>
      <c r="AL3412" s="9"/>
      <c r="AM3412" s="9"/>
      <c r="AN3412" s="9"/>
      <c r="AO3412" s="9"/>
    </row>
    <row r="3413" spans="1:41" s="15" customFormat="1" ht="14.25" x14ac:dyDescent="0.2">
      <c r="A3413" s="18" t="s">
        <v>2076</v>
      </c>
      <c r="B3413" s="19" t="s">
        <v>2077</v>
      </c>
      <c r="C3413" s="20">
        <v>-593805.85</v>
      </c>
      <c r="D3413" s="20">
        <v>-1227124.5</v>
      </c>
      <c r="E3413" s="20">
        <v>-1887740.72</v>
      </c>
      <c r="F3413" s="20">
        <v>-2653620.2599999998</v>
      </c>
      <c r="G3413" s="20">
        <v>-3403934.66</v>
      </c>
      <c r="H3413" s="20">
        <v>-4239057.1399999997</v>
      </c>
      <c r="I3413" s="20">
        <v>-5053137.41</v>
      </c>
      <c r="J3413" s="20">
        <v>-5971055.2800000003</v>
      </c>
      <c r="K3413" s="20">
        <v>-6849458.5</v>
      </c>
      <c r="L3413" s="20">
        <v>-7740745.4699999997</v>
      </c>
      <c r="M3413" s="20">
        <v>-8673118.8699999992</v>
      </c>
      <c r="N3413" s="20">
        <v>-8629640.7899999991</v>
      </c>
      <c r="O3413" s="20">
        <v>-727819.72</v>
      </c>
      <c r="P3413" s="20">
        <v>-1357267.97</v>
      </c>
      <c r="Q3413" s="20">
        <v>-1998688.8</v>
      </c>
      <c r="R3413" s="20">
        <v>-2632834.37</v>
      </c>
      <c r="S3413" s="20">
        <v>-3262836.47</v>
      </c>
      <c r="T3413" s="20">
        <v>-3971832.21</v>
      </c>
      <c r="U3413" s="20">
        <v>-4653775.3899999997</v>
      </c>
      <c r="V3413" s="20">
        <v>-5329249.95</v>
      </c>
      <c r="W3413" s="20">
        <v>-6007727.3600000003</v>
      </c>
      <c r="X3413" s="20">
        <v>-6749858.9100000001</v>
      </c>
      <c r="Y3413" s="20">
        <v>-7478966.9199999999</v>
      </c>
      <c r="Z3413" s="20">
        <v>-8476259.3300000001</v>
      </c>
      <c r="AA3413" s="20">
        <v>-803281.92000000004</v>
      </c>
      <c r="AB3413" s="20">
        <v>-1433605.6</v>
      </c>
      <c r="AC3413" s="20">
        <v>-2238539.8199999998</v>
      </c>
      <c r="AD3413" s="20">
        <v>-2991213.98</v>
      </c>
      <c r="AE3413" s="20">
        <v>-3708662.31</v>
      </c>
      <c r="AF3413" s="20">
        <v>-4459961.34</v>
      </c>
      <c r="AG3413" s="20">
        <v>-5233435.46</v>
      </c>
      <c r="AH3413" s="20">
        <v>-6059788.4299999997</v>
      </c>
      <c r="AI3413" s="20">
        <v>-6896962.5099999998</v>
      </c>
      <c r="AJ3413" s="20">
        <v>-7719367.9699999997</v>
      </c>
      <c r="AK3413" s="20">
        <v>-8542298.8900000006</v>
      </c>
      <c r="AL3413" s="20">
        <v>-9672920.0099999998</v>
      </c>
      <c r="AM3413" s="20">
        <v>-871646.66</v>
      </c>
      <c r="AN3413" s="20">
        <v>-1582912.03</v>
      </c>
      <c r="AO3413" s="20">
        <v>-2492481.5699999998</v>
      </c>
    </row>
    <row r="3414" spans="1:41" ht="14.25" x14ac:dyDescent="0.2">
      <c r="A3414" s="2">
        <v>5104010307</v>
      </c>
      <c r="B3414" s="3" t="s">
        <v>112</v>
      </c>
      <c r="C3414" s="9"/>
      <c r="D3414" s="9"/>
      <c r="E3414" s="9"/>
      <c r="F3414" s="9"/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9"/>
      <c r="AD3414" s="9"/>
      <c r="AE3414" s="9"/>
      <c r="AF3414" s="9"/>
      <c r="AG3414" s="9"/>
      <c r="AH3414" s="9"/>
      <c r="AI3414" s="9"/>
      <c r="AJ3414" s="9"/>
      <c r="AK3414" s="9"/>
      <c r="AL3414" s="9"/>
      <c r="AM3414" s="9"/>
      <c r="AN3414" s="9"/>
      <c r="AO3414" s="9"/>
    </row>
    <row r="3415" spans="1:41" ht="14.25" x14ac:dyDescent="0.2">
      <c r="A3415" s="2">
        <v>5104010311</v>
      </c>
      <c r="B3415" s="3" t="s">
        <v>113</v>
      </c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9"/>
      <c r="AD3415" s="9"/>
      <c r="AE3415" s="9"/>
      <c r="AF3415" s="9"/>
      <c r="AG3415" s="9"/>
      <c r="AH3415" s="9"/>
      <c r="AI3415" s="9"/>
      <c r="AJ3415" s="9"/>
      <c r="AK3415" s="9"/>
      <c r="AL3415" s="9"/>
      <c r="AM3415" s="9"/>
      <c r="AN3415" s="9"/>
      <c r="AO3415" s="9"/>
    </row>
    <row r="3416" spans="1:41" ht="14.25" x14ac:dyDescent="0.2">
      <c r="A3416" s="2">
        <v>5104010312</v>
      </c>
      <c r="B3416" s="3" t="s">
        <v>114</v>
      </c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/>
      <c r="AC3416" s="9"/>
      <c r="AD3416" s="9"/>
      <c r="AE3416" s="9"/>
      <c r="AF3416" s="9"/>
      <c r="AG3416" s="9"/>
      <c r="AH3416" s="9"/>
      <c r="AI3416" s="9"/>
      <c r="AJ3416" s="9"/>
      <c r="AK3416" s="9"/>
      <c r="AL3416" s="9"/>
      <c r="AM3416" s="9"/>
      <c r="AN3416" s="9"/>
      <c r="AO3416" s="9"/>
    </row>
    <row r="3417" spans="1:41" ht="14.25" x14ac:dyDescent="0.2">
      <c r="A3417" s="2">
        <v>5104010313</v>
      </c>
      <c r="B3417" s="3" t="s">
        <v>129</v>
      </c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9"/>
      <c r="AD3417" s="9"/>
      <c r="AE3417" s="9"/>
      <c r="AF3417" s="9"/>
      <c r="AG3417" s="9"/>
      <c r="AH3417" s="9"/>
      <c r="AI3417" s="9"/>
      <c r="AJ3417" s="9"/>
      <c r="AK3417" s="9"/>
      <c r="AL3417" s="9"/>
      <c r="AM3417" s="9"/>
      <c r="AN3417" s="9"/>
      <c r="AO3417" s="9"/>
    </row>
    <row r="3418" spans="1:41" ht="14.25" x14ac:dyDescent="0.2">
      <c r="A3418" s="2">
        <v>5104010399</v>
      </c>
      <c r="B3418" s="3" t="s">
        <v>117</v>
      </c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9"/>
      <c r="AD3418" s="9"/>
      <c r="AE3418" s="9"/>
      <c r="AF3418" s="9"/>
      <c r="AG3418" s="9"/>
      <c r="AH3418" s="9"/>
      <c r="AI3418" s="9"/>
      <c r="AJ3418" s="9"/>
      <c r="AK3418" s="9"/>
      <c r="AL3418" s="9"/>
      <c r="AM3418" s="9"/>
      <c r="AN3418" s="9"/>
      <c r="AO3418" s="9"/>
    </row>
    <row r="3419" spans="1:41" ht="14.25" x14ac:dyDescent="0.2">
      <c r="A3419" s="2">
        <v>51040104</v>
      </c>
      <c r="B3419" s="3" t="s">
        <v>886</v>
      </c>
      <c r="C3419" s="9"/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  <c r="AE3419" s="9"/>
      <c r="AF3419" s="9"/>
      <c r="AG3419" s="9"/>
      <c r="AH3419" s="9"/>
      <c r="AI3419" s="9"/>
      <c r="AJ3419" s="9"/>
      <c r="AK3419" s="9"/>
      <c r="AL3419" s="9"/>
      <c r="AM3419" s="9"/>
      <c r="AN3419" s="9"/>
      <c r="AO3419" s="9"/>
    </row>
    <row r="3420" spans="1:41" ht="14.25" x14ac:dyDescent="0.2">
      <c r="A3420" s="2">
        <v>5104010406</v>
      </c>
      <c r="B3420" s="3" t="s">
        <v>131</v>
      </c>
      <c r="C3420" s="9"/>
      <c r="D3420" s="9"/>
      <c r="E3420" s="9"/>
      <c r="F3420" s="9"/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  <c r="AF3420" s="9"/>
      <c r="AG3420" s="9"/>
      <c r="AH3420" s="9"/>
      <c r="AI3420" s="9"/>
      <c r="AJ3420" s="9"/>
      <c r="AK3420" s="9"/>
      <c r="AL3420" s="9"/>
      <c r="AM3420" s="9"/>
      <c r="AN3420" s="9"/>
      <c r="AO3420" s="9"/>
    </row>
    <row r="3421" spans="1:41" ht="14.25" x14ac:dyDescent="0.2">
      <c r="A3421" s="2">
        <v>5104010423</v>
      </c>
      <c r="B3421" s="3" t="s">
        <v>887</v>
      </c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  <c r="AF3421" s="9"/>
      <c r="AG3421" s="9"/>
      <c r="AH3421" s="9"/>
      <c r="AI3421" s="9"/>
      <c r="AJ3421" s="9"/>
      <c r="AK3421" s="9"/>
      <c r="AL3421" s="9"/>
      <c r="AM3421" s="9"/>
      <c r="AN3421" s="9"/>
      <c r="AO3421" s="9"/>
    </row>
    <row r="3422" spans="1:41" ht="28.5" x14ac:dyDescent="0.2">
      <c r="A3422" s="2">
        <v>5104010424</v>
      </c>
      <c r="B3422" s="4" t="s">
        <v>135</v>
      </c>
      <c r="C3422" s="11"/>
      <c r="D3422" s="11"/>
      <c r="E3422" s="11"/>
      <c r="F3422" s="11"/>
      <c r="G3422" s="11"/>
      <c r="H3422" s="11"/>
      <c r="I3422" s="11"/>
      <c r="J3422" s="11"/>
      <c r="K3422" s="11"/>
      <c r="L3422" s="11"/>
      <c r="M3422" s="11"/>
      <c r="N3422" s="11"/>
      <c r="O3422" s="11"/>
      <c r="P3422" s="11"/>
      <c r="Q3422" s="11"/>
      <c r="R3422" s="11"/>
      <c r="S3422" s="11"/>
      <c r="T3422" s="11"/>
      <c r="U3422" s="11"/>
      <c r="V3422" s="11"/>
      <c r="W3422" s="11"/>
      <c r="X3422" s="11"/>
      <c r="Y3422" s="11"/>
      <c r="Z3422" s="11"/>
      <c r="AA3422" s="11"/>
      <c r="AB3422" s="11"/>
      <c r="AC3422" s="11"/>
      <c r="AD3422" s="11"/>
      <c r="AE3422" s="11"/>
      <c r="AF3422" s="11"/>
      <c r="AG3422" s="11"/>
      <c r="AH3422" s="11"/>
      <c r="AI3422" s="11"/>
      <c r="AJ3422" s="11"/>
      <c r="AK3422" s="11"/>
      <c r="AL3422" s="11"/>
      <c r="AM3422" s="11"/>
      <c r="AN3422" s="11"/>
      <c r="AO3422" s="11"/>
    </row>
    <row r="3423" spans="1:41" ht="28.5" x14ac:dyDescent="0.2">
      <c r="A3423" s="2">
        <v>5104010425</v>
      </c>
      <c r="B3423" s="4" t="s">
        <v>136</v>
      </c>
      <c r="C3423" s="11"/>
      <c r="D3423" s="11"/>
      <c r="E3423" s="11"/>
      <c r="F3423" s="11"/>
      <c r="G3423" s="11"/>
      <c r="H3423" s="11"/>
      <c r="I3423" s="11"/>
      <c r="J3423" s="11"/>
      <c r="K3423" s="11"/>
      <c r="L3423" s="11"/>
      <c r="M3423" s="11"/>
      <c r="N3423" s="11"/>
      <c r="O3423" s="11"/>
      <c r="P3423" s="11"/>
      <c r="Q3423" s="11"/>
      <c r="R3423" s="11"/>
      <c r="S3423" s="11"/>
      <c r="T3423" s="11"/>
      <c r="U3423" s="11"/>
      <c r="V3423" s="11"/>
      <c r="W3423" s="11"/>
      <c r="X3423" s="11"/>
      <c r="Y3423" s="11"/>
      <c r="Z3423" s="11"/>
      <c r="AA3423" s="11"/>
      <c r="AB3423" s="11"/>
      <c r="AC3423" s="11"/>
      <c r="AD3423" s="11"/>
      <c r="AE3423" s="11"/>
      <c r="AF3423" s="11"/>
      <c r="AG3423" s="11"/>
      <c r="AH3423" s="11"/>
      <c r="AI3423" s="11"/>
      <c r="AJ3423" s="11"/>
      <c r="AK3423" s="11"/>
      <c r="AL3423" s="11"/>
      <c r="AM3423" s="11"/>
      <c r="AN3423" s="11"/>
      <c r="AO3423" s="11"/>
    </row>
    <row r="3424" spans="1:41" ht="14.25" x14ac:dyDescent="0.2">
      <c r="A3424" s="2">
        <v>5104010428</v>
      </c>
      <c r="B3424" s="3" t="s">
        <v>137</v>
      </c>
      <c r="C3424" s="9"/>
      <c r="D3424" s="9"/>
      <c r="E3424" s="9"/>
      <c r="F3424" s="9"/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  <c r="AE3424" s="9"/>
      <c r="AF3424" s="9"/>
      <c r="AG3424" s="9"/>
      <c r="AH3424" s="9"/>
      <c r="AI3424" s="9"/>
      <c r="AJ3424" s="9"/>
      <c r="AK3424" s="9"/>
      <c r="AL3424" s="9"/>
      <c r="AM3424" s="9"/>
      <c r="AN3424" s="9"/>
      <c r="AO3424" s="9"/>
    </row>
    <row r="3425" spans="1:41" ht="14.25" x14ac:dyDescent="0.2">
      <c r="A3425" s="2">
        <v>5104010499</v>
      </c>
      <c r="B3425" s="3" t="s">
        <v>117</v>
      </c>
      <c r="C3425" s="9"/>
      <c r="D3425" s="9"/>
      <c r="E3425" s="9"/>
      <c r="F3425" s="9"/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9"/>
      <c r="AH3425" s="9"/>
      <c r="AI3425" s="9"/>
      <c r="AJ3425" s="9"/>
      <c r="AK3425" s="9"/>
      <c r="AL3425" s="9"/>
      <c r="AM3425" s="9"/>
      <c r="AN3425" s="9"/>
      <c r="AO3425" s="9"/>
    </row>
    <row r="3426" spans="1:41" x14ac:dyDescent="0.2">
      <c r="A3426" s="5">
        <v>51040107</v>
      </c>
      <c r="B3426" s="6" t="s">
        <v>888</v>
      </c>
      <c r="C3426" s="12"/>
      <c r="D3426" s="12"/>
      <c r="E3426" s="12"/>
      <c r="F3426" s="12"/>
      <c r="G3426" s="12"/>
      <c r="H3426" s="12"/>
      <c r="I3426" s="12"/>
      <c r="J3426" s="12"/>
      <c r="K3426" s="12"/>
      <c r="L3426" s="12"/>
      <c r="M3426" s="12"/>
      <c r="N3426" s="12"/>
      <c r="O3426" s="12"/>
      <c r="P3426" s="12"/>
      <c r="Q3426" s="12"/>
      <c r="R3426" s="12"/>
      <c r="S3426" s="12"/>
      <c r="T3426" s="12"/>
      <c r="U3426" s="12"/>
      <c r="V3426" s="12"/>
      <c r="W3426" s="12"/>
      <c r="X3426" s="12"/>
      <c r="Y3426" s="12"/>
      <c r="Z3426" s="12"/>
      <c r="AA3426" s="12"/>
      <c r="AB3426" s="12"/>
      <c r="AC3426" s="12"/>
      <c r="AD3426" s="12"/>
      <c r="AE3426" s="12"/>
      <c r="AF3426" s="12"/>
      <c r="AG3426" s="12"/>
      <c r="AH3426" s="12"/>
      <c r="AI3426" s="12"/>
      <c r="AJ3426" s="12"/>
      <c r="AK3426" s="12"/>
      <c r="AL3426" s="12"/>
      <c r="AM3426" s="12"/>
      <c r="AN3426" s="12"/>
      <c r="AO3426" s="12"/>
    </row>
    <row r="3427" spans="1:41" x14ac:dyDescent="0.2">
      <c r="A3427" s="5">
        <v>5104010701</v>
      </c>
      <c r="B3427" s="6" t="s">
        <v>95</v>
      </c>
      <c r="C3427" s="12"/>
      <c r="D3427" s="12"/>
      <c r="E3427" s="12"/>
      <c r="F3427" s="12"/>
      <c r="G3427" s="12"/>
      <c r="H3427" s="12"/>
      <c r="I3427" s="12"/>
      <c r="J3427" s="12"/>
      <c r="K3427" s="12"/>
      <c r="L3427" s="12"/>
      <c r="M3427" s="12"/>
      <c r="N3427" s="12"/>
      <c r="O3427" s="12"/>
      <c r="P3427" s="12"/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  <c r="AA3427" s="12"/>
      <c r="AB3427" s="12"/>
      <c r="AC3427" s="12"/>
      <c r="AD3427" s="12"/>
      <c r="AE3427" s="12"/>
      <c r="AF3427" s="12"/>
      <c r="AG3427" s="12"/>
      <c r="AH3427" s="12"/>
      <c r="AI3427" s="12"/>
      <c r="AJ3427" s="12"/>
      <c r="AK3427" s="12"/>
      <c r="AL3427" s="12"/>
      <c r="AM3427" s="12"/>
      <c r="AN3427" s="12"/>
      <c r="AO3427" s="12"/>
    </row>
    <row r="3428" spans="1:41" x14ac:dyDescent="0.2">
      <c r="A3428" s="5">
        <v>5104010702</v>
      </c>
      <c r="B3428" s="6" t="s">
        <v>96</v>
      </c>
      <c r="C3428" s="12"/>
      <c r="D3428" s="12"/>
      <c r="E3428" s="12"/>
      <c r="F3428" s="12"/>
      <c r="G3428" s="12"/>
      <c r="H3428" s="12"/>
      <c r="I3428" s="12"/>
      <c r="J3428" s="12"/>
      <c r="K3428" s="12"/>
      <c r="L3428" s="12"/>
      <c r="M3428" s="12"/>
      <c r="N3428" s="12"/>
      <c r="O3428" s="12"/>
      <c r="P3428" s="12"/>
      <c r="Q3428" s="12"/>
      <c r="R3428" s="12"/>
      <c r="S3428" s="12"/>
      <c r="T3428" s="12"/>
      <c r="U3428" s="12"/>
      <c r="V3428" s="12"/>
      <c r="W3428" s="12"/>
      <c r="X3428" s="12"/>
      <c r="Y3428" s="12"/>
      <c r="Z3428" s="12"/>
      <c r="AA3428" s="12"/>
      <c r="AB3428" s="12"/>
      <c r="AC3428" s="12"/>
      <c r="AD3428" s="12"/>
      <c r="AE3428" s="12"/>
      <c r="AF3428" s="12"/>
      <c r="AG3428" s="12"/>
      <c r="AH3428" s="12"/>
      <c r="AI3428" s="12"/>
      <c r="AJ3428" s="12"/>
      <c r="AK3428" s="12"/>
      <c r="AL3428" s="12"/>
      <c r="AM3428" s="12"/>
      <c r="AN3428" s="12"/>
      <c r="AO3428" s="12"/>
    </row>
    <row r="3429" spans="1:41" x14ac:dyDescent="0.2">
      <c r="A3429" s="5">
        <v>5104010703</v>
      </c>
      <c r="B3429" s="6" t="s">
        <v>139</v>
      </c>
      <c r="C3429" s="12"/>
      <c r="D3429" s="12"/>
      <c r="E3429" s="12"/>
      <c r="F3429" s="12"/>
      <c r="G3429" s="12"/>
      <c r="H3429" s="12"/>
      <c r="I3429" s="12"/>
      <c r="J3429" s="12"/>
      <c r="K3429" s="12"/>
      <c r="L3429" s="12"/>
      <c r="M3429" s="12"/>
      <c r="N3429" s="12"/>
      <c r="O3429" s="12"/>
      <c r="P3429" s="12"/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  <c r="AA3429" s="12"/>
      <c r="AB3429" s="12"/>
      <c r="AC3429" s="12"/>
      <c r="AD3429" s="12"/>
      <c r="AE3429" s="12"/>
      <c r="AF3429" s="12"/>
      <c r="AG3429" s="12"/>
      <c r="AH3429" s="12"/>
      <c r="AI3429" s="12"/>
      <c r="AJ3429" s="12"/>
      <c r="AK3429" s="12"/>
      <c r="AL3429" s="12"/>
      <c r="AM3429" s="12"/>
      <c r="AN3429" s="12"/>
      <c r="AO3429" s="12"/>
    </row>
    <row r="3430" spans="1:41" x14ac:dyDescent="0.2">
      <c r="A3430" s="5">
        <v>5104010704</v>
      </c>
      <c r="B3430" s="6" t="s">
        <v>140</v>
      </c>
      <c r="C3430" s="12"/>
      <c r="D3430" s="12"/>
      <c r="E3430" s="12"/>
      <c r="F3430" s="12"/>
      <c r="G3430" s="12"/>
      <c r="H3430" s="12"/>
      <c r="I3430" s="12"/>
      <c r="J3430" s="12"/>
      <c r="K3430" s="12"/>
      <c r="L3430" s="12"/>
      <c r="M3430" s="12"/>
      <c r="N3430" s="12"/>
      <c r="O3430" s="12"/>
      <c r="P3430" s="12"/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  <c r="AA3430" s="12"/>
      <c r="AB3430" s="12"/>
      <c r="AC3430" s="12"/>
      <c r="AD3430" s="12"/>
      <c r="AE3430" s="12"/>
      <c r="AF3430" s="12"/>
      <c r="AG3430" s="12"/>
      <c r="AH3430" s="12"/>
      <c r="AI3430" s="12"/>
      <c r="AJ3430" s="12"/>
      <c r="AK3430" s="12"/>
      <c r="AL3430" s="12"/>
      <c r="AM3430" s="12"/>
      <c r="AN3430" s="12"/>
      <c r="AO3430" s="12"/>
    </row>
    <row r="3431" spans="1:41" x14ac:dyDescent="0.2">
      <c r="A3431" s="5">
        <v>5104010705</v>
      </c>
      <c r="B3431" s="6" t="s">
        <v>145</v>
      </c>
      <c r="C3431" s="12"/>
      <c r="D3431" s="12"/>
      <c r="E3431" s="12"/>
      <c r="F3431" s="12"/>
      <c r="G3431" s="12"/>
      <c r="H3431" s="12"/>
      <c r="I3431" s="12"/>
      <c r="J3431" s="12"/>
      <c r="K3431" s="12"/>
      <c r="L3431" s="12"/>
      <c r="M3431" s="12"/>
      <c r="N3431" s="12"/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  <c r="AA3431" s="12"/>
      <c r="AB3431" s="12"/>
      <c r="AC3431" s="12"/>
      <c r="AD3431" s="12"/>
      <c r="AE3431" s="12"/>
      <c r="AF3431" s="12"/>
      <c r="AG3431" s="12"/>
      <c r="AH3431" s="12"/>
      <c r="AI3431" s="12"/>
      <c r="AJ3431" s="12"/>
      <c r="AK3431" s="12"/>
      <c r="AL3431" s="12"/>
      <c r="AM3431" s="12"/>
      <c r="AN3431" s="12"/>
      <c r="AO3431" s="12"/>
    </row>
    <row r="3432" spans="1:41" x14ac:dyDescent="0.2">
      <c r="A3432" s="5">
        <v>5104010706</v>
      </c>
      <c r="B3432" s="6" t="s">
        <v>150</v>
      </c>
      <c r="C3432" s="12"/>
      <c r="D3432" s="12"/>
      <c r="E3432" s="12"/>
      <c r="F3432" s="12"/>
      <c r="G3432" s="12"/>
      <c r="H3432" s="12"/>
      <c r="I3432" s="12"/>
      <c r="J3432" s="12"/>
      <c r="K3432" s="12"/>
      <c r="L3432" s="12"/>
      <c r="M3432" s="12"/>
      <c r="N3432" s="12"/>
      <c r="O3432" s="12"/>
      <c r="P3432" s="12"/>
      <c r="Q3432" s="12"/>
      <c r="R3432" s="12"/>
      <c r="S3432" s="12"/>
      <c r="T3432" s="12"/>
      <c r="U3432" s="12"/>
      <c r="V3432" s="12"/>
      <c r="W3432" s="12"/>
      <c r="X3432" s="12"/>
      <c r="Y3432" s="12"/>
      <c r="Z3432" s="12"/>
      <c r="AA3432" s="12"/>
      <c r="AB3432" s="12"/>
      <c r="AC3432" s="12"/>
      <c r="AD3432" s="12"/>
      <c r="AE3432" s="12"/>
      <c r="AF3432" s="12"/>
      <c r="AG3432" s="12"/>
      <c r="AH3432" s="12"/>
      <c r="AI3432" s="12"/>
      <c r="AJ3432" s="12"/>
      <c r="AK3432" s="12"/>
      <c r="AL3432" s="12"/>
      <c r="AM3432" s="12"/>
      <c r="AN3432" s="12"/>
      <c r="AO3432" s="12"/>
    </row>
    <row r="3433" spans="1:41" x14ac:dyDescent="0.2">
      <c r="A3433" s="5">
        <v>5104010707</v>
      </c>
      <c r="B3433" s="6" t="s">
        <v>151</v>
      </c>
      <c r="C3433" s="12"/>
      <c r="D3433" s="12"/>
      <c r="E3433" s="12"/>
      <c r="F3433" s="12"/>
      <c r="G3433" s="12"/>
      <c r="H3433" s="12"/>
      <c r="I3433" s="12"/>
      <c r="J3433" s="12"/>
      <c r="K3433" s="12"/>
      <c r="L3433" s="12"/>
      <c r="M3433" s="12"/>
      <c r="N3433" s="12"/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  <c r="AA3433" s="12"/>
      <c r="AB3433" s="12"/>
      <c r="AC3433" s="12"/>
      <c r="AD3433" s="12"/>
      <c r="AE3433" s="12"/>
      <c r="AF3433" s="12"/>
      <c r="AG3433" s="12"/>
      <c r="AH3433" s="12"/>
      <c r="AI3433" s="12"/>
      <c r="AJ3433" s="12"/>
      <c r="AK3433" s="12"/>
      <c r="AL3433" s="12"/>
      <c r="AM3433" s="12"/>
      <c r="AN3433" s="12"/>
      <c r="AO3433" s="12"/>
    </row>
    <row r="3434" spans="1:41" x14ac:dyDescent="0.2">
      <c r="A3434" s="5">
        <v>5104010711</v>
      </c>
      <c r="B3434" s="6" t="s">
        <v>152</v>
      </c>
      <c r="C3434" s="12"/>
      <c r="D3434" s="12"/>
      <c r="E3434" s="12"/>
      <c r="F3434" s="12"/>
      <c r="G3434" s="12"/>
      <c r="H3434" s="12"/>
      <c r="I3434" s="12"/>
      <c r="J3434" s="12"/>
      <c r="K3434" s="12"/>
      <c r="L3434" s="12"/>
      <c r="M3434" s="12"/>
      <c r="N3434" s="12"/>
      <c r="O3434" s="12"/>
      <c r="P3434" s="12"/>
      <c r="Q3434" s="12"/>
      <c r="R3434" s="12"/>
      <c r="S3434" s="12"/>
      <c r="T3434" s="12"/>
      <c r="U3434" s="12"/>
      <c r="V3434" s="12"/>
      <c r="W3434" s="12"/>
      <c r="X3434" s="12"/>
      <c r="Y3434" s="12"/>
      <c r="Z3434" s="12"/>
      <c r="AA3434" s="12"/>
      <c r="AB3434" s="12"/>
      <c r="AC3434" s="12"/>
      <c r="AD3434" s="12"/>
      <c r="AE3434" s="12"/>
      <c r="AF3434" s="12"/>
      <c r="AG3434" s="12"/>
      <c r="AH3434" s="12"/>
      <c r="AI3434" s="12"/>
      <c r="AJ3434" s="12"/>
      <c r="AK3434" s="12"/>
      <c r="AL3434" s="12"/>
      <c r="AM3434" s="12"/>
      <c r="AN3434" s="12"/>
      <c r="AO3434" s="12"/>
    </row>
    <row r="3435" spans="1:41" x14ac:dyDescent="0.2">
      <c r="A3435" s="5">
        <v>5104010712</v>
      </c>
      <c r="B3435" s="6" t="s">
        <v>153</v>
      </c>
      <c r="C3435" s="12"/>
      <c r="D3435" s="12"/>
      <c r="E3435" s="12"/>
      <c r="F3435" s="12"/>
      <c r="G3435" s="12"/>
      <c r="H3435" s="12"/>
      <c r="I3435" s="12"/>
      <c r="J3435" s="12"/>
      <c r="K3435" s="12"/>
      <c r="L3435" s="12"/>
      <c r="M3435" s="12"/>
      <c r="N3435" s="12"/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  <c r="AA3435" s="12"/>
      <c r="AB3435" s="12"/>
      <c r="AC3435" s="12"/>
      <c r="AD3435" s="12"/>
      <c r="AE3435" s="12"/>
      <c r="AF3435" s="12"/>
      <c r="AG3435" s="12"/>
      <c r="AH3435" s="12"/>
      <c r="AI3435" s="12"/>
      <c r="AJ3435" s="12"/>
      <c r="AK3435" s="12"/>
      <c r="AL3435" s="12"/>
      <c r="AM3435" s="12"/>
      <c r="AN3435" s="12"/>
      <c r="AO3435" s="12"/>
    </row>
    <row r="3436" spans="1:41" x14ac:dyDescent="0.2">
      <c r="A3436" s="5">
        <v>5104010721</v>
      </c>
      <c r="B3436" s="6" t="s">
        <v>154</v>
      </c>
      <c r="C3436" s="12"/>
      <c r="D3436" s="12"/>
      <c r="E3436" s="12"/>
      <c r="F3436" s="12"/>
      <c r="G3436" s="12"/>
      <c r="H3436" s="12"/>
      <c r="I3436" s="12"/>
      <c r="J3436" s="12"/>
      <c r="K3436" s="12"/>
      <c r="L3436" s="12"/>
      <c r="M3436" s="12"/>
      <c r="N3436" s="12"/>
      <c r="O3436" s="12"/>
      <c r="P3436" s="12"/>
      <c r="Q3436" s="12"/>
      <c r="R3436" s="12"/>
      <c r="S3436" s="12"/>
      <c r="T3436" s="12"/>
      <c r="U3436" s="12"/>
      <c r="V3436" s="12"/>
      <c r="W3436" s="12"/>
      <c r="X3436" s="12"/>
      <c r="Y3436" s="12"/>
      <c r="Z3436" s="12"/>
      <c r="AA3436" s="12"/>
      <c r="AB3436" s="12"/>
      <c r="AC3436" s="12"/>
      <c r="AD3436" s="12"/>
      <c r="AE3436" s="12"/>
      <c r="AF3436" s="12"/>
      <c r="AG3436" s="12"/>
      <c r="AH3436" s="12"/>
      <c r="AI3436" s="12"/>
      <c r="AJ3436" s="12"/>
      <c r="AK3436" s="12"/>
      <c r="AL3436" s="12"/>
      <c r="AM3436" s="12"/>
      <c r="AN3436" s="12"/>
      <c r="AO3436" s="12"/>
    </row>
    <row r="3437" spans="1:41" x14ac:dyDescent="0.2">
      <c r="A3437" s="5">
        <v>5104010727</v>
      </c>
      <c r="B3437" s="6" t="s">
        <v>155</v>
      </c>
      <c r="C3437" s="12"/>
      <c r="D3437" s="12"/>
      <c r="E3437" s="12"/>
      <c r="F3437" s="12"/>
      <c r="G3437" s="12"/>
      <c r="H3437" s="12"/>
      <c r="I3437" s="12"/>
      <c r="J3437" s="12"/>
      <c r="K3437" s="12"/>
      <c r="L3437" s="12"/>
      <c r="M3437" s="12"/>
      <c r="N3437" s="12"/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  <c r="AA3437" s="12"/>
      <c r="AB3437" s="12"/>
      <c r="AC3437" s="12"/>
      <c r="AD3437" s="12"/>
      <c r="AE3437" s="12"/>
      <c r="AF3437" s="12"/>
      <c r="AG3437" s="12"/>
      <c r="AH3437" s="12"/>
      <c r="AI3437" s="12"/>
      <c r="AJ3437" s="12"/>
      <c r="AK3437" s="12"/>
      <c r="AL3437" s="12"/>
      <c r="AM3437" s="12"/>
      <c r="AN3437" s="12"/>
      <c r="AO3437" s="12"/>
    </row>
    <row r="3438" spans="1:41" x14ac:dyDescent="0.2">
      <c r="A3438" s="5">
        <v>5104010799</v>
      </c>
      <c r="B3438" s="6" t="s">
        <v>156</v>
      </c>
      <c r="C3438" s="12"/>
      <c r="D3438" s="12"/>
      <c r="E3438" s="12"/>
      <c r="F3438" s="12"/>
      <c r="G3438" s="12"/>
      <c r="H3438" s="12"/>
      <c r="I3438" s="12"/>
      <c r="J3438" s="12"/>
      <c r="K3438" s="12"/>
      <c r="L3438" s="12"/>
      <c r="M3438" s="12"/>
      <c r="N3438" s="12"/>
      <c r="O3438" s="12"/>
      <c r="P3438" s="12"/>
      <c r="Q3438" s="12"/>
      <c r="R3438" s="12"/>
      <c r="S3438" s="12"/>
      <c r="T3438" s="12"/>
      <c r="U3438" s="12"/>
      <c r="V3438" s="12"/>
      <c r="W3438" s="12"/>
      <c r="X3438" s="12"/>
      <c r="Y3438" s="12"/>
      <c r="Z3438" s="12"/>
      <c r="AA3438" s="12"/>
      <c r="AB3438" s="12"/>
      <c r="AC3438" s="12"/>
      <c r="AD3438" s="12"/>
      <c r="AE3438" s="12"/>
      <c r="AF3438" s="12"/>
      <c r="AG3438" s="12"/>
      <c r="AH3438" s="12"/>
      <c r="AI3438" s="12"/>
      <c r="AJ3438" s="12"/>
      <c r="AK3438" s="12"/>
      <c r="AL3438" s="12"/>
      <c r="AM3438" s="12"/>
      <c r="AN3438" s="12"/>
      <c r="AO3438" s="12"/>
    </row>
    <row r="3439" spans="1:41" ht="14.25" x14ac:dyDescent="0.2">
      <c r="A3439" s="2">
        <v>51040109</v>
      </c>
      <c r="B3439" s="3" t="s">
        <v>889</v>
      </c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9"/>
      <c r="AD3439" s="9"/>
      <c r="AE3439" s="9"/>
      <c r="AF3439" s="9"/>
      <c r="AG3439" s="9"/>
      <c r="AH3439" s="9"/>
      <c r="AI3439" s="9"/>
      <c r="AJ3439" s="9"/>
      <c r="AK3439" s="9"/>
      <c r="AL3439" s="9"/>
      <c r="AM3439" s="9"/>
      <c r="AN3439" s="9"/>
      <c r="AO3439" s="9"/>
    </row>
    <row r="3440" spans="1:41" ht="14.25" x14ac:dyDescent="0.2">
      <c r="A3440" s="2">
        <v>5104010906</v>
      </c>
      <c r="B3440" s="3" t="s">
        <v>131</v>
      </c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  <c r="AB3440" s="9"/>
      <c r="AC3440" s="9"/>
      <c r="AD3440" s="9"/>
      <c r="AE3440" s="9"/>
      <c r="AF3440" s="9"/>
      <c r="AG3440" s="9"/>
      <c r="AH3440" s="9"/>
      <c r="AI3440" s="9"/>
      <c r="AJ3440" s="9"/>
      <c r="AK3440" s="9"/>
      <c r="AL3440" s="9"/>
      <c r="AM3440" s="9"/>
      <c r="AN3440" s="9"/>
      <c r="AO3440" s="9"/>
    </row>
    <row r="3441" spans="1:41" ht="14.25" x14ac:dyDescent="0.2">
      <c r="A3441" s="2">
        <v>51040110</v>
      </c>
      <c r="B3441" s="3" t="s">
        <v>890</v>
      </c>
      <c r="C3441" s="9"/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  <c r="AB3441" s="9"/>
      <c r="AC3441" s="9"/>
      <c r="AD3441" s="9"/>
      <c r="AE3441" s="9"/>
      <c r="AF3441" s="9"/>
      <c r="AG3441" s="9"/>
      <c r="AH3441" s="9"/>
      <c r="AI3441" s="9"/>
      <c r="AJ3441" s="9"/>
      <c r="AK3441" s="9"/>
      <c r="AL3441" s="9"/>
      <c r="AM3441" s="9"/>
      <c r="AN3441" s="9"/>
      <c r="AO3441" s="9"/>
    </row>
    <row r="3442" spans="1:41" x14ac:dyDescent="0.2">
      <c r="A3442" s="5">
        <v>5104011001</v>
      </c>
      <c r="B3442" s="6" t="s">
        <v>95</v>
      </c>
      <c r="C3442" s="12"/>
      <c r="D3442" s="12"/>
      <c r="E3442" s="12"/>
      <c r="F3442" s="12"/>
      <c r="G3442" s="12"/>
      <c r="H3442" s="12"/>
      <c r="I3442" s="12"/>
      <c r="J3442" s="12"/>
      <c r="K3442" s="12"/>
      <c r="L3442" s="12"/>
      <c r="M3442" s="12"/>
      <c r="N3442" s="12"/>
      <c r="O3442" s="12"/>
      <c r="P3442" s="12"/>
      <c r="Q3442" s="12"/>
      <c r="R3442" s="12"/>
      <c r="S3442" s="12"/>
      <c r="T3442" s="12"/>
      <c r="U3442" s="12"/>
      <c r="V3442" s="12"/>
      <c r="W3442" s="12"/>
      <c r="X3442" s="12"/>
      <c r="Y3442" s="12"/>
      <c r="Z3442" s="12"/>
      <c r="AA3442" s="12"/>
      <c r="AB3442" s="12"/>
      <c r="AC3442" s="12"/>
      <c r="AD3442" s="12"/>
      <c r="AE3442" s="12"/>
      <c r="AF3442" s="12"/>
      <c r="AG3442" s="12"/>
      <c r="AH3442" s="12"/>
      <c r="AI3442" s="12"/>
      <c r="AJ3442" s="12"/>
      <c r="AK3442" s="12"/>
      <c r="AL3442" s="12"/>
      <c r="AM3442" s="12"/>
      <c r="AN3442" s="12"/>
      <c r="AO3442" s="12"/>
    </row>
    <row r="3443" spans="1:41" x14ac:dyDescent="0.2">
      <c r="A3443" s="5">
        <v>5104011002</v>
      </c>
      <c r="B3443" s="6" t="s">
        <v>96</v>
      </c>
      <c r="C3443" s="12"/>
      <c r="D3443" s="12"/>
      <c r="E3443" s="12"/>
      <c r="F3443" s="12"/>
      <c r="G3443" s="12"/>
      <c r="H3443" s="12"/>
      <c r="I3443" s="12"/>
      <c r="J3443" s="12"/>
      <c r="K3443" s="12"/>
      <c r="L3443" s="12"/>
      <c r="M3443" s="12"/>
      <c r="N3443" s="12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  <c r="AA3443" s="12"/>
      <c r="AB3443" s="12"/>
      <c r="AC3443" s="12"/>
      <c r="AD3443" s="12"/>
      <c r="AE3443" s="12"/>
      <c r="AF3443" s="12"/>
      <c r="AG3443" s="12"/>
      <c r="AH3443" s="12"/>
      <c r="AI3443" s="12"/>
      <c r="AJ3443" s="12"/>
      <c r="AK3443" s="12"/>
      <c r="AL3443" s="12"/>
      <c r="AM3443" s="12"/>
      <c r="AN3443" s="12"/>
      <c r="AO3443" s="12"/>
    </row>
    <row r="3444" spans="1:41" ht="14.25" x14ac:dyDescent="0.2">
      <c r="A3444" s="2">
        <v>5104011003</v>
      </c>
      <c r="B3444" s="3" t="s">
        <v>97</v>
      </c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9"/>
      <c r="AD3444" s="9"/>
      <c r="AE3444" s="9"/>
      <c r="AF3444" s="9"/>
      <c r="AG3444" s="9"/>
      <c r="AH3444" s="9"/>
      <c r="AI3444" s="9"/>
      <c r="AJ3444" s="9"/>
      <c r="AK3444" s="9"/>
      <c r="AL3444" s="9"/>
      <c r="AM3444" s="9"/>
      <c r="AN3444" s="9"/>
      <c r="AO3444" s="9"/>
    </row>
    <row r="3445" spans="1:41" ht="14.25" x14ac:dyDescent="0.2">
      <c r="A3445" s="2">
        <v>5104011004</v>
      </c>
      <c r="B3445" s="3" t="s">
        <v>101</v>
      </c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9"/>
      <c r="AD3445" s="9"/>
      <c r="AE3445" s="9"/>
      <c r="AF3445" s="9"/>
      <c r="AG3445" s="9"/>
      <c r="AH3445" s="9"/>
      <c r="AI3445" s="9"/>
      <c r="AJ3445" s="9"/>
      <c r="AK3445" s="9"/>
      <c r="AL3445" s="9"/>
      <c r="AM3445" s="9"/>
      <c r="AN3445" s="9"/>
      <c r="AO3445" s="9"/>
    </row>
    <row r="3446" spans="1:41" ht="14.25" x14ac:dyDescent="0.2">
      <c r="A3446" s="2">
        <v>5104011005</v>
      </c>
      <c r="B3446" s="3" t="s">
        <v>106</v>
      </c>
      <c r="C3446" s="9"/>
      <c r="D3446" s="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9"/>
      <c r="AD3446" s="9"/>
      <c r="AE3446" s="9"/>
      <c r="AF3446" s="9"/>
      <c r="AG3446" s="9"/>
      <c r="AH3446" s="9"/>
      <c r="AI3446" s="9"/>
      <c r="AJ3446" s="9"/>
      <c r="AK3446" s="9"/>
      <c r="AL3446" s="9"/>
      <c r="AM3446" s="9"/>
      <c r="AN3446" s="9"/>
      <c r="AO3446" s="9"/>
    </row>
    <row r="3447" spans="1:41" ht="14.25" x14ac:dyDescent="0.2">
      <c r="A3447" s="2">
        <v>5104011006</v>
      </c>
      <c r="B3447" s="3" t="s">
        <v>111</v>
      </c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9"/>
      <c r="AD3447" s="9"/>
      <c r="AE3447" s="9"/>
      <c r="AF3447" s="9"/>
      <c r="AG3447" s="9"/>
      <c r="AH3447" s="9"/>
      <c r="AI3447" s="9"/>
      <c r="AJ3447" s="9"/>
      <c r="AK3447" s="9"/>
      <c r="AL3447" s="9"/>
      <c r="AM3447" s="9"/>
      <c r="AN3447" s="9"/>
      <c r="AO3447" s="9"/>
    </row>
    <row r="3448" spans="1:41" ht="14.25" x14ac:dyDescent="0.2">
      <c r="A3448" s="2">
        <v>5104011007</v>
      </c>
      <c r="B3448" s="3" t="s">
        <v>112</v>
      </c>
      <c r="C3448" s="9"/>
      <c r="D3448" s="9"/>
      <c r="E3448" s="9"/>
      <c r="F3448" s="9"/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  <c r="AB3448" s="9"/>
      <c r="AC3448" s="9"/>
      <c r="AD3448" s="9"/>
      <c r="AE3448" s="9"/>
      <c r="AF3448" s="9"/>
      <c r="AG3448" s="9"/>
      <c r="AH3448" s="9"/>
      <c r="AI3448" s="9"/>
      <c r="AJ3448" s="9"/>
      <c r="AK3448" s="9"/>
      <c r="AL3448" s="9"/>
      <c r="AM3448" s="9"/>
      <c r="AN3448" s="9"/>
      <c r="AO3448" s="9"/>
    </row>
    <row r="3449" spans="1:41" ht="14.25" x14ac:dyDescent="0.2">
      <c r="A3449" s="2">
        <v>5104011011</v>
      </c>
      <c r="B3449" s="3" t="s">
        <v>113</v>
      </c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9"/>
      <c r="AD3449" s="9"/>
      <c r="AE3449" s="9"/>
      <c r="AF3449" s="9"/>
      <c r="AG3449" s="9"/>
      <c r="AH3449" s="9"/>
      <c r="AI3449" s="9"/>
      <c r="AJ3449" s="9"/>
      <c r="AK3449" s="9"/>
      <c r="AL3449" s="9"/>
      <c r="AM3449" s="9"/>
      <c r="AN3449" s="9"/>
      <c r="AO3449" s="9"/>
    </row>
    <row r="3450" spans="1:41" ht="14.25" x14ac:dyDescent="0.2">
      <c r="A3450" s="2">
        <v>5104011012</v>
      </c>
      <c r="B3450" s="3" t="s">
        <v>114</v>
      </c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9"/>
      <c r="AD3450" s="9"/>
      <c r="AE3450" s="9"/>
      <c r="AF3450" s="9"/>
      <c r="AG3450" s="9"/>
      <c r="AH3450" s="9"/>
      <c r="AI3450" s="9"/>
      <c r="AJ3450" s="9"/>
      <c r="AK3450" s="9"/>
      <c r="AL3450" s="9"/>
      <c r="AM3450" s="9"/>
      <c r="AN3450" s="9"/>
      <c r="AO3450" s="9"/>
    </row>
    <row r="3451" spans="1:41" ht="14.25" x14ac:dyDescent="0.2">
      <c r="A3451" s="2">
        <v>5104011021</v>
      </c>
      <c r="B3451" s="3" t="s">
        <v>115</v>
      </c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9"/>
      <c r="AH3451" s="9"/>
      <c r="AI3451" s="9"/>
      <c r="AJ3451" s="9"/>
      <c r="AK3451" s="9"/>
      <c r="AL3451" s="9"/>
      <c r="AM3451" s="9"/>
      <c r="AN3451" s="9"/>
      <c r="AO3451" s="9"/>
    </row>
    <row r="3452" spans="1:41" ht="14.25" x14ac:dyDescent="0.2">
      <c r="A3452" s="2">
        <v>5104011027</v>
      </c>
      <c r="B3452" s="3" t="s">
        <v>166</v>
      </c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9"/>
      <c r="AD3452" s="9"/>
      <c r="AE3452" s="9"/>
      <c r="AF3452" s="9"/>
      <c r="AG3452" s="9"/>
      <c r="AH3452" s="9"/>
      <c r="AI3452" s="9"/>
      <c r="AJ3452" s="9"/>
      <c r="AK3452" s="9"/>
      <c r="AL3452" s="9"/>
      <c r="AM3452" s="9"/>
      <c r="AN3452" s="9"/>
      <c r="AO3452" s="9"/>
    </row>
    <row r="3453" spans="1:41" x14ac:dyDescent="0.2">
      <c r="A3453" s="5">
        <v>5104011030</v>
      </c>
      <c r="B3453" s="6" t="s">
        <v>167</v>
      </c>
      <c r="C3453" s="12"/>
      <c r="D3453" s="12"/>
      <c r="E3453" s="12"/>
      <c r="F3453" s="12"/>
      <c r="G3453" s="12"/>
      <c r="H3453" s="12"/>
      <c r="I3453" s="12"/>
      <c r="J3453" s="12"/>
      <c r="K3453" s="12"/>
      <c r="L3453" s="12"/>
      <c r="M3453" s="12"/>
      <c r="N3453" s="12"/>
      <c r="O3453" s="12"/>
      <c r="P3453" s="12"/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  <c r="AA3453" s="12"/>
      <c r="AB3453" s="12"/>
      <c r="AC3453" s="12"/>
      <c r="AD3453" s="12"/>
      <c r="AE3453" s="12"/>
      <c r="AF3453" s="12"/>
      <c r="AG3453" s="12"/>
      <c r="AH3453" s="12"/>
      <c r="AI3453" s="12"/>
      <c r="AJ3453" s="12"/>
      <c r="AK3453" s="12"/>
      <c r="AL3453" s="12"/>
      <c r="AM3453" s="12"/>
      <c r="AN3453" s="12"/>
      <c r="AO3453" s="12"/>
    </row>
    <row r="3454" spans="1:41" x14ac:dyDescent="0.2">
      <c r="A3454" s="5">
        <v>5104011031</v>
      </c>
      <c r="B3454" s="6" t="s">
        <v>168</v>
      </c>
      <c r="C3454" s="12"/>
      <c r="D3454" s="12"/>
      <c r="E3454" s="12"/>
      <c r="F3454" s="12"/>
      <c r="G3454" s="12"/>
      <c r="H3454" s="12"/>
      <c r="I3454" s="12"/>
      <c r="J3454" s="12"/>
      <c r="K3454" s="12"/>
      <c r="L3454" s="12"/>
      <c r="M3454" s="12"/>
      <c r="N3454" s="12"/>
      <c r="O3454" s="12"/>
      <c r="P3454" s="12"/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  <c r="AA3454" s="12"/>
      <c r="AB3454" s="12"/>
      <c r="AC3454" s="12"/>
      <c r="AD3454" s="12"/>
      <c r="AE3454" s="12"/>
      <c r="AF3454" s="12"/>
      <c r="AG3454" s="12"/>
      <c r="AH3454" s="12"/>
      <c r="AI3454" s="12"/>
      <c r="AJ3454" s="12"/>
      <c r="AK3454" s="12"/>
      <c r="AL3454" s="12"/>
      <c r="AM3454" s="12"/>
      <c r="AN3454" s="12"/>
      <c r="AO3454" s="12"/>
    </row>
    <row r="3455" spans="1:41" x14ac:dyDescent="0.2">
      <c r="A3455" s="5">
        <v>5104011032</v>
      </c>
      <c r="B3455" s="6" t="s">
        <v>169</v>
      </c>
      <c r="C3455" s="12"/>
      <c r="D3455" s="12"/>
      <c r="E3455" s="12"/>
      <c r="F3455" s="12"/>
      <c r="G3455" s="12"/>
      <c r="H3455" s="12"/>
      <c r="I3455" s="12"/>
      <c r="J3455" s="12"/>
      <c r="K3455" s="12"/>
      <c r="L3455" s="12"/>
      <c r="M3455" s="12"/>
      <c r="N3455" s="12"/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  <c r="AA3455" s="12"/>
      <c r="AB3455" s="12"/>
      <c r="AC3455" s="12"/>
      <c r="AD3455" s="12"/>
      <c r="AE3455" s="12"/>
      <c r="AF3455" s="12"/>
      <c r="AG3455" s="12"/>
      <c r="AH3455" s="12"/>
      <c r="AI3455" s="12"/>
      <c r="AJ3455" s="12"/>
      <c r="AK3455" s="12"/>
      <c r="AL3455" s="12"/>
      <c r="AM3455" s="12"/>
      <c r="AN3455" s="12"/>
      <c r="AO3455" s="12"/>
    </row>
    <row r="3456" spans="1:41" x14ac:dyDescent="0.2">
      <c r="A3456" s="5">
        <v>5104011033</v>
      </c>
      <c r="B3456" s="6" t="s">
        <v>170</v>
      </c>
      <c r="C3456" s="12"/>
      <c r="D3456" s="12"/>
      <c r="E3456" s="12"/>
      <c r="F3456" s="12"/>
      <c r="G3456" s="12"/>
      <c r="H3456" s="12"/>
      <c r="I3456" s="12"/>
      <c r="J3456" s="12"/>
      <c r="K3456" s="12"/>
      <c r="L3456" s="12"/>
      <c r="M3456" s="12"/>
      <c r="N3456" s="12"/>
      <c r="O3456" s="12"/>
      <c r="P3456" s="12"/>
      <c r="Q3456" s="12"/>
      <c r="R3456" s="12"/>
      <c r="S3456" s="12"/>
      <c r="T3456" s="12"/>
      <c r="U3456" s="12"/>
      <c r="V3456" s="12"/>
      <c r="W3456" s="12"/>
      <c r="X3456" s="12"/>
      <c r="Y3456" s="12"/>
      <c r="Z3456" s="12"/>
      <c r="AA3456" s="12"/>
      <c r="AB3456" s="12"/>
      <c r="AC3456" s="12"/>
      <c r="AD3456" s="12"/>
      <c r="AE3456" s="12"/>
      <c r="AF3456" s="12"/>
      <c r="AG3456" s="12"/>
      <c r="AH3456" s="12"/>
      <c r="AI3456" s="12"/>
      <c r="AJ3456" s="12"/>
      <c r="AK3456" s="12"/>
      <c r="AL3456" s="12"/>
      <c r="AM3456" s="12"/>
      <c r="AN3456" s="12"/>
      <c r="AO3456" s="12"/>
    </row>
    <row r="3457" spans="1:41" x14ac:dyDescent="0.2">
      <c r="A3457" s="5">
        <v>5104011034</v>
      </c>
      <c r="B3457" s="6" t="s">
        <v>171</v>
      </c>
      <c r="C3457" s="12"/>
      <c r="D3457" s="12"/>
      <c r="E3457" s="12"/>
      <c r="F3457" s="12"/>
      <c r="G3457" s="12"/>
      <c r="H3457" s="12"/>
      <c r="I3457" s="12"/>
      <c r="J3457" s="12"/>
      <c r="K3457" s="12"/>
      <c r="L3457" s="12"/>
      <c r="M3457" s="12"/>
      <c r="N3457" s="12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  <c r="AA3457" s="12"/>
      <c r="AB3457" s="12"/>
      <c r="AC3457" s="12"/>
      <c r="AD3457" s="12"/>
      <c r="AE3457" s="12"/>
      <c r="AF3457" s="12"/>
      <c r="AG3457" s="12"/>
      <c r="AH3457" s="12"/>
      <c r="AI3457" s="12"/>
      <c r="AJ3457" s="12"/>
      <c r="AK3457" s="12"/>
      <c r="AL3457" s="12"/>
      <c r="AM3457" s="12"/>
      <c r="AN3457" s="12"/>
      <c r="AO3457" s="12"/>
    </row>
    <row r="3458" spans="1:41" ht="14.25" x14ac:dyDescent="0.2">
      <c r="A3458" s="2">
        <v>5104011099</v>
      </c>
      <c r="B3458" s="3" t="s">
        <v>117</v>
      </c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  <c r="AB3458" s="9"/>
      <c r="AC3458" s="9"/>
      <c r="AD3458" s="9"/>
      <c r="AE3458" s="9"/>
      <c r="AF3458" s="9"/>
      <c r="AG3458" s="9"/>
      <c r="AH3458" s="9"/>
      <c r="AI3458" s="9"/>
      <c r="AJ3458" s="9"/>
      <c r="AK3458" s="9"/>
      <c r="AL3458" s="9"/>
      <c r="AM3458" s="9"/>
      <c r="AN3458" s="9"/>
      <c r="AO3458" s="9"/>
    </row>
    <row r="3459" spans="1:41" ht="14.25" x14ac:dyDescent="0.2">
      <c r="A3459" s="2">
        <v>51040111</v>
      </c>
      <c r="B3459" s="3" t="s">
        <v>891</v>
      </c>
      <c r="C3459" s="9"/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9"/>
      <c r="AH3459" s="9"/>
      <c r="AI3459" s="9"/>
      <c r="AJ3459" s="9"/>
      <c r="AK3459" s="9"/>
      <c r="AL3459" s="9"/>
      <c r="AM3459" s="9"/>
      <c r="AN3459" s="9"/>
      <c r="AO3459" s="9"/>
    </row>
    <row r="3460" spans="1:41" x14ac:dyDescent="0.2">
      <c r="A3460" s="5">
        <v>5104011101</v>
      </c>
      <c r="B3460" s="6" t="s">
        <v>95</v>
      </c>
      <c r="C3460" s="12"/>
      <c r="D3460" s="12"/>
      <c r="E3460" s="12"/>
      <c r="F3460" s="12"/>
      <c r="G3460" s="12"/>
      <c r="H3460" s="12"/>
      <c r="I3460" s="12"/>
      <c r="J3460" s="12"/>
      <c r="K3460" s="12"/>
      <c r="L3460" s="12"/>
      <c r="M3460" s="12"/>
      <c r="N3460" s="12"/>
      <c r="O3460" s="12"/>
      <c r="P3460" s="12"/>
      <c r="Q3460" s="12"/>
      <c r="R3460" s="12"/>
      <c r="S3460" s="12"/>
      <c r="T3460" s="12"/>
      <c r="U3460" s="12"/>
      <c r="V3460" s="12"/>
      <c r="W3460" s="12"/>
      <c r="X3460" s="12"/>
      <c r="Y3460" s="12"/>
      <c r="Z3460" s="12"/>
      <c r="AA3460" s="12"/>
      <c r="AB3460" s="12"/>
      <c r="AC3460" s="12"/>
      <c r="AD3460" s="12"/>
      <c r="AE3460" s="12"/>
      <c r="AF3460" s="12"/>
      <c r="AG3460" s="12"/>
      <c r="AH3460" s="12"/>
      <c r="AI3460" s="12"/>
      <c r="AJ3460" s="12"/>
      <c r="AK3460" s="12"/>
      <c r="AL3460" s="12"/>
      <c r="AM3460" s="12"/>
      <c r="AN3460" s="12"/>
      <c r="AO3460" s="12"/>
    </row>
    <row r="3461" spans="1:41" x14ac:dyDescent="0.2">
      <c r="A3461" s="5">
        <v>5104011102</v>
      </c>
      <c r="B3461" s="6" t="s">
        <v>96</v>
      </c>
      <c r="C3461" s="12"/>
      <c r="D3461" s="12"/>
      <c r="E3461" s="12"/>
      <c r="F3461" s="12"/>
      <c r="G3461" s="12"/>
      <c r="H3461" s="12"/>
      <c r="I3461" s="12"/>
      <c r="J3461" s="12"/>
      <c r="K3461" s="12"/>
      <c r="L3461" s="12"/>
      <c r="M3461" s="12"/>
      <c r="N3461" s="12"/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  <c r="AA3461" s="12"/>
      <c r="AB3461" s="12"/>
      <c r="AC3461" s="12"/>
      <c r="AD3461" s="12"/>
      <c r="AE3461" s="12"/>
      <c r="AF3461" s="12"/>
      <c r="AG3461" s="12"/>
      <c r="AH3461" s="12"/>
      <c r="AI3461" s="12"/>
      <c r="AJ3461" s="12"/>
      <c r="AK3461" s="12"/>
      <c r="AL3461" s="12"/>
      <c r="AM3461" s="12"/>
      <c r="AN3461" s="12"/>
      <c r="AO3461" s="12"/>
    </row>
    <row r="3462" spans="1:41" ht="14.25" x14ac:dyDescent="0.2">
      <c r="A3462" s="2">
        <v>5104011103</v>
      </c>
      <c r="B3462" s="3" t="s">
        <v>97</v>
      </c>
      <c r="C3462" s="9"/>
      <c r="D3462" s="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9"/>
      <c r="AH3462" s="9"/>
      <c r="AI3462" s="9"/>
      <c r="AJ3462" s="9"/>
      <c r="AK3462" s="9"/>
      <c r="AL3462" s="9"/>
      <c r="AM3462" s="9"/>
      <c r="AN3462" s="9"/>
      <c r="AO3462" s="9"/>
    </row>
    <row r="3463" spans="1:41" ht="14.25" x14ac:dyDescent="0.2">
      <c r="A3463" s="2">
        <v>5104011104</v>
      </c>
      <c r="B3463" s="3" t="s">
        <v>101</v>
      </c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  <c r="AB3463" s="9"/>
      <c r="AC3463" s="9"/>
      <c r="AD3463" s="9"/>
      <c r="AE3463" s="9"/>
      <c r="AF3463" s="9"/>
      <c r="AG3463" s="9"/>
      <c r="AH3463" s="9"/>
      <c r="AI3463" s="9"/>
      <c r="AJ3463" s="9"/>
      <c r="AK3463" s="9"/>
      <c r="AL3463" s="9"/>
      <c r="AM3463" s="9"/>
      <c r="AN3463" s="9"/>
      <c r="AO3463" s="9"/>
    </row>
    <row r="3464" spans="1:41" ht="14.25" x14ac:dyDescent="0.2">
      <c r="A3464" s="2">
        <v>5104011105</v>
      </c>
      <c r="B3464" s="3" t="s">
        <v>106</v>
      </c>
      <c r="C3464" s="9"/>
      <c r="D3464" s="9"/>
      <c r="E3464" s="9"/>
      <c r="F3464" s="9"/>
      <c r="G3464" s="9"/>
      <c r="H3464" s="9"/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9"/>
      <c r="AH3464" s="9"/>
      <c r="AI3464" s="9"/>
      <c r="AJ3464" s="9"/>
      <c r="AK3464" s="9"/>
      <c r="AL3464" s="9"/>
      <c r="AM3464" s="9"/>
      <c r="AN3464" s="9"/>
      <c r="AO3464" s="9"/>
    </row>
    <row r="3465" spans="1:41" ht="14.25" x14ac:dyDescent="0.2">
      <c r="A3465" s="2">
        <v>5104011106</v>
      </c>
      <c r="B3465" s="3" t="s">
        <v>111</v>
      </c>
      <c r="C3465" s="9"/>
      <c r="D3465" s="9"/>
      <c r="E3465" s="9"/>
      <c r="F3465" s="9"/>
      <c r="G3465" s="9"/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9"/>
      <c r="AH3465" s="9"/>
      <c r="AI3465" s="9"/>
      <c r="AJ3465" s="9"/>
      <c r="AK3465" s="9"/>
      <c r="AL3465" s="9"/>
      <c r="AM3465" s="9"/>
      <c r="AN3465" s="9"/>
      <c r="AO3465" s="9"/>
    </row>
    <row r="3466" spans="1:41" ht="14.25" x14ac:dyDescent="0.2">
      <c r="A3466" s="2">
        <v>5104011107</v>
      </c>
      <c r="B3466" s="3" t="s">
        <v>112</v>
      </c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9"/>
      <c r="AH3466" s="9"/>
      <c r="AI3466" s="9"/>
      <c r="AJ3466" s="9"/>
      <c r="AK3466" s="9"/>
      <c r="AL3466" s="9"/>
      <c r="AM3466" s="9"/>
      <c r="AN3466" s="9"/>
      <c r="AO3466" s="9"/>
    </row>
    <row r="3467" spans="1:41" ht="14.25" x14ac:dyDescent="0.2">
      <c r="A3467" s="2">
        <v>5104011111</v>
      </c>
      <c r="B3467" s="3" t="s">
        <v>113</v>
      </c>
      <c r="C3467" s="9"/>
      <c r="D3467" s="9"/>
      <c r="E3467" s="9"/>
      <c r="F3467" s="9"/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9"/>
      <c r="AH3467" s="9"/>
      <c r="AI3467" s="9"/>
      <c r="AJ3467" s="9"/>
      <c r="AK3467" s="9"/>
      <c r="AL3467" s="9"/>
      <c r="AM3467" s="9"/>
      <c r="AN3467" s="9"/>
      <c r="AO3467" s="9"/>
    </row>
    <row r="3468" spans="1:41" ht="14.25" x14ac:dyDescent="0.2">
      <c r="A3468" s="2">
        <v>5104011112</v>
      </c>
      <c r="B3468" s="3" t="s">
        <v>114</v>
      </c>
      <c r="C3468" s="9"/>
      <c r="D3468" s="9"/>
      <c r="E3468" s="9"/>
      <c r="F3468" s="9"/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9"/>
      <c r="AE3468" s="9"/>
      <c r="AF3468" s="9"/>
      <c r="AG3468" s="9"/>
      <c r="AH3468" s="9"/>
      <c r="AI3468" s="9"/>
      <c r="AJ3468" s="9"/>
      <c r="AK3468" s="9"/>
      <c r="AL3468" s="9"/>
      <c r="AM3468" s="9"/>
      <c r="AN3468" s="9"/>
      <c r="AO3468" s="9"/>
    </row>
    <row r="3469" spans="1:41" ht="14.25" x14ac:dyDescent="0.2">
      <c r="A3469" s="2">
        <v>5104011121</v>
      </c>
      <c r="B3469" s="3" t="s">
        <v>115</v>
      </c>
      <c r="C3469" s="9"/>
      <c r="D3469" s="9"/>
      <c r="E3469" s="9"/>
      <c r="F3469" s="9"/>
      <c r="G3469" s="9"/>
      <c r="H3469" s="9"/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  <c r="AE3469" s="9"/>
      <c r="AF3469" s="9"/>
      <c r="AG3469" s="9"/>
      <c r="AH3469" s="9"/>
      <c r="AI3469" s="9"/>
      <c r="AJ3469" s="9"/>
      <c r="AK3469" s="9"/>
      <c r="AL3469" s="9"/>
      <c r="AM3469" s="9"/>
      <c r="AN3469" s="9"/>
      <c r="AO3469" s="9"/>
    </row>
    <row r="3470" spans="1:41" ht="14.25" x14ac:dyDescent="0.2">
      <c r="A3470" s="2">
        <v>5104011127</v>
      </c>
      <c r="B3470" s="3" t="s">
        <v>166</v>
      </c>
      <c r="C3470" s="9"/>
      <c r="D3470" s="9"/>
      <c r="E3470" s="9"/>
      <c r="F3470" s="9"/>
      <c r="G3470" s="9"/>
      <c r="H3470" s="9"/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9"/>
      <c r="AH3470" s="9"/>
      <c r="AI3470" s="9"/>
      <c r="AJ3470" s="9"/>
      <c r="AK3470" s="9"/>
      <c r="AL3470" s="9"/>
      <c r="AM3470" s="9"/>
      <c r="AN3470" s="9"/>
      <c r="AO3470" s="9"/>
    </row>
    <row r="3471" spans="1:41" x14ac:dyDescent="0.2">
      <c r="A3471" s="5">
        <v>5104011130</v>
      </c>
      <c r="B3471" s="6" t="s">
        <v>167</v>
      </c>
      <c r="C3471" s="12"/>
      <c r="D3471" s="12"/>
      <c r="E3471" s="12"/>
      <c r="F3471" s="12"/>
      <c r="G3471" s="12"/>
      <c r="H3471" s="12"/>
      <c r="I3471" s="12"/>
      <c r="J3471" s="12"/>
      <c r="K3471" s="12"/>
      <c r="L3471" s="12"/>
      <c r="M3471" s="12"/>
      <c r="N3471" s="12"/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  <c r="AA3471" s="12"/>
      <c r="AB3471" s="12"/>
      <c r="AC3471" s="12"/>
      <c r="AD3471" s="12"/>
      <c r="AE3471" s="12"/>
      <c r="AF3471" s="12"/>
      <c r="AG3471" s="12"/>
      <c r="AH3471" s="12"/>
      <c r="AI3471" s="12"/>
      <c r="AJ3471" s="12"/>
      <c r="AK3471" s="12"/>
      <c r="AL3471" s="12"/>
      <c r="AM3471" s="12"/>
      <c r="AN3471" s="12"/>
      <c r="AO3471" s="12"/>
    </row>
    <row r="3472" spans="1:41" x14ac:dyDescent="0.2">
      <c r="A3472" s="5">
        <v>5104011131</v>
      </c>
      <c r="B3472" s="6" t="s">
        <v>168</v>
      </c>
      <c r="C3472" s="12"/>
      <c r="D3472" s="12"/>
      <c r="E3472" s="12"/>
      <c r="F3472" s="12"/>
      <c r="G3472" s="12"/>
      <c r="H3472" s="12"/>
      <c r="I3472" s="12"/>
      <c r="J3472" s="12"/>
      <c r="K3472" s="12"/>
      <c r="L3472" s="12"/>
      <c r="M3472" s="12"/>
      <c r="N3472" s="12"/>
      <c r="O3472" s="12"/>
      <c r="P3472" s="12"/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  <c r="AA3472" s="12"/>
      <c r="AB3472" s="12"/>
      <c r="AC3472" s="12"/>
      <c r="AD3472" s="12"/>
      <c r="AE3472" s="12"/>
      <c r="AF3472" s="12"/>
      <c r="AG3472" s="12"/>
      <c r="AH3472" s="12"/>
      <c r="AI3472" s="12"/>
      <c r="AJ3472" s="12"/>
      <c r="AK3472" s="12"/>
      <c r="AL3472" s="12"/>
      <c r="AM3472" s="12"/>
      <c r="AN3472" s="12"/>
      <c r="AO3472" s="12"/>
    </row>
    <row r="3473" spans="1:41" x14ac:dyDescent="0.2">
      <c r="A3473" s="5">
        <v>5104011132</v>
      </c>
      <c r="B3473" s="6" t="s">
        <v>169</v>
      </c>
      <c r="C3473" s="12"/>
      <c r="D3473" s="12"/>
      <c r="E3473" s="12"/>
      <c r="F3473" s="12"/>
      <c r="G3473" s="12"/>
      <c r="H3473" s="12"/>
      <c r="I3473" s="12"/>
      <c r="J3473" s="12"/>
      <c r="K3473" s="12"/>
      <c r="L3473" s="12"/>
      <c r="M3473" s="12"/>
      <c r="N3473" s="12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  <c r="AA3473" s="12"/>
      <c r="AB3473" s="12"/>
      <c r="AC3473" s="12"/>
      <c r="AD3473" s="12"/>
      <c r="AE3473" s="12"/>
      <c r="AF3473" s="12"/>
      <c r="AG3473" s="12"/>
      <c r="AH3473" s="12"/>
      <c r="AI3473" s="12"/>
      <c r="AJ3473" s="12"/>
      <c r="AK3473" s="12"/>
      <c r="AL3473" s="12"/>
      <c r="AM3473" s="12"/>
      <c r="AN3473" s="12"/>
      <c r="AO3473" s="12"/>
    </row>
    <row r="3474" spans="1:41" x14ac:dyDescent="0.2">
      <c r="A3474" s="5">
        <v>5104011133</v>
      </c>
      <c r="B3474" s="6" t="s">
        <v>170</v>
      </c>
      <c r="C3474" s="12"/>
      <c r="D3474" s="12"/>
      <c r="E3474" s="12"/>
      <c r="F3474" s="12"/>
      <c r="G3474" s="12"/>
      <c r="H3474" s="12"/>
      <c r="I3474" s="12"/>
      <c r="J3474" s="12"/>
      <c r="K3474" s="12"/>
      <c r="L3474" s="12"/>
      <c r="M3474" s="12"/>
      <c r="N3474" s="12"/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  <c r="AA3474" s="12"/>
      <c r="AB3474" s="12"/>
      <c r="AC3474" s="12"/>
      <c r="AD3474" s="12"/>
      <c r="AE3474" s="12"/>
      <c r="AF3474" s="12"/>
      <c r="AG3474" s="12"/>
      <c r="AH3474" s="12"/>
      <c r="AI3474" s="12"/>
      <c r="AJ3474" s="12"/>
      <c r="AK3474" s="12"/>
      <c r="AL3474" s="12"/>
      <c r="AM3474" s="12"/>
      <c r="AN3474" s="12"/>
      <c r="AO3474" s="12"/>
    </row>
    <row r="3475" spans="1:41" x14ac:dyDescent="0.2">
      <c r="A3475" s="5">
        <v>5104011134</v>
      </c>
      <c r="B3475" s="6" t="s">
        <v>171</v>
      </c>
      <c r="C3475" s="12"/>
      <c r="D3475" s="12"/>
      <c r="E3475" s="12"/>
      <c r="F3475" s="12"/>
      <c r="G3475" s="12"/>
      <c r="H3475" s="12"/>
      <c r="I3475" s="12"/>
      <c r="J3475" s="12"/>
      <c r="K3475" s="12"/>
      <c r="L3475" s="12"/>
      <c r="M3475" s="12"/>
      <c r="N3475" s="12"/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  <c r="AA3475" s="12"/>
      <c r="AB3475" s="12"/>
      <c r="AC3475" s="12"/>
      <c r="AD3475" s="12"/>
      <c r="AE3475" s="12"/>
      <c r="AF3475" s="12"/>
      <c r="AG3475" s="12"/>
      <c r="AH3475" s="12"/>
      <c r="AI3475" s="12"/>
      <c r="AJ3475" s="12"/>
      <c r="AK3475" s="12"/>
      <c r="AL3475" s="12"/>
      <c r="AM3475" s="12"/>
      <c r="AN3475" s="12"/>
      <c r="AO3475" s="12"/>
    </row>
    <row r="3476" spans="1:41" ht="14.25" x14ac:dyDescent="0.2">
      <c r="A3476" s="2">
        <v>5104011199</v>
      </c>
      <c r="B3476" s="3" t="s">
        <v>117</v>
      </c>
      <c r="C3476" s="9"/>
      <c r="D3476" s="9"/>
      <c r="E3476" s="9"/>
      <c r="F3476" s="9"/>
      <c r="G3476" s="9"/>
      <c r="H3476" s="9"/>
      <c r="I3476" s="9"/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  <c r="AH3476" s="9"/>
      <c r="AI3476" s="9"/>
      <c r="AJ3476" s="9"/>
      <c r="AK3476" s="9"/>
      <c r="AL3476" s="9"/>
      <c r="AM3476" s="9"/>
      <c r="AN3476" s="9"/>
      <c r="AO3476" s="9"/>
    </row>
    <row r="3477" spans="1:41" ht="14.25" x14ac:dyDescent="0.2">
      <c r="A3477" s="2">
        <v>51040112</v>
      </c>
      <c r="B3477" s="3" t="s">
        <v>892</v>
      </c>
      <c r="C3477" s="9"/>
      <c r="D3477" s="9"/>
      <c r="E3477" s="9"/>
      <c r="F3477" s="9"/>
      <c r="G3477" s="9"/>
      <c r="H3477" s="9"/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9"/>
      <c r="AE3477" s="9"/>
      <c r="AF3477" s="9"/>
      <c r="AG3477" s="9"/>
      <c r="AH3477" s="9"/>
      <c r="AI3477" s="9"/>
      <c r="AJ3477" s="9"/>
      <c r="AK3477" s="9"/>
      <c r="AL3477" s="9"/>
      <c r="AM3477" s="9"/>
      <c r="AN3477" s="9"/>
      <c r="AO3477" s="9"/>
    </row>
    <row r="3478" spans="1:41" x14ac:dyDescent="0.2">
      <c r="A3478" s="5">
        <v>5104011201</v>
      </c>
      <c r="B3478" s="6" t="s">
        <v>95</v>
      </c>
      <c r="C3478" s="12"/>
      <c r="D3478" s="12"/>
      <c r="E3478" s="12"/>
      <c r="F3478" s="12"/>
      <c r="G3478" s="12"/>
      <c r="H3478" s="12"/>
      <c r="I3478" s="12"/>
      <c r="J3478" s="12"/>
      <c r="K3478" s="12"/>
      <c r="L3478" s="12"/>
      <c r="M3478" s="12"/>
      <c r="N3478" s="12"/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  <c r="AA3478" s="12"/>
      <c r="AB3478" s="12"/>
      <c r="AC3478" s="12"/>
      <c r="AD3478" s="12"/>
      <c r="AE3478" s="12"/>
      <c r="AF3478" s="12"/>
      <c r="AG3478" s="12"/>
      <c r="AH3478" s="12"/>
      <c r="AI3478" s="12"/>
      <c r="AJ3478" s="12"/>
      <c r="AK3478" s="12"/>
      <c r="AL3478" s="12"/>
      <c r="AM3478" s="12"/>
      <c r="AN3478" s="12"/>
      <c r="AO3478" s="12"/>
    </row>
    <row r="3479" spans="1:41" x14ac:dyDescent="0.2">
      <c r="A3479" s="5">
        <v>5104011202</v>
      </c>
      <c r="B3479" s="6" t="s">
        <v>96</v>
      </c>
      <c r="C3479" s="12"/>
      <c r="D3479" s="12"/>
      <c r="E3479" s="12"/>
      <c r="F3479" s="12"/>
      <c r="G3479" s="12"/>
      <c r="H3479" s="12"/>
      <c r="I3479" s="12"/>
      <c r="J3479" s="12"/>
      <c r="K3479" s="12"/>
      <c r="L3479" s="12"/>
      <c r="M3479" s="12"/>
      <c r="N3479" s="12"/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  <c r="AA3479" s="12"/>
      <c r="AB3479" s="12"/>
      <c r="AC3479" s="12"/>
      <c r="AD3479" s="12"/>
      <c r="AE3479" s="12"/>
      <c r="AF3479" s="12"/>
      <c r="AG3479" s="12"/>
      <c r="AH3479" s="12"/>
      <c r="AI3479" s="12"/>
      <c r="AJ3479" s="12"/>
      <c r="AK3479" s="12"/>
      <c r="AL3479" s="12"/>
      <c r="AM3479" s="12"/>
      <c r="AN3479" s="12"/>
      <c r="AO3479" s="12"/>
    </row>
    <row r="3480" spans="1:41" ht="14.25" x14ac:dyDescent="0.2">
      <c r="A3480" s="2">
        <v>5104011203</v>
      </c>
      <c r="B3480" s="3" t="s">
        <v>97</v>
      </c>
      <c r="C3480" s="9"/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9"/>
      <c r="AI3480" s="9"/>
      <c r="AJ3480" s="9"/>
      <c r="AK3480" s="9"/>
      <c r="AL3480" s="9"/>
      <c r="AM3480" s="9"/>
      <c r="AN3480" s="9"/>
      <c r="AO3480" s="9"/>
    </row>
    <row r="3481" spans="1:41" ht="14.25" x14ac:dyDescent="0.2">
      <c r="A3481" s="2">
        <v>5104011204</v>
      </c>
      <c r="B3481" s="3" t="s">
        <v>101</v>
      </c>
      <c r="C3481" s="9"/>
      <c r="D3481" s="9"/>
      <c r="E3481" s="9"/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9"/>
      <c r="AI3481" s="9"/>
      <c r="AJ3481" s="9"/>
      <c r="AK3481" s="9"/>
      <c r="AL3481" s="9"/>
      <c r="AM3481" s="9"/>
      <c r="AN3481" s="9"/>
      <c r="AO3481" s="9"/>
    </row>
    <row r="3482" spans="1:41" ht="14.25" x14ac:dyDescent="0.2">
      <c r="A3482" s="2">
        <v>5104011205</v>
      </c>
      <c r="B3482" s="3" t="s">
        <v>106</v>
      </c>
      <c r="C3482" s="9"/>
      <c r="D3482" s="9"/>
      <c r="E3482" s="9"/>
      <c r="F3482" s="9"/>
      <c r="G3482" s="9"/>
      <c r="H3482" s="9"/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9"/>
      <c r="AI3482" s="9"/>
      <c r="AJ3482" s="9"/>
      <c r="AK3482" s="9"/>
      <c r="AL3482" s="9"/>
      <c r="AM3482" s="9"/>
      <c r="AN3482" s="9"/>
      <c r="AO3482" s="9"/>
    </row>
    <row r="3483" spans="1:41" ht="14.25" x14ac:dyDescent="0.2">
      <c r="A3483" s="2">
        <v>5104011206</v>
      </c>
      <c r="B3483" s="3" t="s">
        <v>111</v>
      </c>
      <c r="C3483" s="9"/>
      <c r="D3483" s="9"/>
      <c r="E3483" s="9"/>
      <c r="F3483" s="9"/>
      <c r="G3483" s="9"/>
      <c r="H3483" s="9"/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  <c r="AB3483" s="9"/>
      <c r="AC3483" s="9"/>
      <c r="AD3483" s="9"/>
      <c r="AE3483" s="9"/>
      <c r="AF3483" s="9"/>
      <c r="AG3483" s="9"/>
      <c r="AH3483" s="9"/>
      <c r="AI3483" s="9"/>
      <c r="AJ3483" s="9"/>
      <c r="AK3483" s="9"/>
      <c r="AL3483" s="9"/>
      <c r="AM3483" s="9"/>
      <c r="AN3483" s="9"/>
      <c r="AO3483" s="9"/>
    </row>
    <row r="3484" spans="1:41" ht="14.25" x14ac:dyDescent="0.2">
      <c r="A3484" s="2">
        <v>5104011207</v>
      </c>
      <c r="B3484" s="3" t="s">
        <v>112</v>
      </c>
      <c r="C3484" s="9"/>
      <c r="D3484" s="9"/>
      <c r="E3484" s="9"/>
      <c r="F3484" s="9"/>
      <c r="G3484" s="9"/>
      <c r="H3484" s="9"/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9"/>
      <c r="AH3484" s="9"/>
      <c r="AI3484" s="9"/>
      <c r="AJ3484" s="9"/>
      <c r="AK3484" s="9"/>
      <c r="AL3484" s="9"/>
      <c r="AM3484" s="9"/>
      <c r="AN3484" s="9"/>
      <c r="AO3484" s="9"/>
    </row>
    <row r="3485" spans="1:41" ht="14.25" x14ac:dyDescent="0.2">
      <c r="A3485" s="2">
        <v>5104011211</v>
      </c>
      <c r="B3485" s="3" t="s">
        <v>113</v>
      </c>
      <c r="C3485" s="9"/>
      <c r="D3485" s="9"/>
      <c r="E3485" s="9"/>
      <c r="F3485" s="9"/>
      <c r="G3485" s="9"/>
      <c r="H3485" s="9"/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9"/>
      <c r="AD3485" s="9"/>
      <c r="AE3485" s="9"/>
      <c r="AF3485" s="9"/>
      <c r="AG3485" s="9"/>
      <c r="AH3485" s="9"/>
      <c r="AI3485" s="9"/>
      <c r="AJ3485" s="9"/>
      <c r="AK3485" s="9"/>
      <c r="AL3485" s="9"/>
      <c r="AM3485" s="9"/>
      <c r="AN3485" s="9"/>
      <c r="AO3485" s="9"/>
    </row>
    <row r="3486" spans="1:41" ht="14.25" x14ac:dyDescent="0.2">
      <c r="A3486" s="2">
        <v>5104011212</v>
      </c>
      <c r="B3486" s="3" t="s">
        <v>114</v>
      </c>
      <c r="C3486" s="9"/>
      <c r="D3486" s="9"/>
      <c r="E3486" s="9"/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  <c r="AK3486" s="9"/>
      <c r="AL3486" s="9"/>
      <c r="AM3486" s="9"/>
      <c r="AN3486" s="9"/>
      <c r="AO3486" s="9"/>
    </row>
    <row r="3487" spans="1:41" ht="14.25" x14ac:dyDescent="0.2">
      <c r="A3487" s="2">
        <v>5104011221</v>
      </c>
      <c r="B3487" s="3" t="s">
        <v>115</v>
      </c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  <c r="AB3487" s="9"/>
      <c r="AC3487" s="9"/>
      <c r="AD3487" s="9"/>
      <c r="AE3487" s="9"/>
      <c r="AF3487" s="9"/>
      <c r="AG3487" s="9"/>
      <c r="AH3487" s="9"/>
      <c r="AI3487" s="9"/>
      <c r="AJ3487" s="9"/>
      <c r="AK3487" s="9"/>
      <c r="AL3487" s="9"/>
      <c r="AM3487" s="9"/>
      <c r="AN3487" s="9"/>
      <c r="AO3487" s="9"/>
    </row>
    <row r="3488" spans="1:41" ht="14.25" x14ac:dyDescent="0.2">
      <c r="A3488" s="2">
        <v>5104011227</v>
      </c>
      <c r="B3488" s="3" t="s">
        <v>166</v>
      </c>
      <c r="C3488" s="9"/>
      <c r="D3488" s="9"/>
      <c r="E3488" s="9"/>
      <c r="F3488" s="9"/>
      <c r="G3488" s="9"/>
      <c r="H3488" s="9"/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  <c r="AE3488" s="9"/>
      <c r="AF3488" s="9"/>
      <c r="AG3488" s="9"/>
      <c r="AH3488" s="9"/>
      <c r="AI3488" s="9"/>
      <c r="AJ3488" s="9"/>
      <c r="AK3488" s="9"/>
      <c r="AL3488" s="9"/>
      <c r="AM3488" s="9"/>
      <c r="AN3488" s="9"/>
      <c r="AO3488" s="9"/>
    </row>
    <row r="3489" spans="1:41" x14ac:dyDescent="0.2">
      <c r="A3489" s="5">
        <v>5104011230</v>
      </c>
      <c r="B3489" s="6" t="s">
        <v>167</v>
      </c>
      <c r="C3489" s="12"/>
      <c r="D3489" s="12"/>
      <c r="E3489" s="12"/>
      <c r="F3489" s="12"/>
      <c r="G3489" s="12"/>
      <c r="H3489" s="12"/>
      <c r="I3489" s="12"/>
      <c r="J3489" s="12"/>
      <c r="K3489" s="12"/>
      <c r="L3489" s="12"/>
      <c r="M3489" s="12"/>
      <c r="N3489" s="12"/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  <c r="AA3489" s="12"/>
      <c r="AB3489" s="12"/>
      <c r="AC3489" s="12"/>
      <c r="AD3489" s="12"/>
      <c r="AE3489" s="12"/>
      <c r="AF3489" s="12"/>
      <c r="AG3489" s="12"/>
      <c r="AH3489" s="12"/>
      <c r="AI3489" s="12"/>
      <c r="AJ3489" s="12"/>
      <c r="AK3489" s="12"/>
      <c r="AL3489" s="12"/>
      <c r="AM3489" s="12"/>
      <c r="AN3489" s="12"/>
      <c r="AO3489" s="12"/>
    </row>
    <row r="3490" spans="1:41" x14ac:dyDescent="0.2">
      <c r="A3490" s="5">
        <v>5104011231</v>
      </c>
      <c r="B3490" s="6" t="s">
        <v>168</v>
      </c>
      <c r="C3490" s="12"/>
      <c r="D3490" s="12"/>
      <c r="E3490" s="12"/>
      <c r="F3490" s="12"/>
      <c r="G3490" s="12"/>
      <c r="H3490" s="12"/>
      <c r="I3490" s="12"/>
      <c r="J3490" s="12"/>
      <c r="K3490" s="12"/>
      <c r="L3490" s="12"/>
      <c r="M3490" s="12"/>
      <c r="N3490" s="12"/>
      <c r="O3490" s="12"/>
      <c r="P3490" s="12"/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  <c r="AA3490" s="12"/>
      <c r="AB3490" s="12"/>
      <c r="AC3490" s="12"/>
      <c r="AD3490" s="12"/>
      <c r="AE3490" s="12"/>
      <c r="AF3490" s="12"/>
      <c r="AG3490" s="12"/>
      <c r="AH3490" s="12"/>
      <c r="AI3490" s="12"/>
      <c r="AJ3490" s="12"/>
      <c r="AK3490" s="12"/>
      <c r="AL3490" s="12"/>
      <c r="AM3490" s="12"/>
      <c r="AN3490" s="12"/>
      <c r="AO3490" s="12"/>
    </row>
    <row r="3491" spans="1:41" x14ac:dyDescent="0.2">
      <c r="A3491" s="5">
        <v>5104011232</v>
      </c>
      <c r="B3491" s="6" t="s">
        <v>169</v>
      </c>
      <c r="C3491" s="12"/>
      <c r="D3491" s="12"/>
      <c r="E3491" s="12"/>
      <c r="F3491" s="12"/>
      <c r="G3491" s="12"/>
      <c r="H3491" s="12"/>
      <c r="I3491" s="12"/>
      <c r="J3491" s="12"/>
      <c r="K3491" s="12"/>
      <c r="L3491" s="12"/>
      <c r="M3491" s="12"/>
      <c r="N3491" s="12"/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  <c r="AA3491" s="12"/>
      <c r="AB3491" s="12"/>
      <c r="AC3491" s="12"/>
      <c r="AD3491" s="12"/>
      <c r="AE3491" s="12"/>
      <c r="AF3491" s="12"/>
      <c r="AG3491" s="12"/>
      <c r="AH3491" s="12"/>
      <c r="AI3491" s="12"/>
      <c r="AJ3491" s="12"/>
      <c r="AK3491" s="12"/>
      <c r="AL3491" s="12"/>
      <c r="AM3491" s="12"/>
      <c r="AN3491" s="12"/>
      <c r="AO3491" s="12"/>
    </row>
    <row r="3492" spans="1:41" x14ac:dyDescent="0.2">
      <c r="A3492" s="5">
        <v>5104011233</v>
      </c>
      <c r="B3492" s="6" t="s">
        <v>170</v>
      </c>
      <c r="C3492" s="12"/>
      <c r="D3492" s="12"/>
      <c r="E3492" s="12"/>
      <c r="F3492" s="12"/>
      <c r="G3492" s="12"/>
      <c r="H3492" s="12"/>
      <c r="I3492" s="12"/>
      <c r="J3492" s="12"/>
      <c r="K3492" s="12"/>
      <c r="L3492" s="12"/>
      <c r="M3492" s="12"/>
      <c r="N3492" s="12"/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  <c r="AA3492" s="12"/>
      <c r="AB3492" s="12"/>
      <c r="AC3492" s="12"/>
      <c r="AD3492" s="12"/>
      <c r="AE3492" s="12"/>
      <c r="AF3492" s="12"/>
      <c r="AG3492" s="12"/>
      <c r="AH3492" s="12"/>
      <c r="AI3492" s="12"/>
      <c r="AJ3492" s="12"/>
      <c r="AK3492" s="12"/>
      <c r="AL3492" s="12"/>
      <c r="AM3492" s="12"/>
      <c r="AN3492" s="12"/>
      <c r="AO3492" s="12"/>
    </row>
    <row r="3493" spans="1:41" x14ac:dyDescent="0.2">
      <c r="A3493" s="5">
        <v>5104011234</v>
      </c>
      <c r="B3493" s="6" t="s">
        <v>171</v>
      </c>
      <c r="C3493" s="12"/>
      <c r="D3493" s="12"/>
      <c r="E3493" s="12"/>
      <c r="F3493" s="12"/>
      <c r="G3493" s="12"/>
      <c r="H3493" s="12"/>
      <c r="I3493" s="12"/>
      <c r="J3493" s="12"/>
      <c r="K3493" s="12"/>
      <c r="L3493" s="12"/>
      <c r="M3493" s="12"/>
      <c r="N3493" s="12"/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  <c r="AA3493" s="12"/>
      <c r="AB3493" s="12"/>
      <c r="AC3493" s="12"/>
      <c r="AD3493" s="12"/>
      <c r="AE3493" s="12"/>
      <c r="AF3493" s="12"/>
      <c r="AG3493" s="12"/>
      <c r="AH3493" s="12"/>
      <c r="AI3493" s="12"/>
      <c r="AJ3493" s="12"/>
      <c r="AK3493" s="12"/>
      <c r="AL3493" s="12"/>
      <c r="AM3493" s="12"/>
      <c r="AN3493" s="12"/>
      <c r="AO3493" s="12"/>
    </row>
    <row r="3494" spans="1:41" ht="14.25" x14ac:dyDescent="0.2">
      <c r="A3494" s="2">
        <v>5104011299</v>
      </c>
      <c r="B3494" s="3" t="s">
        <v>117</v>
      </c>
      <c r="C3494" s="9"/>
      <c r="D3494" s="9"/>
      <c r="E3494" s="9"/>
      <c r="F3494" s="9"/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  <c r="AH3494" s="9"/>
      <c r="AI3494" s="9"/>
      <c r="AJ3494" s="9"/>
      <c r="AK3494" s="9"/>
      <c r="AL3494" s="9"/>
      <c r="AM3494" s="9"/>
      <c r="AN3494" s="9"/>
      <c r="AO3494" s="9"/>
    </row>
    <row r="3495" spans="1:41" ht="14.25" x14ac:dyDescent="0.2">
      <c r="A3495" s="2">
        <v>51040113</v>
      </c>
      <c r="B3495" s="3" t="s">
        <v>893</v>
      </c>
      <c r="C3495" s="9"/>
      <c r="D3495" s="9"/>
      <c r="E3495" s="9"/>
      <c r="F3495" s="9"/>
      <c r="G3495" s="9"/>
      <c r="H3495" s="9"/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9"/>
      <c r="AE3495" s="9"/>
      <c r="AF3495" s="9"/>
      <c r="AG3495" s="9"/>
      <c r="AH3495" s="9"/>
      <c r="AI3495" s="9"/>
      <c r="AJ3495" s="9"/>
      <c r="AK3495" s="9"/>
      <c r="AL3495" s="9"/>
      <c r="AM3495" s="9"/>
      <c r="AN3495" s="9"/>
      <c r="AO3495" s="9"/>
    </row>
    <row r="3496" spans="1:41" x14ac:dyDescent="0.2">
      <c r="A3496" s="5">
        <v>5104011301</v>
      </c>
      <c r="B3496" s="6" t="s">
        <v>95</v>
      </c>
      <c r="C3496" s="12"/>
      <c r="D3496" s="12"/>
      <c r="E3496" s="12"/>
      <c r="F3496" s="12"/>
      <c r="G3496" s="12"/>
      <c r="H3496" s="12"/>
      <c r="I3496" s="12"/>
      <c r="J3496" s="12"/>
      <c r="K3496" s="12"/>
      <c r="L3496" s="12"/>
      <c r="M3496" s="12"/>
      <c r="N3496" s="12"/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  <c r="AA3496" s="12"/>
      <c r="AB3496" s="12"/>
      <c r="AC3496" s="12"/>
      <c r="AD3496" s="12"/>
      <c r="AE3496" s="12"/>
      <c r="AF3496" s="12"/>
      <c r="AG3496" s="12"/>
      <c r="AH3496" s="12"/>
      <c r="AI3496" s="12"/>
      <c r="AJ3496" s="12"/>
      <c r="AK3496" s="12"/>
      <c r="AL3496" s="12"/>
      <c r="AM3496" s="12"/>
      <c r="AN3496" s="12"/>
      <c r="AO3496" s="12"/>
    </row>
    <row r="3497" spans="1:41" x14ac:dyDescent="0.2">
      <c r="A3497" s="5">
        <v>5104011302</v>
      </c>
      <c r="B3497" s="6" t="s">
        <v>96</v>
      </c>
      <c r="C3497" s="12"/>
      <c r="D3497" s="12"/>
      <c r="E3497" s="12"/>
      <c r="F3497" s="12"/>
      <c r="G3497" s="12"/>
      <c r="H3497" s="12"/>
      <c r="I3497" s="12"/>
      <c r="J3497" s="12"/>
      <c r="K3497" s="12"/>
      <c r="L3497" s="12"/>
      <c r="M3497" s="12"/>
      <c r="N3497" s="12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  <c r="AA3497" s="12"/>
      <c r="AB3497" s="12"/>
      <c r="AC3497" s="12"/>
      <c r="AD3497" s="12"/>
      <c r="AE3497" s="12"/>
      <c r="AF3497" s="12"/>
      <c r="AG3497" s="12"/>
      <c r="AH3497" s="12"/>
      <c r="AI3497" s="12"/>
      <c r="AJ3497" s="12"/>
      <c r="AK3497" s="12"/>
      <c r="AL3497" s="12"/>
      <c r="AM3497" s="12"/>
      <c r="AN3497" s="12"/>
      <c r="AO3497" s="12"/>
    </row>
    <row r="3498" spans="1:41" ht="14.25" x14ac:dyDescent="0.2">
      <c r="A3498" s="2">
        <v>5104011303</v>
      </c>
      <c r="B3498" s="3" t="s">
        <v>97</v>
      </c>
      <c r="C3498" s="9"/>
      <c r="D3498" s="9"/>
      <c r="E3498" s="9"/>
      <c r="F3498" s="9"/>
      <c r="G3498" s="9"/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  <c r="AE3498" s="9"/>
      <c r="AF3498" s="9"/>
      <c r="AG3498" s="9"/>
      <c r="AH3498" s="9"/>
      <c r="AI3498" s="9"/>
      <c r="AJ3498" s="9"/>
      <c r="AK3498" s="9"/>
      <c r="AL3498" s="9"/>
      <c r="AM3498" s="9"/>
      <c r="AN3498" s="9"/>
      <c r="AO3498" s="9"/>
    </row>
    <row r="3499" spans="1:41" ht="14.25" x14ac:dyDescent="0.2">
      <c r="A3499" s="2">
        <v>5104011304</v>
      </c>
      <c r="B3499" s="3" t="s">
        <v>101</v>
      </c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  <c r="AE3499" s="9"/>
      <c r="AF3499" s="9"/>
      <c r="AG3499" s="9"/>
      <c r="AH3499" s="9"/>
      <c r="AI3499" s="9"/>
      <c r="AJ3499" s="9"/>
      <c r="AK3499" s="9"/>
      <c r="AL3499" s="9"/>
      <c r="AM3499" s="9"/>
      <c r="AN3499" s="9"/>
      <c r="AO3499" s="9"/>
    </row>
    <row r="3500" spans="1:41" ht="14.25" x14ac:dyDescent="0.2">
      <c r="A3500" s="2">
        <v>5104011305</v>
      </c>
      <c r="B3500" s="3" t="s">
        <v>106</v>
      </c>
      <c r="C3500" s="9"/>
      <c r="D3500" s="9"/>
      <c r="E3500" s="9"/>
      <c r="F3500" s="9"/>
      <c r="G3500" s="9"/>
      <c r="H3500" s="9"/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9"/>
      <c r="AE3500" s="9"/>
      <c r="AF3500" s="9"/>
      <c r="AG3500" s="9"/>
      <c r="AH3500" s="9"/>
      <c r="AI3500" s="9"/>
      <c r="AJ3500" s="9"/>
      <c r="AK3500" s="9"/>
      <c r="AL3500" s="9"/>
      <c r="AM3500" s="9"/>
      <c r="AN3500" s="9"/>
      <c r="AO3500" s="9"/>
    </row>
    <row r="3501" spans="1:41" ht="14.25" x14ac:dyDescent="0.2">
      <c r="A3501" s="2">
        <v>5104011306</v>
      </c>
      <c r="B3501" s="3" t="s">
        <v>111</v>
      </c>
      <c r="C3501" s="9"/>
      <c r="D3501" s="9"/>
      <c r="E3501" s="9"/>
      <c r="F3501" s="9"/>
      <c r="G3501" s="9"/>
      <c r="H3501" s="9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9"/>
      <c r="AD3501" s="9"/>
      <c r="AE3501" s="9"/>
      <c r="AF3501" s="9"/>
      <c r="AG3501" s="9"/>
      <c r="AH3501" s="9"/>
      <c r="AI3501" s="9"/>
      <c r="AJ3501" s="9"/>
      <c r="AK3501" s="9"/>
      <c r="AL3501" s="9"/>
      <c r="AM3501" s="9"/>
      <c r="AN3501" s="9"/>
      <c r="AO3501" s="9"/>
    </row>
    <row r="3502" spans="1:41" ht="14.25" x14ac:dyDescent="0.2">
      <c r="A3502" s="2">
        <v>5104011307</v>
      </c>
      <c r="B3502" s="3" t="s">
        <v>112</v>
      </c>
      <c r="C3502" s="9"/>
      <c r="D3502" s="9"/>
      <c r="E3502" s="9"/>
      <c r="F3502" s="9"/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9"/>
      <c r="AH3502" s="9"/>
      <c r="AI3502" s="9"/>
      <c r="AJ3502" s="9"/>
      <c r="AK3502" s="9"/>
      <c r="AL3502" s="9"/>
      <c r="AM3502" s="9"/>
      <c r="AN3502" s="9"/>
      <c r="AO3502" s="9"/>
    </row>
    <row r="3503" spans="1:41" ht="14.25" x14ac:dyDescent="0.2">
      <c r="A3503" s="2">
        <v>5104011311</v>
      </c>
      <c r="B3503" s="3" t="s">
        <v>113</v>
      </c>
      <c r="C3503" s="9"/>
      <c r="D3503" s="9"/>
      <c r="E3503" s="9"/>
      <c r="F3503" s="9"/>
      <c r="G3503" s="9"/>
      <c r="H3503" s="9"/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9"/>
      <c r="AE3503" s="9"/>
      <c r="AF3503" s="9"/>
      <c r="AG3503" s="9"/>
      <c r="AH3503" s="9"/>
      <c r="AI3503" s="9"/>
      <c r="AJ3503" s="9"/>
      <c r="AK3503" s="9"/>
      <c r="AL3503" s="9"/>
      <c r="AM3503" s="9"/>
      <c r="AN3503" s="9"/>
      <c r="AO3503" s="9"/>
    </row>
    <row r="3504" spans="1:41" ht="14.25" x14ac:dyDescent="0.2">
      <c r="A3504" s="2">
        <v>5104011312</v>
      </c>
      <c r="B3504" s="3" t="s">
        <v>114</v>
      </c>
      <c r="C3504" s="9"/>
      <c r="D3504" s="9"/>
      <c r="E3504" s="9"/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9"/>
      <c r="AE3504" s="9"/>
      <c r="AF3504" s="9"/>
      <c r="AG3504" s="9"/>
      <c r="AH3504" s="9"/>
      <c r="AI3504" s="9"/>
      <c r="AJ3504" s="9"/>
      <c r="AK3504" s="9"/>
      <c r="AL3504" s="9"/>
      <c r="AM3504" s="9"/>
      <c r="AN3504" s="9"/>
      <c r="AO3504" s="9"/>
    </row>
    <row r="3505" spans="1:41" ht="14.25" x14ac:dyDescent="0.2">
      <c r="A3505" s="2">
        <v>5104011321</v>
      </c>
      <c r="B3505" s="3" t="s">
        <v>115</v>
      </c>
      <c r="C3505" s="9"/>
      <c r="D3505" s="9"/>
      <c r="E3505" s="9"/>
      <c r="F3505" s="9"/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9"/>
      <c r="AE3505" s="9"/>
      <c r="AF3505" s="9"/>
      <c r="AG3505" s="9"/>
      <c r="AH3505" s="9"/>
      <c r="AI3505" s="9"/>
      <c r="AJ3505" s="9"/>
      <c r="AK3505" s="9"/>
      <c r="AL3505" s="9"/>
      <c r="AM3505" s="9"/>
      <c r="AN3505" s="9"/>
      <c r="AO3505" s="9"/>
    </row>
    <row r="3506" spans="1:41" ht="14.25" x14ac:dyDescent="0.2">
      <c r="A3506" s="2">
        <v>5104011327</v>
      </c>
      <c r="B3506" s="3" t="s">
        <v>166</v>
      </c>
      <c r="C3506" s="9"/>
      <c r="D3506" s="9"/>
      <c r="E3506" s="9"/>
      <c r="F3506" s="9"/>
      <c r="G3506" s="9"/>
      <c r="H3506" s="9"/>
      <c r="I3506" s="9"/>
      <c r="J3506" s="9"/>
      <c r="K3506" s="9"/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9"/>
      <c r="AC3506" s="9"/>
      <c r="AD3506" s="9"/>
      <c r="AE3506" s="9"/>
      <c r="AF3506" s="9"/>
      <c r="AG3506" s="9"/>
      <c r="AH3506" s="9"/>
      <c r="AI3506" s="9"/>
      <c r="AJ3506" s="9"/>
      <c r="AK3506" s="9"/>
      <c r="AL3506" s="9"/>
      <c r="AM3506" s="9"/>
      <c r="AN3506" s="9"/>
      <c r="AO3506" s="9"/>
    </row>
    <row r="3507" spans="1:41" ht="14.25" x14ac:dyDescent="0.2">
      <c r="A3507" s="2">
        <v>5104011399</v>
      </c>
      <c r="B3507" s="3" t="s">
        <v>117</v>
      </c>
      <c r="C3507" s="9"/>
      <c r="D3507" s="9"/>
      <c r="E3507" s="9"/>
      <c r="F3507" s="9"/>
      <c r="G3507" s="9"/>
      <c r="H3507" s="9"/>
      <c r="I3507" s="9"/>
      <c r="J3507" s="9"/>
      <c r="K3507" s="9"/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/>
      <c r="AC3507" s="9"/>
      <c r="AD3507" s="9"/>
      <c r="AE3507" s="9"/>
      <c r="AF3507" s="9"/>
      <c r="AG3507" s="9"/>
      <c r="AH3507" s="9"/>
      <c r="AI3507" s="9"/>
      <c r="AJ3507" s="9"/>
      <c r="AK3507" s="9"/>
      <c r="AL3507" s="9"/>
      <c r="AM3507" s="9"/>
      <c r="AN3507" s="9"/>
      <c r="AO3507" s="9"/>
    </row>
    <row r="3508" spans="1:41" ht="14.25" x14ac:dyDescent="0.2">
      <c r="A3508" s="2">
        <v>510403</v>
      </c>
      <c r="B3508" s="3" t="s">
        <v>894</v>
      </c>
      <c r="C3508" s="9"/>
      <c r="D3508" s="9"/>
      <c r="E3508" s="9"/>
      <c r="F3508" s="9"/>
      <c r="G3508" s="9"/>
      <c r="H3508" s="9"/>
      <c r="I3508" s="9"/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  <c r="AF3508" s="9"/>
      <c r="AG3508" s="9"/>
      <c r="AH3508" s="9"/>
      <c r="AI3508" s="9"/>
      <c r="AJ3508" s="9"/>
      <c r="AK3508" s="9"/>
      <c r="AL3508" s="9"/>
      <c r="AM3508" s="9"/>
      <c r="AN3508" s="9"/>
      <c r="AO3508" s="9"/>
    </row>
    <row r="3509" spans="1:41" ht="14.25" x14ac:dyDescent="0.2">
      <c r="A3509" s="2">
        <v>51040302</v>
      </c>
      <c r="B3509" s="3" t="s">
        <v>94</v>
      </c>
      <c r="C3509" s="9"/>
      <c r="D3509" s="9"/>
      <c r="E3509" s="9"/>
      <c r="F3509" s="9"/>
      <c r="G3509" s="9"/>
      <c r="H3509" s="9"/>
      <c r="I3509" s="9"/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9"/>
      <c r="AE3509" s="9"/>
      <c r="AF3509" s="9"/>
      <c r="AG3509" s="9"/>
      <c r="AH3509" s="9"/>
      <c r="AI3509" s="9"/>
      <c r="AJ3509" s="9"/>
      <c r="AK3509" s="9"/>
      <c r="AL3509" s="9"/>
      <c r="AM3509" s="9"/>
      <c r="AN3509" s="9"/>
      <c r="AO3509" s="9"/>
    </row>
    <row r="3510" spans="1:41" x14ac:dyDescent="0.2">
      <c r="A3510" s="5">
        <v>51040307</v>
      </c>
      <c r="B3510" s="6" t="s">
        <v>138</v>
      </c>
      <c r="C3510" s="12"/>
      <c r="D3510" s="12"/>
      <c r="E3510" s="12"/>
      <c r="F3510" s="12"/>
      <c r="G3510" s="12"/>
      <c r="H3510" s="12"/>
      <c r="I3510" s="12"/>
      <c r="J3510" s="12"/>
      <c r="K3510" s="12"/>
      <c r="L3510" s="12"/>
      <c r="M3510" s="12"/>
      <c r="N3510" s="12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  <c r="AA3510" s="12"/>
      <c r="AB3510" s="12"/>
      <c r="AC3510" s="12"/>
      <c r="AD3510" s="12"/>
      <c r="AE3510" s="12"/>
      <c r="AF3510" s="12"/>
      <c r="AG3510" s="12"/>
      <c r="AH3510" s="12"/>
      <c r="AI3510" s="12"/>
      <c r="AJ3510" s="12"/>
      <c r="AK3510" s="12"/>
      <c r="AL3510" s="12"/>
      <c r="AM3510" s="12"/>
      <c r="AN3510" s="12"/>
      <c r="AO3510" s="12"/>
    </row>
    <row r="3511" spans="1:41" ht="14.25" x14ac:dyDescent="0.2">
      <c r="A3511" s="2">
        <v>51040310</v>
      </c>
      <c r="B3511" s="3" t="s">
        <v>162</v>
      </c>
      <c r="C3511" s="9"/>
      <c r="D3511" s="9"/>
      <c r="E3511" s="9"/>
      <c r="F3511" s="9"/>
      <c r="G3511" s="9"/>
      <c r="H3511" s="9"/>
      <c r="I3511" s="9"/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  <c r="AF3511" s="9"/>
      <c r="AG3511" s="9"/>
      <c r="AH3511" s="9"/>
      <c r="AI3511" s="9"/>
      <c r="AJ3511" s="9"/>
      <c r="AK3511" s="9"/>
      <c r="AL3511" s="9"/>
      <c r="AM3511" s="9"/>
      <c r="AN3511" s="9"/>
      <c r="AO3511" s="9"/>
    </row>
    <row r="3512" spans="1:41" ht="14.25" x14ac:dyDescent="0.2">
      <c r="A3512" s="2">
        <v>51040311</v>
      </c>
      <c r="B3512" s="3" t="s">
        <v>172</v>
      </c>
      <c r="C3512" s="9"/>
      <c r="D3512" s="9"/>
      <c r="E3512" s="9"/>
      <c r="F3512" s="9"/>
      <c r="G3512" s="9"/>
      <c r="H3512" s="9"/>
      <c r="I3512" s="9"/>
      <c r="J3512" s="9"/>
      <c r="K3512" s="9"/>
      <c r="L3512" s="9"/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  <c r="AH3512" s="9"/>
      <c r="AI3512" s="9"/>
      <c r="AJ3512" s="9"/>
      <c r="AK3512" s="9"/>
      <c r="AL3512" s="9"/>
      <c r="AM3512" s="9"/>
      <c r="AN3512" s="9"/>
      <c r="AO3512" s="9"/>
    </row>
    <row r="3513" spans="1:41" ht="14.25" x14ac:dyDescent="0.2">
      <c r="A3513" s="2">
        <v>51040312</v>
      </c>
      <c r="B3513" s="3" t="s">
        <v>174</v>
      </c>
      <c r="C3513" s="9"/>
      <c r="D3513" s="9"/>
      <c r="E3513" s="9"/>
      <c r="F3513" s="9"/>
      <c r="G3513" s="9"/>
      <c r="H3513" s="9"/>
      <c r="I3513" s="9"/>
      <c r="J3513" s="9"/>
      <c r="K3513" s="9"/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  <c r="AE3513" s="9"/>
      <c r="AF3513" s="9"/>
      <c r="AG3513" s="9"/>
      <c r="AH3513" s="9"/>
      <c r="AI3513" s="9"/>
      <c r="AJ3513" s="9"/>
      <c r="AK3513" s="9"/>
      <c r="AL3513" s="9"/>
      <c r="AM3513" s="9"/>
      <c r="AN3513" s="9"/>
      <c r="AO3513" s="9"/>
    </row>
    <row r="3514" spans="1:41" ht="14.25" x14ac:dyDescent="0.2">
      <c r="A3514" s="2">
        <v>51040313</v>
      </c>
      <c r="B3514" s="3" t="s">
        <v>175</v>
      </c>
      <c r="C3514" s="9"/>
      <c r="D3514" s="9"/>
      <c r="E3514" s="9"/>
      <c r="F3514" s="9"/>
      <c r="G3514" s="9"/>
      <c r="H3514" s="9"/>
      <c r="I3514" s="9"/>
      <c r="J3514" s="9"/>
      <c r="K3514" s="9"/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  <c r="AE3514" s="9"/>
      <c r="AF3514" s="9"/>
      <c r="AG3514" s="9"/>
      <c r="AH3514" s="9"/>
      <c r="AI3514" s="9"/>
      <c r="AJ3514" s="9"/>
      <c r="AK3514" s="9"/>
      <c r="AL3514" s="9"/>
      <c r="AM3514" s="9"/>
      <c r="AN3514" s="9"/>
      <c r="AO3514" s="9"/>
    </row>
    <row r="3515" spans="1:41" ht="14.25" x14ac:dyDescent="0.2">
      <c r="A3515" s="2">
        <v>510404</v>
      </c>
      <c r="B3515" s="3" t="s">
        <v>895</v>
      </c>
      <c r="C3515" s="9"/>
      <c r="D3515" s="9"/>
      <c r="E3515" s="9"/>
      <c r="F3515" s="9"/>
      <c r="G3515" s="9"/>
      <c r="H3515" s="9"/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  <c r="AB3515" s="9"/>
      <c r="AC3515" s="9"/>
      <c r="AD3515" s="9"/>
      <c r="AE3515" s="9"/>
      <c r="AF3515" s="9"/>
      <c r="AG3515" s="9"/>
      <c r="AH3515" s="9"/>
      <c r="AI3515" s="9"/>
      <c r="AJ3515" s="9"/>
      <c r="AK3515" s="9"/>
      <c r="AL3515" s="9"/>
      <c r="AM3515" s="9"/>
      <c r="AN3515" s="9"/>
      <c r="AO3515" s="9"/>
    </row>
    <row r="3516" spans="1:41" ht="14.25" x14ac:dyDescent="0.2">
      <c r="A3516" s="2">
        <v>51040402</v>
      </c>
      <c r="B3516" s="3" t="s">
        <v>94</v>
      </c>
      <c r="C3516" s="9"/>
      <c r="D3516" s="9"/>
      <c r="E3516" s="9"/>
      <c r="F3516" s="9"/>
      <c r="G3516" s="9"/>
      <c r="H3516" s="9"/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9"/>
      <c r="AH3516" s="9"/>
      <c r="AI3516" s="9"/>
      <c r="AJ3516" s="9"/>
      <c r="AK3516" s="9"/>
      <c r="AL3516" s="9"/>
      <c r="AM3516" s="9"/>
      <c r="AN3516" s="9"/>
      <c r="AO3516" s="9"/>
    </row>
    <row r="3517" spans="1:41" s="15" customFormat="1" ht="14.25" x14ac:dyDescent="0.2">
      <c r="A3517" s="18" t="s">
        <v>2078</v>
      </c>
      <c r="B3517" s="19" t="s">
        <v>2079</v>
      </c>
      <c r="C3517" s="20">
        <v>-4646.1899999999996</v>
      </c>
      <c r="D3517" s="20">
        <v>-13911.48</v>
      </c>
      <c r="E3517" s="20">
        <v>-14820.55</v>
      </c>
      <c r="F3517" s="20">
        <v>2871.78</v>
      </c>
      <c r="G3517" s="20">
        <v>22909.83</v>
      </c>
      <c r="H3517" s="20">
        <v>19146.990000000002</v>
      </c>
      <c r="I3517" s="20">
        <v>32151.18</v>
      </c>
      <c r="J3517" s="20">
        <v>30094.69</v>
      </c>
      <c r="K3517" s="20">
        <v>39482.82</v>
      </c>
      <c r="L3517" s="20">
        <v>44814.96</v>
      </c>
      <c r="M3517" s="20">
        <v>37101.760000000002</v>
      </c>
      <c r="N3517" s="20">
        <v>69040.25</v>
      </c>
      <c r="O3517" s="20">
        <v>6561.05</v>
      </c>
      <c r="P3517" s="20">
        <v>-1386.3</v>
      </c>
      <c r="Q3517" s="20">
        <v>33144.410000000003</v>
      </c>
      <c r="R3517" s="20">
        <v>49062.73</v>
      </c>
      <c r="S3517" s="20">
        <v>62868.55</v>
      </c>
      <c r="T3517" s="20">
        <v>52388.52</v>
      </c>
      <c r="U3517" s="20">
        <v>43962.21</v>
      </c>
      <c r="V3517" s="20">
        <v>60486.36</v>
      </c>
      <c r="W3517" s="20">
        <v>0</v>
      </c>
      <c r="X3517" s="20">
        <v>-8939.65</v>
      </c>
      <c r="Y3517" s="20">
        <v>-17407.060000000001</v>
      </c>
      <c r="Z3517" s="20">
        <v>-27654.11</v>
      </c>
      <c r="AA3517" s="20">
        <v>-8212.15</v>
      </c>
      <c r="AB3517" s="20">
        <v>-18904.580000000002</v>
      </c>
      <c r="AC3517" s="20">
        <v>-28586.06</v>
      </c>
      <c r="AD3517" s="20">
        <v>-36069.24</v>
      </c>
      <c r="AE3517" s="20">
        <v>-39801.15</v>
      </c>
      <c r="AF3517" s="20">
        <v>-38568.26</v>
      </c>
      <c r="AG3517" s="20">
        <v>-46862.04</v>
      </c>
      <c r="AH3517" s="20">
        <v>-62528.65</v>
      </c>
      <c r="AI3517" s="20">
        <v>-70730.740000000005</v>
      </c>
      <c r="AJ3517" s="20">
        <v>-81134.179999999993</v>
      </c>
      <c r="AK3517" s="20">
        <v>-87951.38</v>
      </c>
      <c r="AL3517" s="20">
        <v>-95383.42</v>
      </c>
      <c r="AM3517" s="20">
        <v>-5936.8</v>
      </c>
      <c r="AN3517" s="20">
        <v>0</v>
      </c>
      <c r="AO3517" s="20">
        <v>0</v>
      </c>
    </row>
    <row r="3518" spans="1:41" ht="14.25" x14ac:dyDescent="0.2">
      <c r="A3518" s="2">
        <v>51040404</v>
      </c>
      <c r="B3518" s="3" t="s">
        <v>130</v>
      </c>
      <c r="C3518" s="9"/>
      <c r="D3518" s="9"/>
      <c r="E3518" s="9"/>
      <c r="F3518" s="9"/>
      <c r="G3518" s="9"/>
      <c r="H3518" s="9"/>
      <c r="I3518" s="9"/>
      <c r="J3518" s="9"/>
      <c r="K3518" s="9"/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9"/>
      <c r="AH3518" s="9"/>
      <c r="AI3518" s="9"/>
      <c r="AJ3518" s="9"/>
      <c r="AK3518" s="9"/>
      <c r="AL3518" s="9"/>
      <c r="AM3518" s="9"/>
      <c r="AN3518" s="9"/>
      <c r="AO3518" s="9"/>
    </row>
    <row r="3519" spans="1:41" x14ac:dyDescent="0.2">
      <c r="A3519" s="5">
        <v>51040407</v>
      </c>
      <c r="B3519" s="6" t="s">
        <v>138</v>
      </c>
      <c r="C3519" s="12"/>
      <c r="D3519" s="12"/>
      <c r="E3519" s="12"/>
      <c r="F3519" s="12"/>
      <c r="G3519" s="12"/>
      <c r="H3519" s="12"/>
      <c r="I3519" s="12"/>
      <c r="J3519" s="12"/>
      <c r="K3519" s="12"/>
      <c r="L3519" s="12"/>
      <c r="M3519" s="12"/>
      <c r="N3519" s="12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  <c r="AA3519" s="12"/>
      <c r="AB3519" s="12"/>
      <c r="AC3519" s="12"/>
      <c r="AD3519" s="12"/>
      <c r="AE3519" s="12"/>
      <c r="AF3519" s="12"/>
      <c r="AG3519" s="12"/>
      <c r="AH3519" s="12"/>
      <c r="AI3519" s="12"/>
      <c r="AJ3519" s="12"/>
      <c r="AK3519" s="12"/>
      <c r="AL3519" s="12"/>
      <c r="AM3519" s="12"/>
      <c r="AN3519" s="12"/>
      <c r="AO3519" s="12"/>
    </row>
    <row r="3520" spans="1:41" ht="14.25" x14ac:dyDescent="0.2">
      <c r="A3520" s="2">
        <v>51040409</v>
      </c>
      <c r="B3520" s="3" t="s">
        <v>159</v>
      </c>
      <c r="C3520" s="9"/>
      <c r="D3520" s="9"/>
      <c r="E3520" s="9"/>
      <c r="F3520" s="9"/>
      <c r="G3520" s="9"/>
      <c r="H3520" s="9"/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/>
      <c r="AC3520" s="9"/>
      <c r="AD3520" s="9"/>
      <c r="AE3520" s="9"/>
      <c r="AF3520" s="9"/>
      <c r="AG3520" s="9"/>
      <c r="AH3520" s="9"/>
      <c r="AI3520" s="9"/>
      <c r="AJ3520" s="9"/>
      <c r="AK3520" s="9"/>
      <c r="AL3520" s="9"/>
      <c r="AM3520" s="9"/>
      <c r="AN3520" s="9"/>
      <c r="AO3520" s="9"/>
    </row>
    <row r="3521" spans="1:41" ht="14.25" x14ac:dyDescent="0.2">
      <c r="A3521" s="2">
        <v>51040410</v>
      </c>
      <c r="B3521" s="3" t="s">
        <v>162</v>
      </c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9"/>
      <c r="AE3521" s="9"/>
      <c r="AF3521" s="9"/>
      <c r="AG3521" s="9"/>
      <c r="AH3521" s="9"/>
      <c r="AI3521" s="9"/>
      <c r="AJ3521" s="9"/>
      <c r="AK3521" s="9"/>
      <c r="AL3521" s="9"/>
      <c r="AM3521" s="9"/>
      <c r="AN3521" s="9"/>
      <c r="AO3521" s="9"/>
    </row>
    <row r="3522" spans="1:41" ht="14.25" x14ac:dyDescent="0.2">
      <c r="A3522" s="2">
        <v>51040411</v>
      </c>
      <c r="B3522" s="3" t="s">
        <v>172</v>
      </c>
      <c r="C3522" s="9"/>
      <c r="D3522" s="9"/>
      <c r="E3522" s="9"/>
      <c r="F3522" s="9"/>
      <c r="G3522" s="9"/>
      <c r="H3522" s="9"/>
      <c r="I3522" s="9"/>
      <c r="J3522" s="9"/>
      <c r="K3522" s="9"/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9"/>
      <c r="AE3522" s="9"/>
      <c r="AF3522" s="9"/>
      <c r="AG3522" s="9"/>
      <c r="AH3522" s="9"/>
      <c r="AI3522" s="9"/>
      <c r="AJ3522" s="9"/>
      <c r="AK3522" s="9"/>
      <c r="AL3522" s="9"/>
      <c r="AM3522" s="9"/>
      <c r="AN3522" s="9"/>
      <c r="AO3522" s="9"/>
    </row>
    <row r="3523" spans="1:41" ht="14.25" x14ac:dyDescent="0.2">
      <c r="A3523" s="2">
        <v>51040412</v>
      </c>
      <c r="B3523" s="3" t="s">
        <v>174</v>
      </c>
      <c r="C3523" s="9"/>
      <c r="D3523" s="9"/>
      <c r="E3523" s="9"/>
      <c r="F3523" s="9"/>
      <c r="G3523" s="9"/>
      <c r="H3523" s="9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  <c r="AK3523" s="9"/>
      <c r="AL3523" s="9"/>
      <c r="AM3523" s="9"/>
      <c r="AN3523" s="9"/>
      <c r="AO3523" s="9"/>
    </row>
    <row r="3524" spans="1:41" ht="14.25" x14ac:dyDescent="0.2">
      <c r="A3524" s="2">
        <v>51040413</v>
      </c>
      <c r="B3524" s="3" t="s">
        <v>175</v>
      </c>
      <c r="C3524" s="9"/>
      <c r="D3524" s="9"/>
      <c r="E3524" s="9"/>
      <c r="F3524" s="9"/>
      <c r="G3524" s="9"/>
      <c r="H3524" s="9"/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9"/>
      <c r="AH3524" s="9"/>
      <c r="AI3524" s="9"/>
      <c r="AJ3524" s="9"/>
      <c r="AK3524" s="9"/>
      <c r="AL3524" s="9"/>
      <c r="AM3524" s="9"/>
      <c r="AN3524" s="9"/>
      <c r="AO3524" s="9"/>
    </row>
    <row r="3525" spans="1:41" ht="14.25" x14ac:dyDescent="0.2">
      <c r="A3525" s="2">
        <v>510405</v>
      </c>
      <c r="B3525" s="3" t="s">
        <v>896</v>
      </c>
      <c r="C3525" s="9"/>
      <c r="D3525" s="9"/>
      <c r="E3525" s="9"/>
      <c r="F3525" s="9"/>
      <c r="G3525" s="9"/>
      <c r="H3525" s="9"/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9"/>
      <c r="AE3525" s="9"/>
      <c r="AF3525" s="9"/>
      <c r="AG3525" s="9"/>
      <c r="AH3525" s="9"/>
      <c r="AI3525" s="9"/>
      <c r="AJ3525" s="9"/>
      <c r="AK3525" s="9"/>
      <c r="AL3525" s="9"/>
      <c r="AM3525" s="9"/>
      <c r="AN3525" s="9"/>
      <c r="AO3525" s="9"/>
    </row>
    <row r="3526" spans="1:41" ht="14.25" x14ac:dyDescent="0.2">
      <c r="A3526" s="2">
        <v>51040502</v>
      </c>
      <c r="B3526" s="3" t="s">
        <v>94</v>
      </c>
      <c r="C3526" s="9"/>
      <c r="D3526" s="9"/>
      <c r="E3526" s="9"/>
      <c r="F3526" s="9"/>
      <c r="G3526" s="9"/>
      <c r="H3526" s="9"/>
      <c r="I3526" s="9"/>
      <c r="J3526" s="9"/>
      <c r="K3526" s="9"/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9"/>
      <c r="AE3526" s="9"/>
      <c r="AF3526" s="9"/>
      <c r="AG3526" s="9"/>
      <c r="AH3526" s="9"/>
      <c r="AI3526" s="9"/>
      <c r="AJ3526" s="9"/>
      <c r="AK3526" s="9"/>
      <c r="AL3526" s="9"/>
      <c r="AM3526" s="9"/>
      <c r="AN3526" s="9"/>
      <c r="AO3526" s="9"/>
    </row>
    <row r="3527" spans="1:41" s="15" customFormat="1" ht="14.25" x14ac:dyDescent="0.2">
      <c r="A3527" s="18" t="s">
        <v>2080</v>
      </c>
      <c r="B3527" s="19" t="s">
        <v>2081</v>
      </c>
      <c r="C3527" s="20">
        <v>-94661.48</v>
      </c>
      <c r="D3527" s="20">
        <v>-207429.07</v>
      </c>
      <c r="E3527" s="20">
        <v>-410472.43</v>
      </c>
      <c r="F3527" s="20">
        <v>-519438.17</v>
      </c>
      <c r="G3527" s="20">
        <v>-653402.26</v>
      </c>
      <c r="H3527" s="20">
        <v>-758510.52</v>
      </c>
      <c r="I3527" s="20">
        <v>-900182.94</v>
      </c>
      <c r="J3527" s="20">
        <v>-984718.49</v>
      </c>
      <c r="K3527" s="20">
        <v>-1232399.3899999999</v>
      </c>
      <c r="L3527" s="20">
        <v>-1366419.44</v>
      </c>
      <c r="M3527" s="20">
        <v>-1509832.91</v>
      </c>
      <c r="N3527" s="20">
        <v>-1677731.68</v>
      </c>
      <c r="O3527" s="20">
        <v>-128080.04</v>
      </c>
      <c r="P3527" s="20">
        <v>-252882.41</v>
      </c>
      <c r="Q3527" s="20">
        <v>-423666.17</v>
      </c>
      <c r="R3527" s="20">
        <v>-634724.73</v>
      </c>
      <c r="S3527" s="20">
        <v>-765807.01</v>
      </c>
      <c r="T3527" s="20">
        <v>-850417.92</v>
      </c>
      <c r="U3527" s="20">
        <v>-936286.27</v>
      </c>
      <c r="V3527" s="20">
        <v>-1028219.81</v>
      </c>
      <c r="W3527" s="20">
        <v>-1078768.72</v>
      </c>
      <c r="X3527" s="20">
        <v>-1130838.94</v>
      </c>
      <c r="Y3527" s="20">
        <v>-1188645.22</v>
      </c>
      <c r="Z3527" s="20">
        <v>-1217828.5900000001</v>
      </c>
      <c r="AA3527" s="20">
        <v>-58721.31</v>
      </c>
      <c r="AB3527" s="20">
        <v>-196449.68</v>
      </c>
      <c r="AC3527" s="20">
        <v>-254778.54</v>
      </c>
      <c r="AD3527" s="20">
        <v>-335111.33</v>
      </c>
      <c r="AE3527" s="20">
        <v>-450186.72</v>
      </c>
      <c r="AF3527" s="20">
        <v>-586193.12</v>
      </c>
      <c r="AG3527" s="20">
        <v>-614720.13</v>
      </c>
      <c r="AH3527" s="20">
        <v>-642875.02</v>
      </c>
      <c r="AI3527" s="20">
        <v>-690240.7</v>
      </c>
      <c r="AJ3527" s="20">
        <v>-713241.14</v>
      </c>
      <c r="AK3527" s="20">
        <v>-791577.05</v>
      </c>
      <c r="AL3527" s="20">
        <v>-1024937.67</v>
      </c>
      <c r="AM3527" s="20">
        <v>-40935.31</v>
      </c>
      <c r="AN3527" s="20">
        <v>-136948.16</v>
      </c>
      <c r="AO3527" s="20">
        <v>-182302.19</v>
      </c>
    </row>
    <row r="3528" spans="1:41" ht="14.25" x14ac:dyDescent="0.2">
      <c r="A3528" s="2">
        <v>51040504</v>
      </c>
      <c r="B3528" s="3" t="s">
        <v>130</v>
      </c>
      <c r="C3528" s="9"/>
      <c r="D3528" s="9"/>
      <c r="E3528" s="9"/>
      <c r="F3528" s="9"/>
      <c r="G3528" s="9"/>
      <c r="H3528" s="9"/>
      <c r="I3528" s="9"/>
      <c r="J3528" s="9"/>
      <c r="K3528" s="9"/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9"/>
      <c r="AH3528" s="9"/>
      <c r="AI3528" s="9"/>
      <c r="AJ3528" s="9"/>
      <c r="AK3528" s="9"/>
      <c r="AL3528" s="9"/>
      <c r="AM3528" s="9"/>
      <c r="AN3528" s="9"/>
      <c r="AO3528" s="9"/>
    </row>
    <row r="3529" spans="1:41" x14ac:dyDescent="0.2">
      <c r="A3529" s="5">
        <v>51040507</v>
      </c>
      <c r="B3529" s="6" t="s">
        <v>138</v>
      </c>
      <c r="C3529" s="12"/>
      <c r="D3529" s="12"/>
      <c r="E3529" s="12"/>
      <c r="F3529" s="12"/>
      <c r="G3529" s="12"/>
      <c r="H3529" s="12"/>
      <c r="I3529" s="12"/>
      <c r="J3529" s="12"/>
      <c r="K3529" s="12"/>
      <c r="L3529" s="12"/>
      <c r="M3529" s="12"/>
      <c r="N3529" s="12"/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  <c r="AA3529" s="12"/>
      <c r="AB3529" s="12"/>
      <c r="AC3529" s="12"/>
      <c r="AD3529" s="12"/>
      <c r="AE3529" s="12"/>
      <c r="AF3529" s="12"/>
      <c r="AG3529" s="12"/>
      <c r="AH3529" s="12"/>
      <c r="AI3529" s="12"/>
      <c r="AJ3529" s="12"/>
      <c r="AK3529" s="12"/>
      <c r="AL3529" s="12"/>
      <c r="AM3529" s="12"/>
      <c r="AN3529" s="12"/>
      <c r="AO3529" s="12"/>
    </row>
    <row r="3530" spans="1:41" ht="14.25" x14ac:dyDescent="0.2">
      <c r="A3530" s="2">
        <v>51040509</v>
      </c>
      <c r="B3530" s="3" t="s">
        <v>159</v>
      </c>
      <c r="C3530" s="9"/>
      <c r="D3530" s="9"/>
      <c r="E3530" s="9"/>
      <c r="F3530" s="9"/>
      <c r="G3530" s="9"/>
      <c r="H3530" s="9"/>
      <c r="I3530" s="9"/>
      <c r="J3530" s="9"/>
      <c r="K3530" s="9"/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  <c r="AE3530" s="9"/>
      <c r="AF3530" s="9"/>
      <c r="AG3530" s="9"/>
      <c r="AH3530" s="9"/>
      <c r="AI3530" s="9"/>
      <c r="AJ3530" s="9"/>
      <c r="AK3530" s="9"/>
      <c r="AL3530" s="9"/>
      <c r="AM3530" s="9"/>
      <c r="AN3530" s="9"/>
      <c r="AO3530" s="9"/>
    </row>
    <row r="3531" spans="1:41" ht="14.25" x14ac:dyDescent="0.2">
      <c r="A3531" s="2">
        <v>51040510</v>
      </c>
      <c r="B3531" s="3" t="s">
        <v>162</v>
      </c>
      <c r="C3531" s="9"/>
      <c r="D3531" s="9"/>
      <c r="E3531" s="9"/>
      <c r="F3531" s="9"/>
      <c r="G3531" s="9"/>
      <c r="H3531" s="9"/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  <c r="AA3531" s="9"/>
      <c r="AB3531" s="9"/>
      <c r="AC3531" s="9"/>
      <c r="AD3531" s="9"/>
      <c r="AE3531" s="9"/>
      <c r="AF3531" s="9"/>
      <c r="AG3531" s="9"/>
      <c r="AH3531" s="9"/>
      <c r="AI3531" s="9"/>
      <c r="AJ3531" s="9"/>
      <c r="AK3531" s="9"/>
      <c r="AL3531" s="9"/>
      <c r="AM3531" s="9"/>
      <c r="AN3531" s="9"/>
      <c r="AO3531" s="9"/>
    </row>
    <row r="3532" spans="1:41" ht="14.25" x14ac:dyDescent="0.2">
      <c r="A3532" s="2">
        <v>51040511</v>
      </c>
      <c r="B3532" s="3" t="s">
        <v>172</v>
      </c>
      <c r="C3532" s="9"/>
      <c r="D3532" s="9"/>
      <c r="E3532" s="9"/>
      <c r="F3532" s="9"/>
      <c r="G3532" s="9"/>
      <c r="H3532" s="9"/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9"/>
      <c r="AE3532" s="9"/>
      <c r="AF3532" s="9"/>
      <c r="AG3532" s="9"/>
      <c r="AH3532" s="9"/>
      <c r="AI3532" s="9"/>
      <c r="AJ3532" s="9"/>
      <c r="AK3532" s="9"/>
      <c r="AL3532" s="9"/>
      <c r="AM3532" s="9"/>
      <c r="AN3532" s="9"/>
      <c r="AO3532" s="9"/>
    </row>
    <row r="3533" spans="1:41" ht="14.25" x14ac:dyDescent="0.2">
      <c r="A3533" s="2">
        <v>51040512</v>
      </c>
      <c r="B3533" s="3" t="s">
        <v>174</v>
      </c>
      <c r="C3533" s="9"/>
      <c r="D3533" s="9"/>
      <c r="E3533" s="9"/>
      <c r="F3533" s="9"/>
      <c r="G3533" s="9"/>
      <c r="H3533" s="9"/>
      <c r="I3533" s="9"/>
      <c r="J3533" s="9"/>
      <c r="K3533" s="9"/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9"/>
      <c r="AH3533" s="9"/>
      <c r="AI3533" s="9"/>
      <c r="AJ3533" s="9"/>
      <c r="AK3533" s="9"/>
      <c r="AL3533" s="9"/>
      <c r="AM3533" s="9"/>
      <c r="AN3533" s="9"/>
      <c r="AO3533" s="9"/>
    </row>
    <row r="3534" spans="1:41" ht="14.25" x14ac:dyDescent="0.2">
      <c r="A3534" s="2">
        <v>51040513</v>
      </c>
      <c r="B3534" s="3" t="s">
        <v>175</v>
      </c>
      <c r="C3534" s="9"/>
      <c r="D3534" s="9"/>
      <c r="E3534" s="9"/>
      <c r="F3534" s="9"/>
      <c r="G3534" s="9"/>
      <c r="H3534" s="9"/>
      <c r="I3534" s="9"/>
      <c r="J3534" s="9"/>
      <c r="K3534" s="9"/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9"/>
      <c r="AE3534" s="9"/>
      <c r="AF3534" s="9"/>
      <c r="AG3534" s="9"/>
      <c r="AH3534" s="9"/>
      <c r="AI3534" s="9"/>
      <c r="AJ3534" s="9"/>
      <c r="AK3534" s="9"/>
      <c r="AL3534" s="9"/>
      <c r="AM3534" s="9"/>
      <c r="AN3534" s="9"/>
      <c r="AO3534" s="9"/>
    </row>
    <row r="3535" spans="1:41" ht="14.25" x14ac:dyDescent="0.2">
      <c r="A3535" s="2">
        <v>510406</v>
      </c>
      <c r="B3535" s="3" t="s">
        <v>897</v>
      </c>
      <c r="C3535" s="9"/>
      <c r="D3535" s="9"/>
      <c r="E3535" s="9"/>
      <c r="F3535" s="9"/>
      <c r="G3535" s="9"/>
      <c r="H3535" s="9"/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  <c r="AE3535" s="9"/>
      <c r="AF3535" s="9"/>
      <c r="AG3535" s="9"/>
      <c r="AH3535" s="9"/>
      <c r="AI3535" s="9"/>
      <c r="AJ3535" s="9"/>
      <c r="AK3535" s="9"/>
      <c r="AL3535" s="9"/>
      <c r="AM3535" s="9"/>
      <c r="AN3535" s="9"/>
      <c r="AO3535" s="9"/>
    </row>
    <row r="3536" spans="1:41" ht="14.25" x14ac:dyDescent="0.2">
      <c r="A3536" s="2">
        <v>51040602</v>
      </c>
      <c r="B3536" s="3" t="s">
        <v>94</v>
      </c>
      <c r="C3536" s="9"/>
      <c r="D3536" s="9"/>
      <c r="E3536" s="9"/>
      <c r="F3536" s="9"/>
      <c r="G3536" s="9"/>
      <c r="H3536" s="9"/>
      <c r="I3536" s="9"/>
      <c r="J3536" s="9"/>
      <c r="K3536" s="9"/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  <c r="AF3536" s="9"/>
      <c r="AG3536" s="9"/>
      <c r="AH3536" s="9"/>
      <c r="AI3536" s="9"/>
      <c r="AJ3536" s="9"/>
      <c r="AK3536" s="9"/>
      <c r="AL3536" s="9"/>
      <c r="AM3536" s="9"/>
      <c r="AN3536" s="9"/>
      <c r="AO3536" s="9"/>
    </row>
    <row r="3537" spans="1:41" ht="14.25" x14ac:dyDescent="0.2">
      <c r="A3537" s="2">
        <v>51040603</v>
      </c>
      <c r="B3537" s="3" t="s">
        <v>120</v>
      </c>
      <c r="C3537" s="9"/>
      <c r="D3537" s="9"/>
      <c r="E3537" s="9"/>
      <c r="F3537" s="9"/>
      <c r="G3537" s="9"/>
      <c r="H3537" s="9"/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9"/>
      <c r="AH3537" s="9"/>
      <c r="AI3537" s="9"/>
      <c r="AJ3537" s="9"/>
      <c r="AK3537" s="9"/>
      <c r="AL3537" s="9"/>
      <c r="AM3537" s="9"/>
      <c r="AN3537" s="9"/>
      <c r="AO3537" s="9"/>
    </row>
    <row r="3538" spans="1:41" ht="14.25" x14ac:dyDescent="0.2">
      <c r="A3538" s="2">
        <v>51040604</v>
      </c>
      <c r="B3538" s="3" t="s">
        <v>130</v>
      </c>
      <c r="C3538" s="9"/>
      <c r="D3538" s="9"/>
      <c r="E3538" s="9"/>
      <c r="F3538" s="9"/>
      <c r="G3538" s="9"/>
      <c r="H3538" s="9"/>
      <c r="I3538" s="9"/>
      <c r="J3538" s="9"/>
      <c r="K3538" s="9"/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  <c r="AF3538" s="9"/>
      <c r="AG3538" s="9"/>
      <c r="AH3538" s="9"/>
      <c r="AI3538" s="9"/>
      <c r="AJ3538" s="9"/>
      <c r="AK3538" s="9"/>
      <c r="AL3538" s="9"/>
      <c r="AM3538" s="9"/>
      <c r="AN3538" s="9"/>
      <c r="AO3538" s="9"/>
    </row>
    <row r="3539" spans="1:41" x14ac:dyDescent="0.2">
      <c r="A3539" s="5">
        <v>51040607</v>
      </c>
      <c r="B3539" s="6" t="s">
        <v>138</v>
      </c>
      <c r="C3539" s="12"/>
      <c r="D3539" s="12"/>
      <c r="E3539" s="12"/>
      <c r="F3539" s="12"/>
      <c r="G3539" s="12"/>
      <c r="H3539" s="12"/>
      <c r="I3539" s="12"/>
      <c r="J3539" s="12"/>
      <c r="K3539" s="12"/>
      <c r="L3539" s="12"/>
      <c r="M3539" s="12"/>
      <c r="N3539" s="12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  <c r="AA3539" s="12"/>
      <c r="AB3539" s="12"/>
      <c r="AC3539" s="12"/>
      <c r="AD3539" s="12"/>
      <c r="AE3539" s="12"/>
      <c r="AF3539" s="12"/>
      <c r="AG3539" s="12"/>
      <c r="AH3539" s="12"/>
      <c r="AI3539" s="12"/>
      <c r="AJ3539" s="12"/>
      <c r="AK3539" s="12"/>
      <c r="AL3539" s="12"/>
      <c r="AM3539" s="12"/>
      <c r="AN3539" s="12"/>
      <c r="AO3539" s="12"/>
    </row>
    <row r="3540" spans="1:41" ht="14.25" x14ac:dyDescent="0.2">
      <c r="A3540" s="2">
        <v>51040609</v>
      </c>
      <c r="B3540" s="3" t="s">
        <v>159</v>
      </c>
      <c r="C3540" s="9"/>
      <c r="D3540" s="9"/>
      <c r="E3540" s="9"/>
      <c r="F3540" s="9"/>
      <c r="G3540" s="9"/>
      <c r="H3540" s="9"/>
      <c r="I3540" s="9"/>
      <c r="J3540" s="9"/>
      <c r="K3540" s="9"/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  <c r="AH3540" s="9"/>
      <c r="AI3540" s="9"/>
      <c r="AJ3540" s="9"/>
      <c r="AK3540" s="9"/>
      <c r="AL3540" s="9"/>
      <c r="AM3540" s="9"/>
      <c r="AN3540" s="9"/>
      <c r="AO3540" s="9"/>
    </row>
    <row r="3541" spans="1:41" ht="14.25" x14ac:dyDescent="0.2">
      <c r="A3541" s="2">
        <v>51040610</v>
      </c>
      <c r="B3541" s="3" t="s">
        <v>162</v>
      </c>
      <c r="C3541" s="9"/>
      <c r="D3541" s="9"/>
      <c r="E3541" s="9"/>
      <c r="F3541" s="9"/>
      <c r="G3541" s="9"/>
      <c r="H3541" s="9"/>
      <c r="I3541" s="9"/>
      <c r="J3541" s="9"/>
      <c r="K3541" s="9"/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9"/>
      <c r="AH3541" s="9"/>
      <c r="AI3541" s="9"/>
      <c r="AJ3541" s="9"/>
      <c r="AK3541" s="9"/>
      <c r="AL3541" s="9"/>
      <c r="AM3541" s="9"/>
      <c r="AN3541" s="9"/>
      <c r="AO3541" s="9"/>
    </row>
    <row r="3542" spans="1:41" ht="14.25" x14ac:dyDescent="0.2">
      <c r="A3542" s="2">
        <v>51040611</v>
      </c>
      <c r="B3542" s="3" t="s">
        <v>172</v>
      </c>
      <c r="C3542" s="9"/>
      <c r="D3542" s="9"/>
      <c r="E3542" s="9"/>
      <c r="F3542" s="9"/>
      <c r="G3542" s="9"/>
      <c r="H3542" s="9"/>
      <c r="I3542" s="9"/>
      <c r="J3542" s="9"/>
      <c r="K3542" s="9"/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9"/>
      <c r="AL3542" s="9"/>
      <c r="AM3542" s="9"/>
      <c r="AN3542" s="9"/>
      <c r="AO3542" s="9"/>
    </row>
    <row r="3543" spans="1:41" ht="14.25" x14ac:dyDescent="0.2">
      <c r="A3543" s="2">
        <v>51040612</v>
      </c>
      <c r="B3543" s="3" t="s">
        <v>174</v>
      </c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  <c r="AE3543" s="9"/>
      <c r="AF3543" s="9"/>
      <c r="AG3543" s="9"/>
      <c r="AH3543" s="9"/>
      <c r="AI3543" s="9"/>
      <c r="AJ3543" s="9"/>
      <c r="AK3543" s="9"/>
      <c r="AL3543" s="9"/>
      <c r="AM3543" s="9"/>
      <c r="AN3543" s="9"/>
      <c r="AO3543" s="9"/>
    </row>
    <row r="3544" spans="1:41" ht="14.25" x14ac:dyDescent="0.2">
      <c r="A3544" s="2">
        <v>51040613</v>
      </c>
      <c r="B3544" s="3" t="s">
        <v>175</v>
      </c>
      <c r="C3544" s="9"/>
      <c r="D3544" s="9"/>
      <c r="E3544" s="9"/>
      <c r="F3544" s="9"/>
      <c r="G3544" s="9"/>
      <c r="H3544" s="9"/>
      <c r="I3544" s="9"/>
      <c r="J3544" s="9"/>
      <c r="K3544" s="9"/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  <c r="AE3544" s="9"/>
      <c r="AF3544" s="9"/>
      <c r="AG3544" s="9"/>
      <c r="AH3544" s="9"/>
      <c r="AI3544" s="9"/>
      <c r="AJ3544" s="9"/>
      <c r="AK3544" s="9"/>
      <c r="AL3544" s="9"/>
      <c r="AM3544" s="9"/>
      <c r="AN3544" s="9"/>
      <c r="AO3544" s="9"/>
    </row>
    <row r="3545" spans="1:41" ht="14.25" x14ac:dyDescent="0.2">
      <c r="A3545" s="2">
        <v>5105</v>
      </c>
      <c r="B3545" s="3" t="s">
        <v>225</v>
      </c>
      <c r="C3545" s="9"/>
      <c r="D3545" s="9"/>
      <c r="E3545" s="9"/>
      <c r="F3545" s="9"/>
      <c r="G3545" s="9"/>
      <c r="H3545" s="9"/>
      <c r="I3545" s="9"/>
      <c r="J3545" s="9"/>
      <c r="K3545" s="9"/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  <c r="AH3545" s="9"/>
      <c r="AI3545" s="9"/>
      <c r="AJ3545" s="9"/>
      <c r="AK3545" s="9"/>
      <c r="AL3545" s="9"/>
      <c r="AM3545" s="9"/>
      <c r="AN3545" s="9"/>
      <c r="AO3545" s="9"/>
    </row>
    <row r="3546" spans="1:41" ht="14.25" x14ac:dyDescent="0.2">
      <c r="A3546" s="2">
        <v>510504</v>
      </c>
      <c r="B3546" s="3" t="s">
        <v>898</v>
      </c>
      <c r="C3546" s="9"/>
      <c r="D3546" s="9"/>
      <c r="E3546" s="9"/>
      <c r="F3546" s="9"/>
      <c r="G3546" s="9"/>
      <c r="H3546" s="9"/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  <c r="AH3546" s="9"/>
      <c r="AI3546" s="9"/>
      <c r="AJ3546" s="9"/>
      <c r="AK3546" s="9"/>
      <c r="AL3546" s="9"/>
      <c r="AM3546" s="9"/>
      <c r="AN3546" s="9"/>
      <c r="AO3546" s="9"/>
    </row>
    <row r="3547" spans="1:41" ht="14.25" x14ac:dyDescent="0.2">
      <c r="A3547" s="2">
        <v>51050401</v>
      </c>
      <c r="B3547" s="3" t="s">
        <v>899</v>
      </c>
      <c r="C3547" s="9"/>
      <c r="D3547" s="9"/>
      <c r="E3547" s="9"/>
      <c r="F3547" s="9"/>
      <c r="G3547" s="9"/>
      <c r="H3547" s="9"/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9"/>
      <c r="AH3547" s="9"/>
      <c r="AI3547" s="9"/>
      <c r="AJ3547" s="9"/>
      <c r="AK3547" s="9"/>
      <c r="AL3547" s="9"/>
      <c r="AM3547" s="9"/>
      <c r="AN3547" s="9"/>
      <c r="AO3547" s="9"/>
    </row>
    <row r="3548" spans="1:41" ht="14.25" x14ac:dyDescent="0.2">
      <c r="A3548" s="2">
        <v>51050402</v>
      </c>
      <c r="B3548" s="3" t="s">
        <v>900</v>
      </c>
      <c r="C3548" s="9"/>
      <c r="D3548" s="9"/>
      <c r="E3548" s="9"/>
      <c r="F3548" s="9"/>
      <c r="G3548" s="9"/>
      <c r="H3548" s="9"/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9"/>
      <c r="AH3548" s="9"/>
      <c r="AI3548" s="9"/>
      <c r="AJ3548" s="9"/>
      <c r="AK3548" s="9"/>
      <c r="AL3548" s="9"/>
      <c r="AM3548" s="9"/>
      <c r="AN3548" s="9"/>
      <c r="AO3548" s="9"/>
    </row>
    <row r="3549" spans="1:41" ht="14.25" x14ac:dyDescent="0.2">
      <c r="A3549" s="2">
        <v>51050403</v>
      </c>
      <c r="B3549" s="3" t="s">
        <v>901</v>
      </c>
      <c r="C3549" s="9"/>
      <c r="D3549" s="9"/>
      <c r="E3549" s="9"/>
      <c r="F3549" s="9"/>
      <c r="G3549" s="9"/>
      <c r="H3549" s="9"/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  <c r="AE3549" s="9"/>
      <c r="AF3549" s="9"/>
      <c r="AG3549" s="9"/>
      <c r="AH3549" s="9"/>
      <c r="AI3549" s="9"/>
      <c r="AJ3549" s="9"/>
      <c r="AK3549" s="9"/>
      <c r="AL3549" s="9"/>
      <c r="AM3549" s="9"/>
      <c r="AN3549" s="9"/>
      <c r="AO3549" s="9"/>
    </row>
    <row r="3550" spans="1:41" x14ac:dyDescent="0.2">
      <c r="A3550" s="5">
        <v>51050404</v>
      </c>
      <c r="B3550" s="6" t="s">
        <v>240</v>
      </c>
      <c r="C3550" s="12"/>
      <c r="D3550" s="12"/>
      <c r="E3550" s="12"/>
      <c r="F3550" s="12"/>
      <c r="G3550" s="12"/>
      <c r="H3550" s="12"/>
      <c r="I3550" s="12"/>
      <c r="J3550" s="12"/>
      <c r="K3550" s="12"/>
      <c r="L3550" s="12"/>
      <c r="M3550" s="12"/>
      <c r="N3550" s="12"/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  <c r="AA3550" s="12"/>
      <c r="AB3550" s="12"/>
      <c r="AC3550" s="12"/>
      <c r="AD3550" s="12"/>
      <c r="AE3550" s="12"/>
      <c r="AF3550" s="12"/>
      <c r="AG3550" s="12"/>
      <c r="AH3550" s="12"/>
      <c r="AI3550" s="12"/>
      <c r="AJ3550" s="12"/>
      <c r="AK3550" s="12"/>
      <c r="AL3550" s="12"/>
      <c r="AM3550" s="12"/>
      <c r="AN3550" s="12"/>
      <c r="AO3550" s="12"/>
    </row>
    <row r="3551" spans="1:41" ht="14.25" x14ac:dyDescent="0.2">
      <c r="A3551" s="2">
        <v>51050409</v>
      </c>
      <c r="B3551" s="3" t="s">
        <v>59</v>
      </c>
      <c r="C3551" s="9"/>
      <c r="D3551" s="9"/>
      <c r="E3551" s="9"/>
      <c r="F3551" s="9"/>
      <c r="G3551" s="9"/>
      <c r="H3551" s="9"/>
      <c r="I3551" s="9"/>
      <c r="J3551" s="9"/>
      <c r="K3551" s="9"/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  <c r="AH3551" s="9"/>
      <c r="AI3551" s="9"/>
      <c r="AJ3551" s="9"/>
      <c r="AK3551" s="9"/>
      <c r="AL3551" s="9"/>
      <c r="AM3551" s="9"/>
      <c r="AN3551" s="9"/>
      <c r="AO3551" s="9"/>
    </row>
    <row r="3552" spans="1:41" ht="28.5" x14ac:dyDescent="0.2">
      <c r="A3552" s="2">
        <v>510505</v>
      </c>
      <c r="B3552" s="4" t="s">
        <v>902</v>
      </c>
      <c r="C3552" s="11"/>
      <c r="D3552" s="11"/>
      <c r="E3552" s="11"/>
      <c r="F3552" s="11"/>
      <c r="G3552" s="11"/>
      <c r="H3552" s="11"/>
      <c r="I3552" s="11"/>
      <c r="J3552" s="11"/>
      <c r="K3552" s="11"/>
      <c r="L3552" s="11"/>
      <c r="M3552" s="11"/>
      <c r="N3552" s="11"/>
      <c r="O3552" s="11"/>
      <c r="P3552" s="11"/>
      <c r="Q3552" s="11"/>
      <c r="R3552" s="11"/>
      <c r="S3552" s="11"/>
      <c r="T3552" s="11"/>
      <c r="U3552" s="11"/>
      <c r="V3552" s="11"/>
      <c r="W3552" s="11"/>
      <c r="X3552" s="11"/>
      <c r="Y3552" s="11"/>
      <c r="Z3552" s="11"/>
      <c r="AA3552" s="11"/>
      <c r="AB3552" s="11"/>
      <c r="AC3552" s="11"/>
      <c r="AD3552" s="11"/>
      <c r="AE3552" s="11"/>
      <c r="AF3552" s="11"/>
      <c r="AG3552" s="11"/>
      <c r="AH3552" s="11"/>
      <c r="AI3552" s="11"/>
      <c r="AJ3552" s="11"/>
      <c r="AK3552" s="11"/>
      <c r="AL3552" s="11"/>
      <c r="AM3552" s="11"/>
      <c r="AN3552" s="11"/>
      <c r="AO3552" s="11"/>
    </row>
    <row r="3553" spans="1:41" ht="14.25" x14ac:dyDescent="0.2">
      <c r="A3553" s="2">
        <v>51050501</v>
      </c>
      <c r="B3553" s="3" t="s">
        <v>244</v>
      </c>
      <c r="C3553" s="9"/>
      <c r="D3553" s="9"/>
      <c r="E3553" s="9"/>
      <c r="F3553" s="9"/>
      <c r="G3553" s="9"/>
      <c r="H3553" s="9"/>
      <c r="I3553" s="9"/>
      <c r="J3553" s="9"/>
      <c r="K3553" s="9"/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9"/>
      <c r="AH3553" s="9"/>
      <c r="AI3553" s="9"/>
      <c r="AJ3553" s="9"/>
      <c r="AK3553" s="9"/>
      <c r="AL3553" s="9"/>
      <c r="AM3553" s="9"/>
      <c r="AN3553" s="9"/>
      <c r="AO3553" s="9"/>
    </row>
    <row r="3554" spans="1:41" ht="14.25" x14ac:dyDescent="0.2">
      <c r="A3554" s="2">
        <v>51050502</v>
      </c>
      <c r="B3554" s="3" t="s">
        <v>247</v>
      </c>
      <c r="C3554" s="9"/>
      <c r="D3554" s="9"/>
      <c r="E3554" s="9"/>
      <c r="F3554" s="9"/>
      <c r="G3554" s="9"/>
      <c r="H3554" s="9"/>
      <c r="I3554" s="9"/>
      <c r="J3554" s="9"/>
      <c r="K3554" s="9"/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9"/>
      <c r="AE3554" s="9"/>
      <c r="AF3554" s="9"/>
      <c r="AG3554" s="9"/>
      <c r="AH3554" s="9"/>
      <c r="AI3554" s="9"/>
      <c r="AJ3554" s="9"/>
      <c r="AK3554" s="9"/>
      <c r="AL3554" s="9"/>
      <c r="AM3554" s="9"/>
      <c r="AN3554" s="9"/>
      <c r="AO3554" s="9"/>
    </row>
    <row r="3555" spans="1:41" ht="14.25" x14ac:dyDescent="0.2">
      <c r="A3555" s="2">
        <v>51050509</v>
      </c>
      <c r="B3555" s="3" t="s">
        <v>59</v>
      </c>
      <c r="C3555" s="9"/>
      <c r="D3555" s="9"/>
      <c r="E3555" s="9"/>
      <c r="F3555" s="9"/>
      <c r="G3555" s="9"/>
      <c r="H3555" s="9"/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  <c r="AE3555" s="9"/>
      <c r="AF3555" s="9"/>
      <c r="AG3555" s="9"/>
      <c r="AH3555" s="9"/>
      <c r="AI3555" s="9"/>
      <c r="AJ3555" s="9"/>
      <c r="AK3555" s="9"/>
      <c r="AL3555" s="9"/>
      <c r="AM3555" s="9"/>
      <c r="AN3555" s="9"/>
      <c r="AO3555" s="9"/>
    </row>
    <row r="3556" spans="1:41" ht="14.25" x14ac:dyDescent="0.2">
      <c r="A3556" s="2">
        <v>510506</v>
      </c>
      <c r="B3556" s="3" t="s">
        <v>903</v>
      </c>
      <c r="C3556" s="9"/>
      <c r="D3556" s="9"/>
      <c r="E3556" s="9"/>
      <c r="F3556" s="9"/>
      <c r="G3556" s="9"/>
      <c r="H3556" s="9"/>
      <c r="I3556" s="9"/>
      <c r="J3556" s="9"/>
      <c r="K3556" s="9"/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9"/>
      <c r="AE3556" s="9"/>
      <c r="AF3556" s="9"/>
      <c r="AG3556" s="9"/>
      <c r="AH3556" s="9"/>
      <c r="AI3556" s="9"/>
      <c r="AJ3556" s="9"/>
      <c r="AK3556" s="9"/>
      <c r="AL3556" s="9"/>
      <c r="AM3556" s="9"/>
      <c r="AN3556" s="9"/>
      <c r="AO3556" s="9"/>
    </row>
    <row r="3557" spans="1:41" ht="14.25" x14ac:dyDescent="0.2">
      <c r="A3557" s="2">
        <v>51050601</v>
      </c>
      <c r="B3557" s="3" t="s">
        <v>250</v>
      </c>
      <c r="C3557" s="9"/>
      <c r="D3557" s="9"/>
      <c r="E3557" s="9"/>
      <c r="F3557" s="9"/>
      <c r="G3557" s="9"/>
      <c r="H3557" s="9"/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9"/>
      <c r="AH3557" s="9"/>
      <c r="AI3557" s="9"/>
      <c r="AJ3557" s="9"/>
      <c r="AK3557" s="9"/>
      <c r="AL3557" s="9"/>
      <c r="AM3557" s="9"/>
      <c r="AN3557" s="9"/>
      <c r="AO3557" s="9"/>
    </row>
    <row r="3558" spans="1:41" ht="14.25" x14ac:dyDescent="0.2">
      <c r="A3558" s="2">
        <v>51050602</v>
      </c>
      <c r="B3558" s="3" t="s">
        <v>251</v>
      </c>
      <c r="C3558" s="9"/>
      <c r="D3558" s="9"/>
      <c r="E3558" s="9"/>
      <c r="F3558" s="9"/>
      <c r="G3558" s="9"/>
      <c r="H3558" s="9"/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  <c r="AH3558" s="9"/>
      <c r="AI3558" s="9"/>
      <c r="AJ3558" s="9"/>
      <c r="AK3558" s="9"/>
      <c r="AL3558" s="9"/>
      <c r="AM3558" s="9"/>
      <c r="AN3558" s="9"/>
      <c r="AO3558" s="9"/>
    </row>
    <row r="3559" spans="1:41" ht="14.25" x14ac:dyDescent="0.2">
      <c r="A3559" s="2">
        <v>51050605</v>
      </c>
      <c r="B3559" s="3" t="s">
        <v>252</v>
      </c>
      <c r="C3559" s="9"/>
      <c r="D3559" s="9"/>
      <c r="E3559" s="9"/>
      <c r="F3559" s="9"/>
      <c r="G3559" s="9"/>
      <c r="H3559" s="9"/>
      <c r="I3559" s="9"/>
      <c r="J3559" s="9"/>
      <c r="K3559" s="9"/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9"/>
      <c r="AH3559" s="9"/>
      <c r="AI3559" s="9"/>
      <c r="AJ3559" s="9"/>
      <c r="AK3559" s="9"/>
      <c r="AL3559" s="9"/>
      <c r="AM3559" s="9"/>
      <c r="AN3559" s="9"/>
      <c r="AO3559" s="9"/>
    </row>
    <row r="3560" spans="1:41" ht="14.25" x14ac:dyDescent="0.2">
      <c r="A3560" s="2">
        <v>51050606</v>
      </c>
      <c r="B3560" s="3" t="s">
        <v>253</v>
      </c>
      <c r="C3560" s="9"/>
      <c r="D3560" s="9"/>
      <c r="E3560" s="9"/>
      <c r="F3560" s="9"/>
      <c r="G3560" s="9"/>
      <c r="H3560" s="9"/>
      <c r="I3560" s="9"/>
      <c r="J3560" s="9"/>
      <c r="K3560" s="9"/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9"/>
      <c r="AE3560" s="9"/>
      <c r="AF3560" s="9"/>
      <c r="AG3560" s="9"/>
      <c r="AH3560" s="9"/>
      <c r="AI3560" s="9"/>
      <c r="AJ3560" s="9"/>
      <c r="AK3560" s="9"/>
      <c r="AL3560" s="9"/>
      <c r="AM3560" s="9"/>
      <c r="AN3560" s="9"/>
      <c r="AO3560" s="9"/>
    </row>
    <row r="3561" spans="1:41" ht="14.25" x14ac:dyDescent="0.2">
      <c r="A3561" s="2">
        <v>51050607</v>
      </c>
      <c r="B3561" s="3" t="s">
        <v>254</v>
      </c>
      <c r="C3561" s="9"/>
      <c r="D3561" s="9"/>
      <c r="E3561" s="9"/>
      <c r="F3561" s="9"/>
      <c r="G3561" s="9"/>
      <c r="H3561" s="9"/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9"/>
      <c r="AH3561" s="9"/>
      <c r="AI3561" s="9"/>
      <c r="AJ3561" s="9"/>
      <c r="AK3561" s="9"/>
      <c r="AL3561" s="9"/>
      <c r="AM3561" s="9"/>
      <c r="AN3561" s="9"/>
      <c r="AO3561" s="9"/>
    </row>
    <row r="3562" spans="1:41" x14ac:dyDescent="0.2">
      <c r="A3562" s="5">
        <v>51050608</v>
      </c>
      <c r="B3562" s="6" t="s">
        <v>255</v>
      </c>
      <c r="C3562" s="12"/>
      <c r="D3562" s="12"/>
      <c r="E3562" s="12"/>
      <c r="F3562" s="12"/>
      <c r="G3562" s="12"/>
      <c r="H3562" s="12"/>
      <c r="I3562" s="12"/>
      <c r="J3562" s="12"/>
      <c r="K3562" s="12"/>
      <c r="L3562" s="12"/>
      <c r="M3562" s="12"/>
      <c r="N3562" s="12"/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  <c r="AA3562" s="12"/>
      <c r="AB3562" s="12"/>
      <c r="AC3562" s="12"/>
      <c r="AD3562" s="12"/>
      <c r="AE3562" s="12"/>
      <c r="AF3562" s="12"/>
      <c r="AG3562" s="12"/>
      <c r="AH3562" s="12"/>
      <c r="AI3562" s="12"/>
      <c r="AJ3562" s="12"/>
      <c r="AK3562" s="12"/>
      <c r="AL3562" s="12"/>
      <c r="AM3562" s="12"/>
      <c r="AN3562" s="12"/>
      <c r="AO3562" s="12"/>
    </row>
    <row r="3563" spans="1:41" ht="14.25" x14ac:dyDescent="0.2">
      <c r="A3563" s="2">
        <v>51050619</v>
      </c>
      <c r="B3563" s="3" t="s">
        <v>904</v>
      </c>
      <c r="C3563" s="9"/>
      <c r="D3563" s="9"/>
      <c r="E3563" s="9"/>
      <c r="F3563" s="9"/>
      <c r="G3563" s="9"/>
      <c r="H3563" s="9"/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9"/>
      <c r="AI3563" s="9"/>
      <c r="AJ3563" s="9"/>
      <c r="AK3563" s="9"/>
      <c r="AL3563" s="9"/>
      <c r="AM3563" s="9"/>
      <c r="AN3563" s="9"/>
      <c r="AO3563" s="9"/>
    </row>
    <row r="3564" spans="1:41" ht="14.25" x14ac:dyDescent="0.2">
      <c r="A3564" s="2">
        <v>510507</v>
      </c>
      <c r="B3564" s="3" t="s">
        <v>905</v>
      </c>
      <c r="C3564" s="9"/>
      <c r="D3564" s="9"/>
      <c r="E3564" s="9"/>
      <c r="F3564" s="9"/>
      <c r="G3564" s="9"/>
      <c r="H3564" s="9"/>
      <c r="I3564" s="9"/>
      <c r="J3564" s="9"/>
      <c r="K3564" s="9"/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9"/>
      <c r="AI3564" s="9"/>
      <c r="AJ3564" s="9"/>
      <c r="AK3564" s="9"/>
      <c r="AL3564" s="9"/>
      <c r="AM3564" s="9"/>
      <c r="AN3564" s="9"/>
      <c r="AO3564" s="9"/>
    </row>
    <row r="3565" spans="1:41" ht="14.25" x14ac:dyDescent="0.2">
      <c r="A3565" s="2">
        <v>51050701</v>
      </c>
      <c r="B3565" s="3" t="s">
        <v>258</v>
      </c>
      <c r="C3565" s="9"/>
      <c r="D3565" s="9"/>
      <c r="E3565" s="9"/>
      <c r="F3565" s="9"/>
      <c r="G3565" s="9"/>
      <c r="H3565" s="9"/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  <c r="AK3565" s="9"/>
      <c r="AL3565" s="9"/>
      <c r="AM3565" s="9"/>
      <c r="AN3565" s="9"/>
      <c r="AO3565" s="9"/>
    </row>
    <row r="3566" spans="1:41" ht="14.25" x14ac:dyDescent="0.2">
      <c r="A3566" s="2">
        <v>51050702</v>
      </c>
      <c r="B3566" s="3" t="s">
        <v>259</v>
      </c>
      <c r="C3566" s="9"/>
      <c r="D3566" s="9"/>
      <c r="E3566" s="9"/>
      <c r="F3566" s="9"/>
      <c r="G3566" s="9"/>
      <c r="H3566" s="9"/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9"/>
      <c r="AH3566" s="9"/>
      <c r="AI3566" s="9"/>
      <c r="AJ3566" s="9"/>
      <c r="AK3566" s="9"/>
      <c r="AL3566" s="9"/>
      <c r="AM3566" s="9"/>
      <c r="AN3566" s="9"/>
      <c r="AO3566" s="9"/>
    </row>
    <row r="3567" spans="1:41" ht="14.25" x14ac:dyDescent="0.2">
      <c r="A3567" s="2">
        <v>51050703</v>
      </c>
      <c r="B3567" s="3" t="s">
        <v>260</v>
      </c>
      <c r="C3567" s="9"/>
      <c r="D3567" s="9"/>
      <c r="E3567" s="9"/>
      <c r="F3567" s="9"/>
      <c r="G3567" s="9"/>
      <c r="H3567" s="9"/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9"/>
      <c r="AL3567" s="9"/>
      <c r="AM3567" s="9"/>
      <c r="AN3567" s="9"/>
      <c r="AO3567" s="9"/>
    </row>
    <row r="3568" spans="1:41" ht="28.5" x14ac:dyDescent="0.2">
      <c r="A3568" s="2">
        <v>51050706</v>
      </c>
      <c r="B3568" s="3" t="s">
        <v>261</v>
      </c>
      <c r="C3568" s="9"/>
      <c r="D3568" s="9"/>
      <c r="E3568" s="9"/>
      <c r="F3568" s="9"/>
      <c r="G3568" s="9"/>
      <c r="H3568" s="9"/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9"/>
      <c r="AL3568" s="9"/>
      <c r="AM3568" s="9"/>
      <c r="AN3568" s="9"/>
      <c r="AO3568" s="9"/>
    </row>
    <row r="3569" spans="1:41" ht="14.25" x14ac:dyDescent="0.2">
      <c r="A3569" s="2">
        <v>51050711</v>
      </c>
      <c r="B3569" s="3" t="s">
        <v>262</v>
      </c>
      <c r="C3569" s="9"/>
      <c r="D3569" s="9"/>
      <c r="E3569" s="9"/>
      <c r="F3569" s="9"/>
      <c r="G3569" s="9"/>
      <c r="H3569" s="9"/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9"/>
      <c r="AL3569" s="9"/>
      <c r="AM3569" s="9"/>
      <c r="AN3569" s="9"/>
      <c r="AO3569" s="9"/>
    </row>
    <row r="3570" spans="1:41" ht="14.25" x14ac:dyDescent="0.2">
      <c r="A3570" s="2">
        <v>5105071101</v>
      </c>
      <c r="B3570" s="3" t="s">
        <v>263</v>
      </c>
      <c r="C3570" s="9"/>
      <c r="D3570" s="9"/>
      <c r="E3570" s="9"/>
      <c r="F3570" s="9"/>
      <c r="G3570" s="9"/>
      <c r="H3570" s="9"/>
      <c r="I3570" s="9"/>
      <c r="J3570" s="9"/>
      <c r="K3570" s="9"/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9"/>
      <c r="AI3570" s="9"/>
      <c r="AJ3570" s="9"/>
      <c r="AK3570" s="9"/>
      <c r="AL3570" s="9"/>
      <c r="AM3570" s="9"/>
      <c r="AN3570" s="9"/>
      <c r="AO3570" s="9"/>
    </row>
    <row r="3571" spans="1:41" ht="14.25" x14ac:dyDescent="0.2">
      <c r="A3571" s="2">
        <v>5105071102</v>
      </c>
      <c r="B3571" s="3" t="s">
        <v>264</v>
      </c>
      <c r="C3571" s="9"/>
      <c r="D3571" s="9"/>
      <c r="E3571" s="9"/>
      <c r="F3571" s="9"/>
      <c r="G3571" s="9"/>
      <c r="H3571" s="9"/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9"/>
      <c r="AI3571" s="9"/>
      <c r="AJ3571" s="9"/>
      <c r="AK3571" s="9"/>
      <c r="AL3571" s="9"/>
      <c r="AM3571" s="9"/>
      <c r="AN3571" s="9"/>
      <c r="AO3571" s="9"/>
    </row>
    <row r="3572" spans="1:41" ht="14.25" x14ac:dyDescent="0.2">
      <c r="A3572" s="2">
        <v>5105071103</v>
      </c>
      <c r="B3572" s="3" t="s">
        <v>265</v>
      </c>
      <c r="C3572" s="9"/>
      <c r="D3572" s="9"/>
      <c r="E3572" s="9"/>
      <c r="F3572" s="9"/>
      <c r="G3572" s="9"/>
      <c r="H3572" s="9"/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9"/>
      <c r="AL3572" s="9"/>
      <c r="AM3572" s="9"/>
      <c r="AN3572" s="9"/>
      <c r="AO3572" s="9"/>
    </row>
    <row r="3573" spans="1:41" ht="14.25" x14ac:dyDescent="0.2">
      <c r="A3573" s="2">
        <v>51050719</v>
      </c>
      <c r="B3573" s="3" t="s">
        <v>59</v>
      </c>
      <c r="C3573" s="9"/>
      <c r="D3573" s="9"/>
      <c r="E3573" s="9"/>
      <c r="F3573" s="9"/>
      <c r="G3573" s="9"/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  <c r="AF3573" s="9"/>
      <c r="AG3573" s="9"/>
      <c r="AH3573" s="9"/>
      <c r="AI3573" s="9"/>
      <c r="AJ3573" s="9"/>
      <c r="AK3573" s="9"/>
      <c r="AL3573" s="9"/>
      <c r="AM3573" s="9"/>
      <c r="AN3573" s="9"/>
      <c r="AO3573" s="9"/>
    </row>
    <row r="3574" spans="1:41" ht="14.25" x14ac:dyDescent="0.2">
      <c r="A3574" s="2">
        <v>510519</v>
      </c>
      <c r="B3574" s="3" t="s">
        <v>266</v>
      </c>
      <c r="C3574" s="9"/>
      <c r="D3574" s="9"/>
      <c r="E3574" s="9"/>
      <c r="F3574" s="9"/>
      <c r="G3574" s="9"/>
      <c r="H3574" s="9"/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9"/>
      <c r="AL3574" s="9"/>
      <c r="AM3574" s="9"/>
      <c r="AN3574" s="9"/>
      <c r="AO3574" s="9"/>
    </row>
    <row r="3575" spans="1:41" ht="14.25" x14ac:dyDescent="0.2">
      <c r="A3575" s="2">
        <v>5107</v>
      </c>
      <c r="B3575" s="3" t="s">
        <v>906</v>
      </c>
      <c r="C3575" s="9"/>
      <c r="D3575" s="9"/>
      <c r="E3575" s="9"/>
      <c r="F3575" s="9"/>
      <c r="G3575" s="9"/>
      <c r="H3575" s="9"/>
      <c r="I3575" s="9"/>
      <c r="J3575" s="9"/>
      <c r="K3575" s="9"/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9"/>
      <c r="AH3575" s="9"/>
      <c r="AI3575" s="9"/>
      <c r="AJ3575" s="9"/>
      <c r="AK3575" s="9"/>
      <c r="AL3575" s="9"/>
      <c r="AM3575" s="9"/>
      <c r="AN3575" s="9"/>
      <c r="AO3575" s="9"/>
    </row>
    <row r="3576" spans="1:41" ht="14.25" x14ac:dyDescent="0.2">
      <c r="A3576" s="2">
        <v>510704</v>
      </c>
      <c r="B3576" s="3" t="s">
        <v>907</v>
      </c>
      <c r="C3576" s="9"/>
      <c r="D3576" s="9"/>
      <c r="E3576" s="9"/>
      <c r="F3576" s="9"/>
      <c r="G3576" s="9"/>
      <c r="H3576" s="9"/>
      <c r="I3576" s="9"/>
      <c r="J3576" s="9"/>
      <c r="K3576" s="9"/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  <c r="AH3576" s="9"/>
      <c r="AI3576" s="9"/>
      <c r="AJ3576" s="9"/>
      <c r="AK3576" s="9"/>
      <c r="AL3576" s="9"/>
      <c r="AM3576" s="9"/>
      <c r="AN3576" s="9"/>
      <c r="AO3576" s="9"/>
    </row>
    <row r="3577" spans="1:41" ht="14.25" x14ac:dyDescent="0.2">
      <c r="A3577" s="2">
        <v>51070402</v>
      </c>
      <c r="B3577" s="3" t="s">
        <v>94</v>
      </c>
      <c r="C3577" s="9"/>
      <c r="D3577" s="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  <c r="AK3577" s="9"/>
      <c r="AL3577" s="9"/>
      <c r="AM3577" s="9"/>
      <c r="AN3577" s="9"/>
      <c r="AO3577" s="9"/>
    </row>
    <row r="3578" spans="1:41" ht="14.25" x14ac:dyDescent="0.2">
      <c r="A3578" s="2">
        <v>51070403</v>
      </c>
      <c r="B3578" s="3" t="s">
        <v>120</v>
      </c>
      <c r="C3578" s="9"/>
      <c r="D3578" s="9"/>
      <c r="E3578" s="9"/>
      <c r="F3578" s="9"/>
      <c r="G3578" s="9"/>
      <c r="H3578" s="9"/>
      <c r="I3578" s="9"/>
      <c r="J3578" s="9"/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9"/>
      <c r="AE3578" s="9"/>
      <c r="AF3578" s="9"/>
      <c r="AG3578" s="9"/>
      <c r="AH3578" s="9"/>
      <c r="AI3578" s="9"/>
      <c r="AJ3578" s="9"/>
      <c r="AK3578" s="9"/>
      <c r="AL3578" s="9"/>
      <c r="AM3578" s="9"/>
      <c r="AN3578" s="9"/>
      <c r="AO3578" s="9"/>
    </row>
    <row r="3579" spans="1:41" ht="14.25" x14ac:dyDescent="0.2">
      <c r="A3579" s="2">
        <v>51070404</v>
      </c>
      <c r="B3579" s="3" t="s">
        <v>130</v>
      </c>
      <c r="C3579" s="9"/>
      <c r="D3579" s="9"/>
      <c r="E3579" s="9"/>
      <c r="F3579" s="9"/>
      <c r="G3579" s="9"/>
      <c r="H3579" s="9"/>
      <c r="I3579" s="9"/>
      <c r="J3579" s="9"/>
      <c r="K3579" s="9"/>
      <c r="L3579" s="9"/>
      <c r="M3579" s="9"/>
      <c r="N3579" s="9"/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9"/>
      <c r="AE3579" s="9"/>
      <c r="AF3579" s="9"/>
      <c r="AG3579" s="9"/>
      <c r="AH3579" s="9"/>
      <c r="AI3579" s="9"/>
      <c r="AJ3579" s="9"/>
      <c r="AK3579" s="9"/>
      <c r="AL3579" s="9"/>
      <c r="AM3579" s="9"/>
      <c r="AN3579" s="9"/>
      <c r="AO3579" s="9"/>
    </row>
    <row r="3580" spans="1:41" x14ac:dyDescent="0.2">
      <c r="A3580" s="5">
        <v>51070407</v>
      </c>
      <c r="B3580" s="6" t="s">
        <v>138</v>
      </c>
      <c r="C3580" s="12"/>
      <c r="D3580" s="12"/>
      <c r="E3580" s="12"/>
      <c r="F3580" s="12"/>
      <c r="G3580" s="12"/>
      <c r="H3580" s="12"/>
      <c r="I3580" s="12"/>
      <c r="J3580" s="12"/>
      <c r="K3580" s="12"/>
      <c r="L3580" s="12"/>
      <c r="M3580" s="12"/>
      <c r="N3580" s="12"/>
      <c r="O3580" s="12"/>
      <c r="P3580" s="12"/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  <c r="AA3580" s="12"/>
      <c r="AB3580" s="12"/>
      <c r="AC3580" s="12"/>
      <c r="AD3580" s="12"/>
      <c r="AE3580" s="12"/>
      <c r="AF3580" s="12"/>
      <c r="AG3580" s="12"/>
      <c r="AH3580" s="12"/>
      <c r="AI3580" s="12"/>
      <c r="AJ3580" s="12"/>
      <c r="AK3580" s="12"/>
      <c r="AL3580" s="12"/>
      <c r="AM3580" s="12"/>
      <c r="AN3580" s="12"/>
      <c r="AO3580" s="12"/>
    </row>
    <row r="3581" spans="1:41" ht="14.25" x14ac:dyDescent="0.2">
      <c r="A3581" s="2">
        <v>51070409</v>
      </c>
      <c r="B3581" s="3" t="s">
        <v>159</v>
      </c>
      <c r="C3581" s="9"/>
      <c r="D3581" s="9"/>
      <c r="E3581" s="9"/>
      <c r="F3581" s="9"/>
      <c r="G3581" s="9"/>
      <c r="H3581" s="9"/>
      <c r="I3581" s="9"/>
      <c r="J3581" s="9"/>
      <c r="K3581" s="9"/>
      <c r="L3581" s="9"/>
      <c r="M3581" s="9"/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9"/>
      <c r="AL3581" s="9"/>
      <c r="AM3581" s="9"/>
      <c r="AN3581" s="9"/>
      <c r="AO3581" s="9"/>
    </row>
    <row r="3582" spans="1:41" ht="14.25" x14ac:dyDescent="0.2">
      <c r="A3582" s="2">
        <v>51070410</v>
      </c>
      <c r="B3582" s="3" t="s">
        <v>162</v>
      </c>
      <c r="C3582" s="9"/>
      <c r="D3582" s="9"/>
      <c r="E3582" s="9"/>
      <c r="F3582" s="9"/>
      <c r="G3582" s="9"/>
      <c r="H3582" s="9"/>
      <c r="I3582" s="9"/>
      <c r="J3582" s="9"/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9"/>
      <c r="AL3582" s="9"/>
      <c r="AM3582" s="9"/>
      <c r="AN3582" s="9"/>
      <c r="AO3582" s="9"/>
    </row>
    <row r="3583" spans="1:41" ht="14.25" x14ac:dyDescent="0.2">
      <c r="A3583" s="2">
        <v>51070411</v>
      </c>
      <c r="B3583" s="3" t="s">
        <v>172</v>
      </c>
      <c r="C3583" s="9"/>
      <c r="D3583" s="9"/>
      <c r="E3583" s="9"/>
      <c r="F3583" s="9"/>
      <c r="G3583" s="9"/>
      <c r="H3583" s="9"/>
      <c r="I3583" s="9"/>
      <c r="J3583" s="9"/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9"/>
      <c r="AL3583" s="9"/>
      <c r="AM3583" s="9"/>
      <c r="AN3583" s="9"/>
      <c r="AO3583" s="9"/>
    </row>
    <row r="3584" spans="1:41" ht="14.25" x14ac:dyDescent="0.2">
      <c r="A3584" s="2">
        <v>51070412</v>
      </c>
      <c r="B3584" s="3" t="s">
        <v>174</v>
      </c>
      <c r="C3584" s="9"/>
      <c r="D3584" s="9"/>
      <c r="E3584" s="9"/>
      <c r="F3584" s="9"/>
      <c r="G3584" s="9"/>
      <c r="H3584" s="9"/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9"/>
      <c r="AL3584" s="9"/>
      <c r="AM3584" s="9"/>
      <c r="AN3584" s="9"/>
      <c r="AO3584" s="9"/>
    </row>
    <row r="3585" spans="1:41" ht="14.25" x14ac:dyDescent="0.2">
      <c r="A3585" s="2">
        <v>51070413</v>
      </c>
      <c r="B3585" s="3" t="s">
        <v>175</v>
      </c>
      <c r="C3585" s="9"/>
      <c r="D3585" s="9"/>
      <c r="E3585" s="9"/>
      <c r="F3585" s="9"/>
      <c r="G3585" s="9"/>
      <c r="H3585" s="9"/>
      <c r="I3585" s="9"/>
      <c r="J3585" s="9"/>
      <c r="K3585" s="9"/>
      <c r="L3585" s="9"/>
      <c r="M3585" s="9"/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9"/>
      <c r="AL3585" s="9"/>
      <c r="AM3585" s="9"/>
      <c r="AN3585" s="9"/>
      <c r="AO3585" s="9"/>
    </row>
    <row r="3586" spans="1:41" ht="14.25" x14ac:dyDescent="0.2">
      <c r="A3586" s="2">
        <v>5108</v>
      </c>
      <c r="B3586" s="3" t="s">
        <v>682</v>
      </c>
      <c r="C3586" s="20">
        <f>+C3588+C3591</f>
        <v>-395625.70999999996</v>
      </c>
      <c r="D3586" s="20">
        <f t="shared" ref="D3586:AO3586" si="98">+D3588+D3591</f>
        <v>-740985.77</v>
      </c>
      <c r="E3586" s="20">
        <f t="shared" si="98"/>
        <v>-1010954.07</v>
      </c>
      <c r="F3586" s="20">
        <f t="shared" si="98"/>
        <v>-1281947.07</v>
      </c>
      <c r="G3586" s="20">
        <f t="shared" si="98"/>
        <v>-1720504.49</v>
      </c>
      <c r="H3586" s="20">
        <f t="shared" si="98"/>
        <v>-2052337.75</v>
      </c>
      <c r="I3586" s="20">
        <f t="shared" si="98"/>
        <v>-2389404.5699999998</v>
      </c>
      <c r="J3586" s="20">
        <f t="shared" si="98"/>
        <v>-2687759.5300000003</v>
      </c>
      <c r="K3586" s="20">
        <f t="shared" si="98"/>
        <v>-2858304.68</v>
      </c>
      <c r="L3586" s="20">
        <f t="shared" si="98"/>
        <v>-3017046.76</v>
      </c>
      <c r="M3586" s="20">
        <f t="shared" si="98"/>
        <v>-3758649.34</v>
      </c>
      <c r="N3586" s="20">
        <f t="shared" si="98"/>
        <v>-4186481.9099999997</v>
      </c>
      <c r="O3586" s="20">
        <f t="shared" si="98"/>
        <v>-212751.42</v>
      </c>
      <c r="P3586" s="20">
        <f t="shared" si="98"/>
        <v>-993989.74</v>
      </c>
      <c r="Q3586" s="20">
        <f t="shared" si="98"/>
        <v>-1713859.24</v>
      </c>
      <c r="R3586" s="20">
        <f t="shared" si="98"/>
        <v>-2364408.66</v>
      </c>
      <c r="S3586" s="20">
        <f t="shared" si="98"/>
        <v>-2695599.45</v>
      </c>
      <c r="T3586" s="20">
        <f t="shared" si="98"/>
        <v>-2929132.4899999998</v>
      </c>
      <c r="U3586" s="20">
        <f t="shared" si="98"/>
        <v>-3444585.81</v>
      </c>
      <c r="V3586" s="20">
        <f t="shared" si="98"/>
        <v>-3802656.07</v>
      </c>
      <c r="W3586" s="20">
        <f t="shared" si="98"/>
        <v>-4778643.0599999996</v>
      </c>
      <c r="X3586" s="20">
        <f t="shared" si="98"/>
        <v>-6734759.0899999999</v>
      </c>
      <c r="Y3586" s="20">
        <f t="shared" si="98"/>
        <v>-6843907.0999999996</v>
      </c>
      <c r="Z3586" s="20">
        <f t="shared" si="98"/>
        <v>-6843964.5199999996</v>
      </c>
      <c r="AA3586" s="20">
        <f t="shared" si="98"/>
        <v>-178242.17</v>
      </c>
      <c r="AB3586" s="20">
        <f t="shared" si="98"/>
        <v>-395622.27</v>
      </c>
      <c r="AC3586" s="20">
        <f t="shared" si="98"/>
        <v>-408298.43</v>
      </c>
      <c r="AD3586" s="20">
        <f t="shared" si="98"/>
        <v>-408301.75</v>
      </c>
      <c r="AE3586" s="20">
        <f t="shared" si="98"/>
        <v>-621036.05000000005</v>
      </c>
      <c r="AF3586" s="20">
        <f t="shared" si="98"/>
        <v>-987029.45</v>
      </c>
      <c r="AG3586" s="20">
        <f t="shared" si="98"/>
        <v>-987036.03</v>
      </c>
      <c r="AH3586" s="20">
        <f t="shared" si="98"/>
        <v>-1369433.49</v>
      </c>
      <c r="AI3586" s="20">
        <f t="shared" si="98"/>
        <v>-1475842.4000000001</v>
      </c>
      <c r="AJ3586" s="20">
        <f t="shared" si="98"/>
        <v>-1898053.5</v>
      </c>
      <c r="AK3586" s="20">
        <f t="shared" si="98"/>
        <v>-1956338.04</v>
      </c>
      <c r="AL3586" s="20">
        <f t="shared" si="98"/>
        <v>-1956351.72</v>
      </c>
      <c r="AM3586" s="20">
        <f t="shared" si="98"/>
        <v>-50141.58</v>
      </c>
      <c r="AN3586" s="20">
        <f t="shared" si="98"/>
        <v>-50155.24</v>
      </c>
      <c r="AO3586" s="20">
        <f t="shared" si="98"/>
        <v>-50172.82</v>
      </c>
    </row>
    <row r="3587" spans="1:41" ht="14.25" x14ac:dyDescent="0.2">
      <c r="A3587" s="2">
        <v>510801</v>
      </c>
      <c r="B3587" s="3" t="s">
        <v>683</v>
      </c>
      <c r="C3587" s="9"/>
      <c r="D3587" s="9"/>
      <c r="E3587" s="9"/>
      <c r="F3587" s="9"/>
      <c r="G3587" s="9"/>
      <c r="H3587" s="9"/>
      <c r="I3587" s="9"/>
      <c r="J3587" s="9"/>
      <c r="K3587" s="9"/>
      <c r="L3587" s="9"/>
      <c r="M3587" s="9"/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9"/>
      <c r="AI3587" s="9"/>
      <c r="AJ3587" s="9"/>
      <c r="AK3587" s="9"/>
      <c r="AL3587" s="9"/>
      <c r="AM3587" s="9"/>
      <c r="AN3587" s="9"/>
      <c r="AO3587" s="9"/>
    </row>
    <row r="3588" spans="1:41" s="15" customFormat="1" ht="14.25" x14ac:dyDescent="0.2">
      <c r="A3588" s="18" t="s">
        <v>2082</v>
      </c>
      <c r="B3588" s="19" t="s">
        <v>1705</v>
      </c>
      <c r="C3588" s="20">
        <v>-2.8</v>
      </c>
      <c r="D3588" s="20">
        <v>-2.8</v>
      </c>
      <c r="E3588" s="20">
        <v>-60.7</v>
      </c>
      <c r="F3588" s="20">
        <v>-62.29</v>
      </c>
      <c r="G3588" s="20">
        <v>-261.47000000000003</v>
      </c>
      <c r="H3588" s="20">
        <v>-279.07</v>
      </c>
      <c r="I3588" s="20">
        <v>-286.67</v>
      </c>
      <c r="J3588" s="20">
        <v>-288.7</v>
      </c>
      <c r="K3588" s="20">
        <v>-902.94</v>
      </c>
      <c r="L3588" s="20">
        <v>-911.32</v>
      </c>
      <c r="M3588" s="20">
        <v>-2896.04</v>
      </c>
      <c r="N3588" s="20">
        <v>-3470.09</v>
      </c>
      <c r="O3588" s="20">
        <v>-181.07</v>
      </c>
      <c r="P3588" s="20">
        <v>-191.87</v>
      </c>
      <c r="Q3588" s="20">
        <v>-1947.67</v>
      </c>
      <c r="R3588" s="20">
        <v>-2016.94</v>
      </c>
      <c r="S3588" s="20">
        <v>-2049.14</v>
      </c>
      <c r="T3588" s="20">
        <v>-2383.59</v>
      </c>
      <c r="U3588" s="20">
        <v>-2428.96</v>
      </c>
      <c r="V3588" s="20">
        <v>-2434.02</v>
      </c>
      <c r="W3588" s="20">
        <v>-2453.0100000000002</v>
      </c>
      <c r="X3588" s="20">
        <v>-2457.8200000000002</v>
      </c>
      <c r="Y3588" s="20">
        <v>-2457.85</v>
      </c>
      <c r="Z3588" s="20">
        <v>-2515.27</v>
      </c>
      <c r="AA3588" s="20">
        <v>-11.01</v>
      </c>
      <c r="AB3588" s="20">
        <v>-20.38</v>
      </c>
      <c r="AC3588" s="20">
        <v>-24.23</v>
      </c>
      <c r="AD3588" s="20">
        <v>-27.55</v>
      </c>
      <c r="AE3588" s="20">
        <v>-53.62</v>
      </c>
      <c r="AF3588" s="20">
        <v>-848.2</v>
      </c>
      <c r="AG3588" s="20">
        <v>-854.78</v>
      </c>
      <c r="AH3588" s="20">
        <v>-856.57</v>
      </c>
      <c r="AI3588" s="20">
        <v>-873.33</v>
      </c>
      <c r="AJ3588" s="20">
        <v>-874.48</v>
      </c>
      <c r="AK3588" s="20">
        <v>-1010.04</v>
      </c>
      <c r="AL3588" s="20">
        <v>-1023.72</v>
      </c>
      <c r="AM3588" s="20">
        <v>-43.65</v>
      </c>
      <c r="AN3588" s="20">
        <v>-57.31</v>
      </c>
      <c r="AO3588" s="20">
        <v>-74.89</v>
      </c>
    </row>
    <row r="3589" spans="1:41" ht="14.25" x14ac:dyDescent="0.2">
      <c r="A3589" s="2">
        <v>510804</v>
      </c>
      <c r="B3589" s="3" t="s">
        <v>684</v>
      </c>
      <c r="C3589" s="9"/>
      <c r="D3589" s="9"/>
      <c r="E3589" s="9"/>
      <c r="F3589" s="9"/>
      <c r="G3589" s="9"/>
      <c r="H3589" s="9"/>
      <c r="I3589" s="9"/>
      <c r="J3589" s="9"/>
      <c r="K3589" s="9"/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9"/>
      <c r="AL3589" s="9"/>
      <c r="AM3589" s="9"/>
      <c r="AN3589" s="9"/>
      <c r="AO3589" s="9"/>
    </row>
    <row r="3590" spans="1:41" ht="14.25" x14ac:dyDescent="0.2">
      <c r="A3590" s="2">
        <v>51080403</v>
      </c>
      <c r="B3590" s="3" t="s">
        <v>685</v>
      </c>
      <c r="C3590" s="9"/>
      <c r="D3590" s="9"/>
      <c r="E3590" s="9"/>
      <c r="F3590" s="9"/>
      <c r="G3590" s="9"/>
      <c r="H3590" s="9"/>
      <c r="I3590" s="9"/>
      <c r="J3590" s="9"/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9"/>
      <c r="AE3590" s="9"/>
      <c r="AF3590" s="9"/>
      <c r="AG3590" s="9"/>
      <c r="AH3590" s="9"/>
      <c r="AI3590" s="9"/>
      <c r="AJ3590" s="9"/>
      <c r="AK3590" s="9"/>
      <c r="AL3590" s="9"/>
      <c r="AM3590" s="9"/>
      <c r="AN3590" s="9"/>
      <c r="AO3590" s="9"/>
    </row>
    <row r="3591" spans="1:41" s="15" customFormat="1" ht="14.25" x14ac:dyDescent="0.2">
      <c r="A3591" s="18" t="s">
        <v>2083</v>
      </c>
      <c r="B3591" s="19" t="s">
        <v>2084</v>
      </c>
      <c r="C3591" s="20">
        <v>-395622.91</v>
      </c>
      <c r="D3591" s="20">
        <v>-740982.97</v>
      </c>
      <c r="E3591" s="20">
        <v>-1010893.37</v>
      </c>
      <c r="F3591" s="20">
        <v>-1281884.78</v>
      </c>
      <c r="G3591" s="20">
        <v>-1720243.02</v>
      </c>
      <c r="H3591" s="20">
        <v>-2052058.68</v>
      </c>
      <c r="I3591" s="20">
        <v>-2389117.9</v>
      </c>
      <c r="J3591" s="20">
        <v>-2687470.83</v>
      </c>
      <c r="K3591" s="20">
        <v>-2857401.74</v>
      </c>
      <c r="L3591" s="20">
        <v>-3016135.44</v>
      </c>
      <c r="M3591" s="20">
        <v>-3755753.3</v>
      </c>
      <c r="N3591" s="20">
        <v>-4183011.82</v>
      </c>
      <c r="O3591" s="20">
        <v>-212570.35</v>
      </c>
      <c r="P3591" s="20">
        <v>-993797.87</v>
      </c>
      <c r="Q3591" s="20">
        <v>-1711911.57</v>
      </c>
      <c r="R3591" s="20">
        <v>-2362391.7200000002</v>
      </c>
      <c r="S3591" s="20">
        <v>-2693550.31</v>
      </c>
      <c r="T3591" s="20">
        <v>-2926748.9</v>
      </c>
      <c r="U3591" s="20">
        <v>-3442156.85</v>
      </c>
      <c r="V3591" s="20">
        <v>-3800222.05</v>
      </c>
      <c r="W3591" s="20">
        <v>-4776190.05</v>
      </c>
      <c r="X3591" s="20">
        <v>-6732301.2699999996</v>
      </c>
      <c r="Y3591" s="20">
        <v>-6841449.25</v>
      </c>
      <c r="Z3591" s="20">
        <v>-6841449.25</v>
      </c>
      <c r="AA3591" s="20">
        <v>-178231.16</v>
      </c>
      <c r="AB3591" s="20">
        <v>-395601.89</v>
      </c>
      <c r="AC3591" s="20">
        <v>-408274.2</v>
      </c>
      <c r="AD3591" s="20">
        <v>-408274.2</v>
      </c>
      <c r="AE3591" s="20">
        <v>-620982.43000000005</v>
      </c>
      <c r="AF3591" s="20">
        <v>-986181.25</v>
      </c>
      <c r="AG3591" s="20">
        <v>-986181.25</v>
      </c>
      <c r="AH3591" s="20">
        <v>-1368576.92</v>
      </c>
      <c r="AI3591" s="20">
        <v>-1474969.07</v>
      </c>
      <c r="AJ3591" s="20">
        <v>-1897179.02</v>
      </c>
      <c r="AK3591" s="20">
        <v>-1955328</v>
      </c>
      <c r="AL3591" s="20">
        <v>-1955328</v>
      </c>
      <c r="AM3591" s="20">
        <v>-50097.93</v>
      </c>
      <c r="AN3591" s="20">
        <v>-50097.93</v>
      </c>
      <c r="AO3591" s="20">
        <v>-50097.93</v>
      </c>
    </row>
    <row r="3592" spans="1:41" s="15" customFormat="1" ht="14.25" x14ac:dyDescent="0.2">
      <c r="A3592" s="18" t="s">
        <v>2085</v>
      </c>
      <c r="B3592" s="19" t="s">
        <v>2086</v>
      </c>
      <c r="C3592" s="20"/>
      <c r="D3592" s="20"/>
      <c r="E3592" s="20">
        <v>-834</v>
      </c>
      <c r="F3592" s="20">
        <v>-834</v>
      </c>
      <c r="G3592" s="20">
        <v>-834</v>
      </c>
      <c r="H3592" s="20">
        <v>-834</v>
      </c>
      <c r="I3592" s="20">
        <v>-834</v>
      </c>
      <c r="J3592" s="20">
        <v>-834</v>
      </c>
      <c r="K3592" s="20">
        <v>-834</v>
      </c>
      <c r="L3592" s="20">
        <v>-834</v>
      </c>
      <c r="M3592" s="20">
        <v>-834</v>
      </c>
      <c r="N3592" s="20">
        <v>-1026</v>
      </c>
      <c r="O3592" s="20"/>
      <c r="P3592" s="20"/>
      <c r="Q3592" s="20"/>
      <c r="R3592" s="20"/>
      <c r="S3592" s="20"/>
      <c r="T3592" s="20"/>
      <c r="U3592" s="20"/>
      <c r="V3592" s="20"/>
      <c r="W3592" s="20"/>
      <c r="X3592" s="20"/>
      <c r="Y3592" s="20"/>
      <c r="Z3592" s="20"/>
      <c r="AA3592" s="20"/>
      <c r="AB3592" s="20"/>
      <c r="AC3592" s="20"/>
      <c r="AD3592" s="20"/>
      <c r="AE3592" s="20"/>
      <c r="AF3592" s="20"/>
      <c r="AG3592" s="20"/>
      <c r="AH3592" s="20"/>
      <c r="AI3592" s="20"/>
      <c r="AJ3592" s="20"/>
      <c r="AK3592" s="20"/>
      <c r="AL3592" s="20"/>
      <c r="AM3592" s="20"/>
      <c r="AN3592" s="20"/>
      <c r="AO3592" s="20"/>
    </row>
    <row r="3593" spans="1:41" ht="14.25" x14ac:dyDescent="0.2">
      <c r="A3593" s="2">
        <v>5109</v>
      </c>
      <c r="B3593" s="3" t="s">
        <v>908</v>
      </c>
      <c r="C3593" s="9"/>
      <c r="D3593" s="9"/>
      <c r="E3593" s="9"/>
      <c r="F3593" s="9"/>
      <c r="G3593" s="9"/>
      <c r="H3593" s="9"/>
      <c r="I3593" s="9"/>
      <c r="J3593" s="9"/>
      <c r="K3593" s="9"/>
      <c r="L3593" s="9"/>
      <c r="M3593" s="9"/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9"/>
      <c r="AE3593" s="9"/>
      <c r="AF3593" s="9"/>
      <c r="AG3593" s="9"/>
      <c r="AH3593" s="9"/>
      <c r="AI3593" s="9"/>
      <c r="AJ3593" s="9"/>
      <c r="AK3593" s="9"/>
      <c r="AL3593" s="9"/>
      <c r="AM3593" s="9"/>
      <c r="AN3593" s="9"/>
      <c r="AO3593" s="9"/>
    </row>
    <row r="3594" spans="1:41" ht="14.25" x14ac:dyDescent="0.2">
      <c r="A3594" s="2">
        <v>510901</v>
      </c>
      <c r="B3594" s="3" t="s">
        <v>687</v>
      </c>
      <c r="C3594" s="9"/>
      <c r="D3594" s="9"/>
      <c r="E3594" s="9"/>
      <c r="F3594" s="9"/>
      <c r="G3594" s="9"/>
      <c r="H3594" s="9"/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9"/>
      <c r="AL3594" s="9"/>
      <c r="AM3594" s="9"/>
      <c r="AN3594" s="9"/>
      <c r="AO3594" s="9"/>
    </row>
    <row r="3595" spans="1:41" ht="14.25" x14ac:dyDescent="0.2">
      <c r="A3595" s="2">
        <v>510903</v>
      </c>
      <c r="B3595" s="3" t="s">
        <v>909</v>
      </c>
      <c r="C3595" s="9"/>
      <c r="D3595" s="9"/>
      <c r="E3595" s="9"/>
      <c r="F3595" s="9"/>
      <c r="G3595" s="9"/>
      <c r="H3595" s="9"/>
      <c r="I3595" s="9"/>
      <c r="J3595" s="9"/>
      <c r="K3595" s="9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9"/>
      <c r="AL3595" s="9"/>
      <c r="AM3595" s="9"/>
      <c r="AN3595" s="9"/>
      <c r="AO3595" s="9"/>
    </row>
    <row r="3596" spans="1:41" ht="14.25" x14ac:dyDescent="0.2">
      <c r="A3596" s="2">
        <v>510904</v>
      </c>
      <c r="B3596" s="3" t="s">
        <v>910</v>
      </c>
      <c r="C3596" s="9"/>
      <c r="D3596" s="9"/>
      <c r="E3596" s="9"/>
      <c r="F3596" s="9"/>
      <c r="G3596" s="9"/>
      <c r="H3596" s="9"/>
      <c r="I3596" s="9"/>
      <c r="J3596" s="9"/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9"/>
      <c r="AL3596" s="9"/>
      <c r="AM3596" s="9"/>
      <c r="AN3596" s="9"/>
      <c r="AO3596" s="9"/>
    </row>
    <row r="3597" spans="1:41" ht="14.25" x14ac:dyDescent="0.2">
      <c r="A3597" s="2">
        <v>510910</v>
      </c>
      <c r="B3597" s="3" t="s">
        <v>911</v>
      </c>
      <c r="C3597" s="9"/>
      <c r="D3597" s="9"/>
      <c r="E3597" s="9"/>
      <c r="F3597" s="9"/>
      <c r="G3597" s="9"/>
      <c r="H3597" s="9"/>
      <c r="I3597" s="9"/>
      <c r="J3597" s="9"/>
      <c r="K3597" s="9"/>
      <c r="L3597" s="9"/>
      <c r="M3597" s="9"/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9"/>
      <c r="AL3597" s="9"/>
      <c r="AM3597" s="9"/>
      <c r="AN3597" s="9"/>
      <c r="AO3597" s="9"/>
    </row>
    <row r="3598" spans="1:41" ht="28.5" x14ac:dyDescent="0.2">
      <c r="A3598" s="2">
        <v>510911</v>
      </c>
      <c r="B3598" s="4" t="s">
        <v>912</v>
      </c>
      <c r="C3598" s="11"/>
      <c r="D3598" s="11"/>
      <c r="E3598" s="11"/>
      <c r="F3598" s="11"/>
      <c r="G3598" s="11"/>
      <c r="H3598" s="11"/>
      <c r="I3598" s="11"/>
      <c r="J3598" s="11"/>
      <c r="K3598" s="11"/>
      <c r="L3598" s="11"/>
      <c r="M3598" s="11"/>
      <c r="N3598" s="11"/>
      <c r="O3598" s="11"/>
      <c r="P3598" s="11"/>
      <c r="Q3598" s="11"/>
      <c r="R3598" s="11"/>
      <c r="S3598" s="11"/>
      <c r="T3598" s="11"/>
      <c r="U3598" s="11"/>
      <c r="V3598" s="11"/>
      <c r="W3598" s="11"/>
      <c r="X3598" s="11"/>
      <c r="Y3598" s="11"/>
      <c r="Z3598" s="11"/>
      <c r="AA3598" s="11"/>
      <c r="AB3598" s="11"/>
      <c r="AC3598" s="11"/>
      <c r="AD3598" s="11"/>
      <c r="AE3598" s="11"/>
      <c r="AF3598" s="11"/>
      <c r="AG3598" s="11"/>
      <c r="AH3598" s="11"/>
      <c r="AI3598" s="11"/>
      <c r="AJ3598" s="11"/>
      <c r="AK3598" s="11"/>
      <c r="AL3598" s="11"/>
      <c r="AM3598" s="11"/>
      <c r="AN3598" s="11"/>
      <c r="AO3598" s="11"/>
    </row>
    <row r="3599" spans="1:41" ht="14.25" x14ac:dyDescent="0.2">
      <c r="A3599" s="2">
        <v>51091105</v>
      </c>
      <c r="B3599" s="3" t="s">
        <v>39</v>
      </c>
      <c r="C3599" s="9"/>
      <c r="D3599" s="9"/>
      <c r="E3599" s="9"/>
      <c r="F3599" s="9"/>
      <c r="G3599" s="9"/>
      <c r="H3599" s="9"/>
      <c r="I3599" s="9"/>
      <c r="J3599" s="9"/>
      <c r="K3599" s="9"/>
      <c r="L3599" s="9"/>
      <c r="M3599" s="9"/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  <c r="AE3599" s="9"/>
      <c r="AF3599" s="9"/>
      <c r="AG3599" s="9"/>
      <c r="AH3599" s="9"/>
      <c r="AI3599" s="9"/>
      <c r="AJ3599" s="9"/>
      <c r="AK3599" s="9"/>
      <c r="AL3599" s="9"/>
      <c r="AM3599" s="9"/>
      <c r="AN3599" s="9"/>
      <c r="AO3599" s="9"/>
    </row>
    <row r="3600" spans="1:41" ht="14.25" x14ac:dyDescent="0.2">
      <c r="A3600" s="2">
        <v>5109110501</v>
      </c>
      <c r="B3600" s="3" t="s">
        <v>40</v>
      </c>
      <c r="C3600" s="9"/>
      <c r="D3600" s="9"/>
      <c r="E3600" s="9"/>
      <c r="F3600" s="9"/>
      <c r="G3600" s="9"/>
      <c r="H3600" s="9"/>
      <c r="I3600" s="9"/>
      <c r="J3600" s="9"/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9"/>
      <c r="AE3600" s="9"/>
      <c r="AF3600" s="9"/>
      <c r="AG3600" s="9"/>
      <c r="AH3600" s="9"/>
      <c r="AI3600" s="9"/>
      <c r="AJ3600" s="9"/>
      <c r="AK3600" s="9"/>
      <c r="AL3600" s="9"/>
      <c r="AM3600" s="9"/>
      <c r="AN3600" s="9"/>
      <c r="AO3600" s="9"/>
    </row>
    <row r="3601" spans="1:41" ht="14.25" x14ac:dyDescent="0.2">
      <c r="A3601" s="2">
        <v>5109110519</v>
      </c>
      <c r="B3601" s="3" t="s">
        <v>41</v>
      </c>
      <c r="C3601" s="9"/>
      <c r="D3601" s="9"/>
      <c r="E3601" s="9"/>
      <c r="F3601" s="9"/>
      <c r="G3601" s="9"/>
      <c r="H3601" s="9"/>
      <c r="I3601" s="9"/>
      <c r="J3601" s="9"/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9"/>
      <c r="AC3601" s="9"/>
      <c r="AD3601" s="9"/>
      <c r="AE3601" s="9"/>
      <c r="AF3601" s="9"/>
      <c r="AG3601" s="9"/>
      <c r="AH3601" s="9"/>
      <c r="AI3601" s="9"/>
      <c r="AJ3601" s="9"/>
      <c r="AK3601" s="9"/>
      <c r="AL3601" s="9"/>
      <c r="AM3601" s="9"/>
      <c r="AN3601" s="9"/>
      <c r="AO3601" s="9"/>
    </row>
    <row r="3602" spans="1:41" ht="14.25" x14ac:dyDescent="0.2">
      <c r="A3602" s="2">
        <v>51091106</v>
      </c>
      <c r="B3602" s="3" t="s">
        <v>42</v>
      </c>
      <c r="C3602" s="9"/>
      <c r="D3602" s="9"/>
      <c r="E3602" s="9"/>
      <c r="F3602" s="9"/>
      <c r="G3602" s="9"/>
      <c r="H3602" s="9"/>
      <c r="I3602" s="9"/>
      <c r="J3602" s="9"/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  <c r="AB3602" s="9"/>
      <c r="AC3602" s="9"/>
      <c r="AD3602" s="9"/>
      <c r="AE3602" s="9"/>
      <c r="AF3602" s="9"/>
      <c r="AG3602" s="9"/>
      <c r="AH3602" s="9"/>
      <c r="AI3602" s="9"/>
      <c r="AJ3602" s="9"/>
      <c r="AK3602" s="9"/>
      <c r="AL3602" s="9"/>
      <c r="AM3602" s="9"/>
      <c r="AN3602" s="9"/>
      <c r="AO3602" s="9"/>
    </row>
    <row r="3603" spans="1:41" ht="14.25" x14ac:dyDescent="0.2">
      <c r="A3603" s="2">
        <v>5109110601</v>
      </c>
      <c r="B3603" s="3" t="s">
        <v>40</v>
      </c>
      <c r="C3603" s="9"/>
      <c r="D3603" s="9"/>
      <c r="E3603" s="9"/>
      <c r="F3603" s="9"/>
      <c r="G3603" s="9"/>
      <c r="H3603" s="9"/>
      <c r="I3603" s="9"/>
      <c r="J3603" s="9"/>
      <c r="K3603" s="9"/>
      <c r="L3603" s="9"/>
      <c r="M3603" s="9"/>
      <c r="N3603" s="9"/>
      <c r="O3603" s="9"/>
      <c r="P3603" s="9"/>
      <c r="Q3603" s="9"/>
      <c r="R3603" s="9"/>
      <c r="S3603" s="9"/>
      <c r="T3603" s="9"/>
      <c r="U3603" s="9"/>
      <c r="V3603" s="9"/>
      <c r="W3603" s="9"/>
      <c r="X3603" s="9"/>
      <c r="Y3603" s="9"/>
      <c r="Z3603" s="9"/>
      <c r="AA3603" s="9"/>
      <c r="AB3603" s="9"/>
      <c r="AC3603" s="9"/>
      <c r="AD3603" s="9"/>
      <c r="AE3603" s="9"/>
      <c r="AF3603" s="9"/>
      <c r="AG3603" s="9"/>
      <c r="AH3603" s="9"/>
      <c r="AI3603" s="9"/>
      <c r="AJ3603" s="9"/>
      <c r="AK3603" s="9"/>
      <c r="AL3603" s="9"/>
      <c r="AM3603" s="9"/>
      <c r="AN3603" s="9"/>
      <c r="AO3603" s="9"/>
    </row>
    <row r="3604" spans="1:41" ht="14.25" x14ac:dyDescent="0.2">
      <c r="A3604" s="2">
        <v>5109110619</v>
      </c>
      <c r="B3604" s="3" t="s">
        <v>41</v>
      </c>
      <c r="C3604" s="9"/>
      <c r="D3604" s="9"/>
      <c r="E3604" s="9"/>
      <c r="F3604" s="9"/>
      <c r="G3604" s="9"/>
      <c r="H3604" s="9"/>
      <c r="I3604" s="9"/>
      <c r="J3604" s="9"/>
      <c r="K3604" s="9"/>
      <c r="L3604" s="9"/>
      <c r="M3604" s="9"/>
      <c r="N3604" s="9"/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9"/>
      <c r="AD3604" s="9"/>
      <c r="AE3604" s="9"/>
      <c r="AF3604" s="9"/>
      <c r="AG3604" s="9"/>
      <c r="AH3604" s="9"/>
      <c r="AI3604" s="9"/>
      <c r="AJ3604" s="9"/>
      <c r="AK3604" s="9"/>
      <c r="AL3604" s="9"/>
      <c r="AM3604" s="9"/>
      <c r="AN3604" s="9"/>
      <c r="AO3604" s="9"/>
    </row>
    <row r="3605" spans="1:41" ht="14.25" x14ac:dyDescent="0.2">
      <c r="A3605" s="2">
        <v>51091107</v>
      </c>
      <c r="B3605" s="3" t="s">
        <v>43</v>
      </c>
      <c r="C3605" s="9"/>
      <c r="D3605" s="9"/>
      <c r="E3605" s="9"/>
      <c r="F3605" s="9"/>
      <c r="G3605" s="9"/>
      <c r="H3605" s="9"/>
      <c r="I3605" s="9"/>
      <c r="J3605" s="9"/>
      <c r="K3605" s="9"/>
      <c r="L3605" s="9"/>
      <c r="M3605" s="9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  <c r="AE3605" s="9"/>
      <c r="AF3605" s="9"/>
      <c r="AG3605" s="9"/>
      <c r="AH3605" s="9"/>
      <c r="AI3605" s="9"/>
      <c r="AJ3605" s="9"/>
      <c r="AK3605" s="9"/>
      <c r="AL3605" s="9"/>
      <c r="AM3605" s="9"/>
      <c r="AN3605" s="9"/>
      <c r="AO3605" s="9"/>
    </row>
    <row r="3606" spans="1:41" ht="14.25" x14ac:dyDescent="0.2">
      <c r="A3606" s="2">
        <v>5109110701</v>
      </c>
      <c r="B3606" s="3" t="s">
        <v>40</v>
      </c>
      <c r="C3606" s="9"/>
      <c r="D3606" s="9"/>
      <c r="E3606" s="9"/>
      <c r="F3606" s="9"/>
      <c r="G3606" s="9"/>
      <c r="H3606" s="9"/>
      <c r="I3606" s="9"/>
      <c r="J3606" s="9"/>
      <c r="K3606" s="9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9"/>
      <c r="AH3606" s="9"/>
      <c r="AI3606" s="9"/>
      <c r="AJ3606" s="9"/>
      <c r="AK3606" s="9"/>
      <c r="AL3606" s="9"/>
      <c r="AM3606" s="9"/>
      <c r="AN3606" s="9"/>
      <c r="AO3606" s="9"/>
    </row>
    <row r="3607" spans="1:41" ht="14.25" x14ac:dyDescent="0.2">
      <c r="A3607" s="2">
        <v>5109110702</v>
      </c>
      <c r="B3607" s="3" t="s">
        <v>44</v>
      </c>
      <c r="C3607" s="9"/>
      <c r="D3607" s="9"/>
      <c r="E3607" s="9"/>
      <c r="F3607" s="9"/>
      <c r="G3607" s="9"/>
      <c r="H3607" s="9"/>
      <c r="I3607" s="9"/>
      <c r="J3607" s="9"/>
      <c r="K3607" s="9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9"/>
      <c r="AC3607" s="9"/>
      <c r="AD3607" s="9"/>
      <c r="AE3607" s="9"/>
      <c r="AF3607" s="9"/>
      <c r="AG3607" s="9"/>
      <c r="AH3607" s="9"/>
      <c r="AI3607" s="9"/>
      <c r="AJ3607" s="9"/>
      <c r="AK3607" s="9"/>
      <c r="AL3607" s="9"/>
      <c r="AM3607" s="9"/>
      <c r="AN3607" s="9"/>
      <c r="AO3607" s="9"/>
    </row>
    <row r="3608" spans="1:41" ht="14.25" x14ac:dyDescent="0.2">
      <c r="A3608" s="2">
        <v>5109110705</v>
      </c>
      <c r="B3608" s="3" t="s">
        <v>46</v>
      </c>
      <c r="C3608" s="9"/>
      <c r="D3608" s="9"/>
      <c r="E3608" s="9"/>
      <c r="F3608" s="9"/>
      <c r="G3608" s="9"/>
      <c r="H3608" s="9"/>
      <c r="I3608" s="9"/>
      <c r="J3608" s="9"/>
      <c r="K3608" s="9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  <c r="AB3608" s="9"/>
      <c r="AC3608" s="9"/>
      <c r="AD3608" s="9"/>
      <c r="AE3608" s="9"/>
      <c r="AF3608" s="9"/>
      <c r="AG3608" s="9"/>
      <c r="AH3608" s="9"/>
      <c r="AI3608" s="9"/>
      <c r="AJ3608" s="9"/>
      <c r="AK3608" s="9"/>
      <c r="AL3608" s="9"/>
      <c r="AM3608" s="9"/>
      <c r="AN3608" s="9"/>
      <c r="AO3608" s="9"/>
    </row>
    <row r="3609" spans="1:41" ht="14.25" x14ac:dyDescent="0.2">
      <c r="A3609" s="2">
        <v>5109110706</v>
      </c>
      <c r="B3609" s="3" t="s">
        <v>45</v>
      </c>
      <c r="C3609" s="9"/>
      <c r="D3609" s="9"/>
      <c r="E3609" s="9"/>
      <c r="F3609" s="9"/>
      <c r="G3609" s="9"/>
      <c r="H3609" s="9"/>
      <c r="I3609" s="9"/>
      <c r="J3609" s="9"/>
      <c r="K3609" s="9"/>
      <c r="L3609" s="9"/>
      <c r="M3609" s="9"/>
      <c r="N3609" s="9"/>
      <c r="O3609" s="9"/>
      <c r="P3609" s="9"/>
      <c r="Q3609" s="9"/>
      <c r="R3609" s="9"/>
      <c r="S3609" s="9"/>
      <c r="T3609" s="9"/>
      <c r="U3609" s="9"/>
      <c r="V3609" s="9"/>
      <c r="W3609" s="9"/>
      <c r="X3609" s="9"/>
      <c r="Y3609" s="9"/>
      <c r="Z3609" s="9"/>
      <c r="AA3609" s="9"/>
      <c r="AB3609" s="9"/>
      <c r="AC3609" s="9"/>
      <c r="AD3609" s="9"/>
      <c r="AE3609" s="9"/>
      <c r="AF3609" s="9"/>
      <c r="AG3609" s="9"/>
      <c r="AH3609" s="9"/>
      <c r="AI3609" s="9"/>
      <c r="AJ3609" s="9"/>
      <c r="AK3609" s="9"/>
      <c r="AL3609" s="9"/>
      <c r="AM3609" s="9"/>
      <c r="AN3609" s="9"/>
      <c r="AO3609" s="9"/>
    </row>
    <row r="3610" spans="1:41" ht="14.25" x14ac:dyDescent="0.2">
      <c r="A3610" s="2">
        <v>5109110712</v>
      </c>
      <c r="B3610" s="3" t="s">
        <v>47</v>
      </c>
      <c r="C3610" s="9"/>
      <c r="D3610" s="9"/>
      <c r="E3610" s="9"/>
      <c r="F3610" s="9"/>
      <c r="G3610" s="9"/>
      <c r="H3610" s="9"/>
      <c r="I3610" s="9"/>
      <c r="J3610" s="9"/>
      <c r="K3610" s="9"/>
      <c r="L3610" s="9"/>
      <c r="M3610" s="9"/>
      <c r="N3610" s="9"/>
      <c r="O3610" s="9"/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  <c r="AB3610" s="9"/>
      <c r="AC3610" s="9"/>
      <c r="AD3610" s="9"/>
      <c r="AE3610" s="9"/>
      <c r="AF3610" s="9"/>
      <c r="AG3610" s="9"/>
      <c r="AH3610" s="9"/>
      <c r="AI3610" s="9"/>
      <c r="AJ3610" s="9"/>
      <c r="AK3610" s="9"/>
      <c r="AL3610" s="9"/>
      <c r="AM3610" s="9"/>
      <c r="AN3610" s="9"/>
      <c r="AO3610" s="9"/>
    </row>
    <row r="3611" spans="1:41" ht="14.25" x14ac:dyDescent="0.2">
      <c r="A3611" s="2">
        <v>5109110719</v>
      </c>
      <c r="B3611" s="3" t="s">
        <v>41</v>
      </c>
      <c r="C3611" s="9"/>
      <c r="D3611" s="9"/>
      <c r="E3611" s="9"/>
      <c r="F3611" s="9"/>
      <c r="G3611" s="9"/>
      <c r="H3611" s="9"/>
      <c r="I3611" s="9"/>
      <c r="J3611" s="9"/>
      <c r="K3611" s="9"/>
      <c r="L3611" s="9"/>
      <c r="M3611" s="9"/>
      <c r="N3611" s="9"/>
      <c r="O3611" s="9"/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  <c r="AB3611" s="9"/>
      <c r="AC3611" s="9"/>
      <c r="AD3611" s="9"/>
      <c r="AE3611" s="9"/>
      <c r="AF3611" s="9"/>
      <c r="AG3611" s="9"/>
      <c r="AH3611" s="9"/>
      <c r="AI3611" s="9"/>
      <c r="AJ3611" s="9"/>
      <c r="AK3611" s="9"/>
      <c r="AL3611" s="9"/>
      <c r="AM3611" s="9"/>
      <c r="AN3611" s="9"/>
      <c r="AO3611" s="9"/>
    </row>
    <row r="3612" spans="1:41" ht="28.5" x14ac:dyDescent="0.2">
      <c r="A3612" s="2">
        <v>51091110</v>
      </c>
      <c r="B3612" s="4" t="s">
        <v>48</v>
      </c>
      <c r="C3612" s="11"/>
      <c r="D3612" s="11"/>
      <c r="E3612" s="11"/>
      <c r="F3612" s="11"/>
      <c r="G3612" s="11"/>
      <c r="H3612" s="11"/>
      <c r="I3612" s="11"/>
      <c r="J3612" s="11"/>
      <c r="K3612" s="11"/>
      <c r="L3612" s="11"/>
      <c r="M3612" s="11"/>
      <c r="N3612" s="11"/>
      <c r="O3612" s="11"/>
      <c r="P3612" s="11"/>
      <c r="Q3612" s="11"/>
      <c r="R3612" s="11"/>
      <c r="S3612" s="11"/>
      <c r="T3612" s="11"/>
      <c r="U3612" s="11"/>
      <c r="V3612" s="11"/>
      <c r="W3612" s="11"/>
      <c r="X3612" s="11"/>
      <c r="Y3612" s="11"/>
      <c r="Z3612" s="11"/>
      <c r="AA3612" s="11"/>
      <c r="AB3612" s="11"/>
      <c r="AC3612" s="11"/>
      <c r="AD3612" s="11"/>
      <c r="AE3612" s="11"/>
      <c r="AF3612" s="11"/>
      <c r="AG3612" s="11"/>
      <c r="AH3612" s="11"/>
      <c r="AI3612" s="11"/>
      <c r="AJ3612" s="11"/>
      <c r="AK3612" s="11"/>
      <c r="AL3612" s="11"/>
      <c r="AM3612" s="11"/>
      <c r="AN3612" s="11"/>
      <c r="AO3612" s="11"/>
    </row>
    <row r="3613" spans="1:41" ht="14.25" x14ac:dyDescent="0.2">
      <c r="A3613" s="2">
        <v>5109111005</v>
      </c>
      <c r="B3613" s="3" t="s">
        <v>39</v>
      </c>
      <c r="C3613" s="9"/>
      <c r="D3613" s="9"/>
      <c r="E3613" s="9"/>
      <c r="F3613" s="9"/>
      <c r="G3613" s="9"/>
      <c r="H3613" s="9"/>
      <c r="I3613" s="9"/>
      <c r="J3613" s="9"/>
      <c r="K3613" s="9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9"/>
      <c r="AD3613" s="9"/>
      <c r="AE3613" s="9"/>
      <c r="AF3613" s="9"/>
      <c r="AG3613" s="9"/>
      <c r="AH3613" s="9"/>
      <c r="AI3613" s="9"/>
      <c r="AJ3613" s="9"/>
      <c r="AK3613" s="9"/>
      <c r="AL3613" s="9"/>
      <c r="AM3613" s="9"/>
      <c r="AN3613" s="9"/>
      <c r="AO3613" s="9"/>
    </row>
    <row r="3614" spans="1:41" ht="14.25" x14ac:dyDescent="0.2">
      <c r="A3614" s="2">
        <v>5109111006</v>
      </c>
      <c r="B3614" s="3" t="s">
        <v>42</v>
      </c>
      <c r="C3614" s="9"/>
      <c r="D3614" s="9"/>
      <c r="E3614" s="9"/>
      <c r="F3614" s="9"/>
      <c r="G3614" s="9"/>
      <c r="H3614" s="9"/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9"/>
      <c r="AL3614" s="9"/>
      <c r="AM3614" s="9"/>
      <c r="AN3614" s="9"/>
      <c r="AO3614" s="9"/>
    </row>
    <row r="3615" spans="1:41" ht="14.25" x14ac:dyDescent="0.2">
      <c r="A3615" s="2">
        <v>5109111007</v>
      </c>
      <c r="B3615" s="3" t="s">
        <v>43</v>
      </c>
      <c r="C3615" s="9"/>
      <c r="D3615" s="9"/>
      <c r="E3615" s="9"/>
      <c r="F3615" s="9"/>
      <c r="G3615" s="9"/>
      <c r="H3615" s="9"/>
      <c r="I3615" s="9"/>
      <c r="J3615" s="9"/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  <c r="AH3615" s="9"/>
      <c r="AI3615" s="9"/>
      <c r="AJ3615" s="9"/>
      <c r="AK3615" s="9"/>
      <c r="AL3615" s="9"/>
      <c r="AM3615" s="9"/>
      <c r="AN3615" s="9"/>
      <c r="AO3615" s="9"/>
    </row>
    <row r="3616" spans="1:41" ht="28.5" x14ac:dyDescent="0.2">
      <c r="A3616" s="2">
        <v>51091111</v>
      </c>
      <c r="B3616" s="4" t="s">
        <v>50</v>
      </c>
      <c r="C3616" s="11"/>
      <c r="D3616" s="11"/>
      <c r="E3616" s="11"/>
      <c r="F3616" s="11"/>
      <c r="G3616" s="11"/>
      <c r="H3616" s="11"/>
      <c r="I3616" s="11"/>
      <c r="J3616" s="11"/>
      <c r="K3616" s="11"/>
      <c r="L3616" s="11"/>
      <c r="M3616" s="11"/>
      <c r="N3616" s="11"/>
      <c r="O3616" s="11"/>
      <c r="P3616" s="11"/>
      <c r="Q3616" s="11"/>
      <c r="R3616" s="11"/>
      <c r="S3616" s="11"/>
      <c r="T3616" s="11"/>
      <c r="U3616" s="11"/>
      <c r="V3616" s="11"/>
      <c r="W3616" s="11"/>
      <c r="X3616" s="11"/>
      <c r="Y3616" s="11"/>
      <c r="Z3616" s="11"/>
      <c r="AA3616" s="11"/>
      <c r="AB3616" s="11"/>
      <c r="AC3616" s="11"/>
      <c r="AD3616" s="11"/>
      <c r="AE3616" s="11"/>
      <c r="AF3616" s="11"/>
      <c r="AG3616" s="11"/>
      <c r="AH3616" s="11"/>
      <c r="AI3616" s="11"/>
      <c r="AJ3616" s="11"/>
      <c r="AK3616" s="11"/>
      <c r="AL3616" s="11"/>
      <c r="AM3616" s="11"/>
      <c r="AN3616" s="11"/>
      <c r="AO3616" s="11"/>
    </row>
    <row r="3617" spans="1:41" ht="14.25" x14ac:dyDescent="0.2">
      <c r="A3617" s="2">
        <v>5109111105</v>
      </c>
      <c r="B3617" s="3" t="s">
        <v>39</v>
      </c>
      <c r="C3617" s="9"/>
      <c r="D3617" s="9"/>
      <c r="E3617" s="9"/>
      <c r="F3617" s="9"/>
      <c r="G3617" s="9"/>
      <c r="H3617" s="9"/>
      <c r="I3617" s="9"/>
      <c r="J3617" s="9"/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9"/>
      <c r="AE3617" s="9"/>
      <c r="AF3617" s="9"/>
      <c r="AG3617" s="9"/>
      <c r="AH3617" s="9"/>
      <c r="AI3617" s="9"/>
      <c r="AJ3617" s="9"/>
      <c r="AK3617" s="9"/>
      <c r="AL3617" s="9"/>
      <c r="AM3617" s="9"/>
      <c r="AN3617" s="9"/>
      <c r="AO3617" s="9"/>
    </row>
    <row r="3618" spans="1:41" ht="14.25" x14ac:dyDescent="0.2">
      <c r="A3618" s="2">
        <v>5109111106</v>
      </c>
      <c r="B3618" s="3" t="s">
        <v>42</v>
      </c>
      <c r="C3618" s="9"/>
      <c r="D3618" s="9"/>
      <c r="E3618" s="9"/>
      <c r="F3618" s="9"/>
      <c r="G3618" s="9"/>
      <c r="H3618" s="9"/>
      <c r="I3618" s="9"/>
      <c r="J3618" s="9"/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9"/>
      <c r="AL3618" s="9"/>
      <c r="AM3618" s="9"/>
      <c r="AN3618" s="9"/>
      <c r="AO3618" s="9"/>
    </row>
    <row r="3619" spans="1:41" ht="14.25" x14ac:dyDescent="0.2">
      <c r="A3619" s="2">
        <v>5109111107</v>
      </c>
      <c r="B3619" s="3" t="s">
        <v>43</v>
      </c>
      <c r="C3619" s="9"/>
      <c r="D3619" s="9"/>
      <c r="E3619" s="9"/>
      <c r="F3619" s="9"/>
      <c r="G3619" s="9"/>
      <c r="H3619" s="9"/>
      <c r="I3619" s="9"/>
      <c r="J3619" s="9"/>
      <c r="K3619" s="9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9"/>
      <c r="AI3619" s="9"/>
      <c r="AJ3619" s="9"/>
      <c r="AK3619" s="9"/>
      <c r="AL3619" s="9"/>
      <c r="AM3619" s="9"/>
      <c r="AN3619" s="9"/>
      <c r="AO3619" s="9"/>
    </row>
    <row r="3620" spans="1:41" ht="28.5" x14ac:dyDescent="0.2">
      <c r="A3620" s="2">
        <v>51091112</v>
      </c>
      <c r="B3620" s="4" t="s">
        <v>51</v>
      </c>
      <c r="C3620" s="11"/>
      <c r="D3620" s="11"/>
      <c r="E3620" s="11"/>
      <c r="F3620" s="11"/>
      <c r="G3620" s="11"/>
      <c r="H3620" s="11"/>
      <c r="I3620" s="11"/>
      <c r="J3620" s="11"/>
      <c r="K3620" s="11"/>
      <c r="L3620" s="11"/>
      <c r="M3620" s="11"/>
      <c r="N3620" s="11"/>
      <c r="O3620" s="11"/>
      <c r="P3620" s="11"/>
      <c r="Q3620" s="11"/>
      <c r="R3620" s="11"/>
      <c r="S3620" s="11"/>
      <c r="T3620" s="11"/>
      <c r="U3620" s="11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1"/>
      <c r="AF3620" s="11"/>
      <c r="AG3620" s="11"/>
      <c r="AH3620" s="11"/>
      <c r="AI3620" s="11"/>
      <c r="AJ3620" s="11"/>
      <c r="AK3620" s="11"/>
      <c r="AL3620" s="11"/>
      <c r="AM3620" s="11"/>
      <c r="AN3620" s="11"/>
      <c r="AO3620" s="11"/>
    </row>
    <row r="3621" spans="1:41" ht="14.25" x14ac:dyDescent="0.2">
      <c r="A3621" s="2">
        <v>5109111205</v>
      </c>
      <c r="B3621" s="3" t="s">
        <v>39</v>
      </c>
      <c r="C3621" s="9"/>
      <c r="D3621" s="9"/>
      <c r="E3621" s="9"/>
      <c r="F3621" s="9"/>
      <c r="G3621" s="9"/>
      <c r="H3621" s="9"/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9"/>
      <c r="AD3621" s="9"/>
      <c r="AE3621" s="9"/>
      <c r="AF3621" s="9"/>
      <c r="AG3621" s="9"/>
      <c r="AH3621" s="9"/>
      <c r="AI3621" s="9"/>
      <c r="AJ3621" s="9"/>
      <c r="AK3621" s="9"/>
      <c r="AL3621" s="9"/>
      <c r="AM3621" s="9"/>
      <c r="AN3621" s="9"/>
      <c r="AO3621" s="9"/>
    </row>
    <row r="3622" spans="1:41" ht="14.25" x14ac:dyDescent="0.2">
      <c r="A3622" s="2">
        <v>5109111206</v>
      </c>
      <c r="B3622" s="3" t="s">
        <v>42</v>
      </c>
      <c r="C3622" s="9"/>
      <c r="D3622" s="9"/>
      <c r="E3622" s="9"/>
      <c r="F3622" s="9"/>
      <c r="G3622" s="9"/>
      <c r="H3622" s="9"/>
      <c r="I3622" s="9"/>
      <c r="J3622" s="9"/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9"/>
      <c r="AE3622" s="9"/>
      <c r="AF3622" s="9"/>
      <c r="AG3622" s="9"/>
      <c r="AH3622" s="9"/>
      <c r="AI3622" s="9"/>
      <c r="AJ3622" s="9"/>
      <c r="AK3622" s="9"/>
      <c r="AL3622" s="9"/>
      <c r="AM3622" s="9"/>
      <c r="AN3622" s="9"/>
      <c r="AO3622" s="9"/>
    </row>
    <row r="3623" spans="1:41" ht="14.25" x14ac:dyDescent="0.2">
      <c r="A3623" s="2">
        <v>5109111207</v>
      </c>
      <c r="B3623" s="3" t="s">
        <v>43</v>
      </c>
      <c r="C3623" s="9"/>
      <c r="D3623" s="9"/>
      <c r="E3623" s="9"/>
      <c r="F3623" s="9"/>
      <c r="G3623" s="9"/>
      <c r="H3623" s="9"/>
      <c r="I3623" s="9"/>
      <c r="J3623" s="9"/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9"/>
      <c r="AE3623" s="9"/>
      <c r="AF3623" s="9"/>
      <c r="AG3623" s="9"/>
      <c r="AH3623" s="9"/>
      <c r="AI3623" s="9"/>
      <c r="AJ3623" s="9"/>
      <c r="AK3623" s="9"/>
      <c r="AL3623" s="9"/>
      <c r="AM3623" s="9"/>
      <c r="AN3623" s="9"/>
      <c r="AO3623" s="9"/>
    </row>
    <row r="3624" spans="1:41" ht="14.25" x14ac:dyDescent="0.2">
      <c r="A3624" s="2">
        <v>51091113</v>
      </c>
      <c r="B3624" s="3" t="s">
        <v>49</v>
      </c>
      <c r="C3624" s="9"/>
      <c r="D3624" s="9"/>
      <c r="E3624" s="9"/>
      <c r="F3624" s="9"/>
      <c r="G3624" s="9"/>
      <c r="H3624" s="9"/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  <c r="AE3624" s="9"/>
      <c r="AF3624" s="9"/>
      <c r="AG3624" s="9"/>
      <c r="AH3624" s="9"/>
      <c r="AI3624" s="9"/>
      <c r="AJ3624" s="9"/>
      <c r="AK3624" s="9"/>
      <c r="AL3624" s="9"/>
      <c r="AM3624" s="9"/>
      <c r="AN3624" s="9"/>
      <c r="AO3624" s="9"/>
    </row>
    <row r="3625" spans="1:41" ht="14.25" x14ac:dyDescent="0.2">
      <c r="A3625" s="2">
        <v>51091119</v>
      </c>
      <c r="B3625" s="3" t="s">
        <v>59</v>
      </c>
      <c r="C3625" s="9"/>
      <c r="D3625" s="9"/>
      <c r="E3625" s="9"/>
      <c r="F3625" s="9"/>
      <c r="G3625" s="9"/>
      <c r="H3625" s="9"/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9"/>
      <c r="AI3625" s="9"/>
      <c r="AJ3625" s="9"/>
      <c r="AK3625" s="9"/>
      <c r="AL3625" s="9"/>
      <c r="AM3625" s="9"/>
      <c r="AN3625" s="9"/>
      <c r="AO3625" s="9"/>
    </row>
    <row r="3626" spans="1:41" ht="28.5" x14ac:dyDescent="0.2">
      <c r="A3626" s="2">
        <v>510912</v>
      </c>
      <c r="B3626" s="4" t="s">
        <v>913</v>
      </c>
      <c r="C3626" s="11"/>
      <c r="D3626" s="11"/>
      <c r="E3626" s="11"/>
      <c r="F3626" s="11"/>
      <c r="G3626" s="11"/>
      <c r="H3626" s="11"/>
      <c r="I3626" s="11"/>
      <c r="J3626" s="11"/>
      <c r="K3626" s="11"/>
      <c r="L3626" s="11"/>
      <c r="M3626" s="11"/>
      <c r="N3626" s="11"/>
      <c r="O3626" s="11"/>
      <c r="P3626" s="11"/>
      <c r="Q3626" s="11"/>
      <c r="R3626" s="11"/>
      <c r="S3626" s="11"/>
      <c r="T3626" s="11"/>
      <c r="U3626" s="11"/>
      <c r="V3626" s="11"/>
      <c r="W3626" s="11"/>
      <c r="X3626" s="11"/>
      <c r="Y3626" s="11"/>
      <c r="Z3626" s="11"/>
      <c r="AA3626" s="11"/>
      <c r="AB3626" s="11"/>
      <c r="AC3626" s="11"/>
      <c r="AD3626" s="11"/>
      <c r="AE3626" s="11"/>
      <c r="AF3626" s="11"/>
      <c r="AG3626" s="11"/>
      <c r="AH3626" s="11"/>
      <c r="AI3626" s="11"/>
      <c r="AJ3626" s="11"/>
      <c r="AK3626" s="11"/>
      <c r="AL3626" s="11"/>
      <c r="AM3626" s="11"/>
      <c r="AN3626" s="11"/>
      <c r="AO3626" s="11"/>
    </row>
    <row r="3627" spans="1:41" ht="14.25" x14ac:dyDescent="0.2">
      <c r="A3627" s="2">
        <v>51091201</v>
      </c>
      <c r="B3627" s="3" t="s">
        <v>55</v>
      </c>
      <c r="C3627" s="9"/>
      <c r="D3627" s="9"/>
      <c r="E3627" s="9"/>
      <c r="F3627" s="9"/>
      <c r="G3627" s="9"/>
      <c r="H3627" s="9"/>
      <c r="I3627" s="9"/>
      <c r="J3627" s="9"/>
      <c r="K3627" s="9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9"/>
      <c r="AE3627" s="9"/>
      <c r="AF3627" s="9"/>
      <c r="AG3627" s="9"/>
      <c r="AH3627" s="9"/>
      <c r="AI3627" s="9"/>
      <c r="AJ3627" s="9"/>
      <c r="AK3627" s="9"/>
      <c r="AL3627" s="9"/>
      <c r="AM3627" s="9"/>
      <c r="AN3627" s="9"/>
      <c r="AO3627" s="9"/>
    </row>
    <row r="3628" spans="1:41" ht="14.25" x14ac:dyDescent="0.2">
      <c r="A3628" s="2">
        <v>5109120101</v>
      </c>
      <c r="B3628" s="3" t="s">
        <v>56</v>
      </c>
      <c r="C3628" s="9"/>
      <c r="D3628" s="9"/>
      <c r="E3628" s="9"/>
      <c r="F3628" s="9"/>
      <c r="G3628" s="9"/>
      <c r="H3628" s="9"/>
      <c r="I3628" s="9"/>
      <c r="J3628" s="9"/>
      <c r="K3628" s="9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9"/>
      <c r="AH3628" s="9"/>
      <c r="AI3628" s="9"/>
      <c r="AJ3628" s="9"/>
      <c r="AK3628" s="9"/>
      <c r="AL3628" s="9"/>
      <c r="AM3628" s="9"/>
      <c r="AN3628" s="9"/>
      <c r="AO3628" s="9"/>
    </row>
    <row r="3629" spans="1:41" ht="14.25" x14ac:dyDescent="0.2">
      <c r="A3629" s="2">
        <v>5109120109</v>
      </c>
      <c r="B3629" s="3" t="s">
        <v>60</v>
      </c>
      <c r="C3629" s="9"/>
      <c r="D3629" s="9"/>
      <c r="E3629" s="9"/>
      <c r="F3629" s="9"/>
      <c r="G3629" s="9"/>
      <c r="H3629" s="9"/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  <c r="AE3629" s="9"/>
      <c r="AF3629" s="9"/>
      <c r="AG3629" s="9"/>
      <c r="AH3629" s="9"/>
      <c r="AI3629" s="9"/>
      <c r="AJ3629" s="9"/>
      <c r="AK3629" s="9"/>
      <c r="AL3629" s="9"/>
      <c r="AM3629" s="9"/>
      <c r="AN3629" s="9"/>
      <c r="AO3629" s="9"/>
    </row>
    <row r="3630" spans="1:41" ht="14.25" x14ac:dyDescent="0.2">
      <c r="A3630" s="2">
        <v>51091202</v>
      </c>
      <c r="B3630" s="3" t="s">
        <v>61</v>
      </c>
      <c r="C3630" s="9"/>
      <c r="D3630" s="9"/>
      <c r="E3630" s="9"/>
      <c r="F3630" s="9"/>
      <c r="G3630" s="9"/>
      <c r="H3630" s="9"/>
      <c r="I3630" s="9"/>
      <c r="J3630" s="9"/>
      <c r="K3630" s="9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9"/>
      <c r="AL3630" s="9"/>
      <c r="AM3630" s="9"/>
      <c r="AN3630" s="9"/>
      <c r="AO3630" s="9"/>
    </row>
    <row r="3631" spans="1:41" ht="14.25" x14ac:dyDescent="0.2">
      <c r="A3631" s="2">
        <v>51091203</v>
      </c>
      <c r="B3631" s="3" t="s">
        <v>62</v>
      </c>
      <c r="C3631" s="9"/>
      <c r="D3631" s="9"/>
      <c r="E3631" s="9"/>
      <c r="F3631" s="9"/>
      <c r="G3631" s="9"/>
      <c r="H3631" s="9"/>
      <c r="I3631" s="9"/>
      <c r="J3631" s="9"/>
      <c r="K3631" s="9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9"/>
      <c r="AE3631" s="9"/>
      <c r="AF3631" s="9"/>
      <c r="AG3631" s="9"/>
      <c r="AH3631" s="9"/>
      <c r="AI3631" s="9"/>
      <c r="AJ3631" s="9"/>
      <c r="AK3631" s="9"/>
      <c r="AL3631" s="9"/>
      <c r="AM3631" s="9"/>
      <c r="AN3631" s="9"/>
      <c r="AO3631" s="9"/>
    </row>
    <row r="3632" spans="1:41" ht="14.25" x14ac:dyDescent="0.2">
      <c r="A3632" s="2">
        <v>51091205</v>
      </c>
      <c r="B3632" s="3" t="s">
        <v>39</v>
      </c>
      <c r="C3632" s="9"/>
      <c r="D3632" s="9"/>
      <c r="E3632" s="9"/>
      <c r="F3632" s="9"/>
      <c r="G3632" s="9"/>
      <c r="H3632" s="9"/>
      <c r="I3632" s="9"/>
      <c r="J3632" s="9"/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9"/>
      <c r="AL3632" s="9"/>
      <c r="AM3632" s="9"/>
      <c r="AN3632" s="9"/>
      <c r="AO3632" s="9"/>
    </row>
    <row r="3633" spans="1:41" ht="14.25" x14ac:dyDescent="0.2">
      <c r="A3633" s="2">
        <v>5109120503</v>
      </c>
      <c r="B3633" s="3" t="s">
        <v>65</v>
      </c>
      <c r="C3633" s="9"/>
      <c r="D3633" s="9"/>
      <c r="E3633" s="9"/>
      <c r="F3633" s="9"/>
      <c r="G3633" s="9"/>
      <c r="H3633" s="9"/>
      <c r="I3633" s="9"/>
      <c r="J3633" s="9"/>
      <c r="K3633" s="9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  <c r="AH3633" s="9"/>
      <c r="AI3633" s="9"/>
      <c r="AJ3633" s="9"/>
      <c r="AK3633" s="9"/>
      <c r="AL3633" s="9"/>
      <c r="AM3633" s="9"/>
      <c r="AN3633" s="9"/>
      <c r="AO3633" s="9"/>
    </row>
    <row r="3634" spans="1:41" ht="14.25" x14ac:dyDescent="0.2">
      <c r="A3634" s="2">
        <v>5109120505</v>
      </c>
      <c r="B3634" s="3" t="s">
        <v>66</v>
      </c>
      <c r="C3634" s="9"/>
      <c r="D3634" s="9"/>
      <c r="E3634" s="9"/>
      <c r="F3634" s="9"/>
      <c r="G3634" s="9"/>
      <c r="H3634" s="9"/>
      <c r="I3634" s="9"/>
      <c r="J3634" s="9"/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9"/>
      <c r="AL3634" s="9"/>
      <c r="AM3634" s="9"/>
      <c r="AN3634" s="9"/>
      <c r="AO3634" s="9"/>
    </row>
    <row r="3635" spans="1:41" ht="14.25" x14ac:dyDescent="0.2">
      <c r="A3635" s="2">
        <v>5109120506</v>
      </c>
      <c r="B3635" s="3" t="s">
        <v>67</v>
      </c>
      <c r="C3635" s="9"/>
      <c r="D3635" s="9"/>
      <c r="E3635" s="9"/>
      <c r="F3635" s="9"/>
      <c r="G3635" s="9"/>
      <c r="H3635" s="9"/>
      <c r="I3635" s="9"/>
      <c r="J3635" s="9"/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9"/>
      <c r="AE3635" s="9"/>
      <c r="AF3635" s="9"/>
      <c r="AG3635" s="9"/>
      <c r="AH3635" s="9"/>
      <c r="AI3635" s="9"/>
      <c r="AJ3635" s="9"/>
      <c r="AK3635" s="9"/>
      <c r="AL3635" s="9"/>
      <c r="AM3635" s="9"/>
      <c r="AN3635" s="9"/>
      <c r="AO3635" s="9"/>
    </row>
    <row r="3636" spans="1:41" ht="14.25" x14ac:dyDescent="0.2">
      <c r="A3636" s="2">
        <v>5109120507</v>
      </c>
      <c r="B3636" s="3" t="s">
        <v>68</v>
      </c>
      <c r="C3636" s="9"/>
      <c r="D3636" s="9"/>
      <c r="E3636" s="9"/>
      <c r="F3636" s="9"/>
      <c r="G3636" s="9"/>
      <c r="H3636" s="9"/>
      <c r="I3636" s="9"/>
      <c r="J3636" s="9"/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9"/>
      <c r="AE3636" s="9"/>
      <c r="AF3636" s="9"/>
      <c r="AG3636" s="9"/>
      <c r="AH3636" s="9"/>
      <c r="AI3636" s="9"/>
      <c r="AJ3636" s="9"/>
      <c r="AK3636" s="9"/>
      <c r="AL3636" s="9"/>
      <c r="AM3636" s="9"/>
      <c r="AN3636" s="9"/>
      <c r="AO3636" s="9"/>
    </row>
    <row r="3637" spans="1:41" ht="14.25" x14ac:dyDescent="0.2">
      <c r="A3637" s="2">
        <v>5109120508</v>
      </c>
      <c r="B3637" s="3" t="s">
        <v>69</v>
      </c>
      <c r="C3637" s="9"/>
      <c r="D3637" s="9"/>
      <c r="E3637" s="9"/>
      <c r="F3637" s="9"/>
      <c r="G3637" s="9"/>
      <c r="H3637" s="9"/>
      <c r="I3637" s="9"/>
      <c r="J3637" s="9"/>
      <c r="K3637" s="9"/>
      <c r="L3637" s="9"/>
      <c r="M3637" s="9"/>
      <c r="N3637" s="9"/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  <c r="AB3637" s="9"/>
      <c r="AC3637" s="9"/>
      <c r="AD3637" s="9"/>
      <c r="AE3637" s="9"/>
      <c r="AF3637" s="9"/>
      <c r="AG3637" s="9"/>
      <c r="AH3637" s="9"/>
      <c r="AI3637" s="9"/>
      <c r="AJ3637" s="9"/>
      <c r="AK3637" s="9"/>
      <c r="AL3637" s="9"/>
      <c r="AM3637" s="9"/>
      <c r="AN3637" s="9"/>
      <c r="AO3637" s="9"/>
    </row>
    <row r="3638" spans="1:41" ht="14.25" x14ac:dyDescent="0.2">
      <c r="A3638" s="2">
        <v>5109120509</v>
      </c>
      <c r="B3638" s="3" t="s">
        <v>70</v>
      </c>
      <c r="C3638" s="9"/>
      <c r="D3638" s="9"/>
      <c r="E3638" s="9"/>
      <c r="F3638" s="9"/>
      <c r="G3638" s="9"/>
      <c r="H3638" s="9"/>
      <c r="I3638" s="9"/>
      <c r="J3638" s="9"/>
      <c r="K3638" s="9"/>
      <c r="L3638" s="9"/>
      <c r="M3638" s="9"/>
      <c r="N3638" s="9"/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9"/>
      <c r="AL3638" s="9"/>
      <c r="AM3638" s="9"/>
      <c r="AN3638" s="9"/>
      <c r="AO3638" s="9"/>
    </row>
    <row r="3639" spans="1:41" ht="28.5" x14ac:dyDescent="0.2">
      <c r="A3639" s="2">
        <v>5109120510</v>
      </c>
      <c r="B3639" s="4" t="s">
        <v>697</v>
      </c>
      <c r="C3639" s="11"/>
      <c r="D3639" s="11"/>
      <c r="E3639" s="11"/>
      <c r="F3639" s="11"/>
      <c r="G3639" s="11"/>
      <c r="H3639" s="11"/>
      <c r="I3639" s="11"/>
      <c r="J3639" s="11"/>
      <c r="K3639" s="11"/>
      <c r="L3639" s="11"/>
      <c r="M3639" s="11"/>
      <c r="N3639" s="11"/>
      <c r="O3639" s="11"/>
      <c r="P3639" s="11"/>
      <c r="Q3639" s="11"/>
      <c r="R3639" s="11"/>
      <c r="S3639" s="11"/>
      <c r="T3639" s="11"/>
      <c r="U3639" s="11"/>
      <c r="V3639" s="11"/>
      <c r="W3639" s="11"/>
      <c r="X3639" s="11"/>
      <c r="Y3639" s="11"/>
      <c r="Z3639" s="11"/>
      <c r="AA3639" s="11"/>
      <c r="AB3639" s="11"/>
      <c r="AC3639" s="11"/>
      <c r="AD3639" s="11"/>
      <c r="AE3639" s="11"/>
      <c r="AF3639" s="11"/>
      <c r="AG3639" s="11"/>
      <c r="AH3639" s="11"/>
      <c r="AI3639" s="11"/>
      <c r="AJ3639" s="11"/>
      <c r="AK3639" s="11"/>
      <c r="AL3639" s="11"/>
      <c r="AM3639" s="11"/>
      <c r="AN3639" s="11"/>
      <c r="AO3639" s="11"/>
    </row>
    <row r="3640" spans="1:41" ht="14.25" x14ac:dyDescent="0.2">
      <c r="A3640" s="2">
        <v>5109120511</v>
      </c>
      <c r="B3640" s="3" t="s">
        <v>72</v>
      </c>
      <c r="C3640" s="9"/>
      <c r="D3640" s="9"/>
      <c r="E3640" s="9"/>
      <c r="F3640" s="9"/>
      <c r="G3640" s="9"/>
      <c r="H3640" s="9"/>
      <c r="I3640" s="9"/>
      <c r="J3640" s="9"/>
      <c r="K3640" s="9"/>
      <c r="L3640" s="9"/>
      <c r="M3640" s="9"/>
      <c r="N3640" s="9"/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9"/>
      <c r="AD3640" s="9"/>
      <c r="AE3640" s="9"/>
      <c r="AF3640" s="9"/>
      <c r="AG3640" s="9"/>
      <c r="AH3640" s="9"/>
      <c r="AI3640" s="9"/>
      <c r="AJ3640" s="9"/>
      <c r="AK3640" s="9"/>
      <c r="AL3640" s="9"/>
      <c r="AM3640" s="9"/>
      <c r="AN3640" s="9"/>
      <c r="AO3640" s="9"/>
    </row>
    <row r="3641" spans="1:41" ht="14.25" x14ac:dyDescent="0.2">
      <c r="A3641" s="2">
        <v>5109120519</v>
      </c>
      <c r="B3641" s="3" t="s">
        <v>41</v>
      </c>
      <c r="C3641" s="9"/>
      <c r="D3641" s="9"/>
      <c r="E3641" s="9"/>
      <c r="F3641" s="9"/>
      <c r="G3641" s="9"/>
      <c r="H3641" s="9"/>
      <c r="I3641" s="9"/>
      <c r="J3641" s="9"/>
      <c r="K3641" s="9"/>
      <c r="L3641" s="9"/>
      <c r="M3641" s="9"/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9"/>
      <c r="AH3641" s="9"/>
      <c r="AI3641" s="9"/>
      <c r="AJ3641" s="9"/>
      <c r="AK3641" s="9"/>
      <c r="AL3641" s="9"/>
      <c r="AM3641" s="9"/>
      <c r="AN3641" s="9"/>
      <c r="AO3641" s="9"/>
    </row>
    <row r="3642" spans="1:41" ht="14.25" x14ac:dyDescent="0.2">
      <c r="A3642" s="2">
        <v>51091206</v>
      </c>
      <c r="B3642" s="3" t="s">
        <v>42</v>
      </c>
      <c r="C3642" s="9"/>
      <c r="D3642" s="9"/>
      <c r="E3642" s="9"/>
      <c r="F3642" s="9"/>
      <c r="G3642" s="9"/>
      <c r="H3642" s="9"/>
      <c r="I3642" s="9"/>
      <c r="J3642" s="9"/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9"/>
      <c r="AH3642" s="9"/>
      <c r="AI3642" s="9"/>
      <c r="AJ3642" s="9"/>
      <c r="AK3642" s="9"/>
      <c r="AL3642" s="9"/>
      <c r="AM3642" s="9"/>
      <c r="AN3642" s="9"/>
      <c r="AO3642" s="9"/>
    </row>
    <row r="3643" spans="1:41" ht="14.25" x14ac:dyDescent="0.2">
      <c r="A3643" s="2">
        <v>5109120608</v>
      </c>
      <c r="B3643" s="3" t="s">
        <v>69</v>
      </c>
      <c r="C3643" s="9"/>
      <c r="D3643" s="9"/>
      <c r="E3643" s="9"/>
      <c r="F3643" s="9"/>
      <c r="G3643" s="9"/>
      <c r="H3643" s="9"/>
      <c r="I3643" s="9"/>
      <c r="J3643" s="9"/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9"/>
      <c r="AE3643" s="9"/>
      <c r="AF3643" s="9"/>
      <c r="AG3643" s="9"/>
      <c r="AH3643" s="9"/>
      <c r="AI3643" s="9"/>
      <c r="AJ3643" s="9"/>
      <c r="AK3643" s="9"/>
      <c r="AL3643" s="9"/>
      <c r="AM3643" s="9"/>
      <c r="AN3643" s="9"/>
      <c r="AO3643" s="9"/>
    </row>
    <row r="3644" spans="1:41" ht="14.25" x14ac:dyDescent="0.2">
      <c r="A3644" s="2">
        <v>5109120609</v>
      </c>
      <c r="B3644" s="3" t="s">
        <v>70</v>
      </c>
      <c r="C3644" s="9"/>
      <c r="D3644" s="9"/>
      <c r="E3644" s="9"/>
      <c r="F3644" s="9"/>
      <c r="G3644" s="9"/>
      <c r="H3644" s="9"/>
      <c r="I3644" s="9"/>
      <c r="J3644" s="9"/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  <c r="AB3644" s="9"/>
      <c r="AC3644" s="9"/>
      <c r="AD3644" s="9"/>
      <c r="AE3644" s="9"/>
      <c r="AF3644" s="9"/>
      <c r="AG3644" s="9"/>
      <c r="AH3644" s="9"/>
      <c r="AI3644" s="9"/>
      <c r="AJ3644" s="9"/>
      <c r="AK3644" s="9"/>
      <c r="AL3644" s="9"/>
      <c r="AM3644" s="9"/>
      <c r="AN3644" s="9"/>
      <c r="AO3644" s="9"/>
    </row>
    <row r="3645" spans="1:41" ht="28.5" x14ac:dyDescent="0.2">
      <c r="A3645" s="2">
        <v>5109120610</v>
      </c>
      <c r="B3645" s="4" t="s">
        <v>697</v>
      </c>
      <c r="C3645" s="11"/>
      <c r="D3645" s="11"/>
      <c r="E3645" s="11"/>
      <c r="F3645" s="11"/>
      <c r="G3645" s="11"/>
      <c r="H3645" s="11"/>
      <c r="I3645" s="11"/>
      <c r="J3645" s="11"/>
      <c r="K3645" s="11"/>
      <c r="L3645" s="11"/>
      <c r="M3645" s="11"/>
      <c r="N3645" s="11"/>
      <c r="O3645" s="11"/>
      <c r="P3645" s="11"/>
      <c r="Q3645" s="11"/>
      <c r="R3645" s="11"/>
      <c r="S3645" s="11"/>
      <c r="T3645" s="11"/>
      <c r="U3645" s="11"/>
      <c r="V3645" s="11"/>
      <c r="W3645" s="11"/>
      <c r="X3645" s="11"/>
      <c r="Y3645" s="11"/>
      <c r="Z3645" s="11"/>
      <c r="AA3645" s="11"/>
      <c r="AB3645" s="11"/>
      <c r="AC3645" s="11"/>
      <c r="AD3645" s="11"/>
      <c r="AE3645" s="11"/>
      <c r="AF3645" s="11"/>
      <c r="AG3645" s="11"/>
      <c r="AH3645" s="11"/>
      <c r="AI3645" s="11"/>
      <c r="AJ3645" s="11"/>
      <c r="AK3645" s="11"/>
      <c r="AL3645" s="11"/>
      <c r="AM3645" s="11"/>
      <c r="AN3645" s="11"/>
      <c r="AO3645" s="11"/>
    </row>
    <row r="3646" spans="1:41" ht="14.25" x14ac:dyDescent="0.2">
      <c r="A3646" s="2">
        <v>5109120611</v>
      </c>
      <c r="B3646" s="3" t="s">
        <v>72</v>
      </c>
      <c r="C3646" s="9"/>
      <c r="D3646" s="9"/>
      <c r="E3646" s="9"/>
      <c r="F3646" s="9"/>
      <c r="G3646" s="9"/>
      <c r="H3646" s="9"/>
      <c r="I3646" s="9"/>
      <c r="J3646" s="9"/>
      <c r="K3646" s="9"/>
      <c r="L3646" s="9"/>
      <c r="M3646" s="9"/>
      <c r="N3646" s="9"/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9"/>
      <c r="AL3646" s="9"/>
      <c r="AM3646" s="9"/>
      <c r="AN3646" s="9"/>
      <c r="AO3646" s="9"/>
    </row>
    <row r="3647" spans="1:41" ht="14.25" x14ac:dyDescent="0.2">
      <c r="A3647" s="2">
        <v>5109120619</v>
      </c>
      <c r="B3647" s="3" t="s">
        <v>41</v>
      </c>
      <c r="C3647" s="9"/>
      <c r="D3647" s="9"/>
      <c r="E3647" s="9"/>
      <c r="F3647" s="9"/>
      <c r="G3647" s="9"/>
      <c r="H3647" s="9"/>
      <c r="I3647" s="9"/>
      <c r="J3647" s="9"/>
      <c r="K3647" s="9"/>
      <c r="L3647" s="9"/>
      <c r="M3647" s="9"/>
      <c r="N3647" s="9"/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  <c r="AB3647" s="9"/>
      <c r="AC3647" s="9"/>
      <c r="AD3647" s="9"/>
      <c r="AE3647" s="9"/>
      <c r="AF3647" s="9"/>
      <c r="AG3647" s="9"/>
      <c r="AH3647" s="9"/>
      <c r="AI3647" s="9"/>
      <c r="AJ3647" s="9"/>
      <c r="AK3647" s="9"/>
      <c r="AL3647" s="9"/>
      <c r="AM3647" s="9"/>
      <c r="AN3647" s="9"/>
      <c r="AO3647" s="9"/>
    </row>
    <row r="3648" spans="1:41" ht="14.25" x14ac:dyDescent="0.2">
      <c r="A3648" s="2">
        <v>51091207</v>
      </c>
      <c r="B3648" s="3" t="s">
        <v>43</v>
      </c>
      <c r="C3648" s="9"/>
      <c r="D3648" s="9"/>
      <c r="E3648" s="9"/>
      <c r="F3648" s="9"/>
      <c r="G3648" s="9"/>
      <c r="H3648" s="9"/>
      <c r="I3648" s="9"/>
      <c r="J3648" s="9"/>
      <c r="K3648" s="9"/>
      <c r="L3648" s="9"/>
      <c r="M3648" s="9"/>
      <c r="N3648" s="9"/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9"/>
      <c r="AC3648" s="9"/>
      <c r="AD3648" s="9"/>
      <c r="AE3648" s="9"/>
      <c r="AF3648" s="9"/>
      <c r="AG3648" s="9"/>
      <c r="AH3648" s="9"/>
      <c r="AI3648" s="9"/>
      <c r="AJ3648" s="9"/>
      <c r="AK3648" s="9"/>
      <c r="AL3648" s="9"/>
      <c r="AM3648" s="9"/>
      <c r="AN3648" s="9"/>
      <c r="AO3648" s="9"/>
    </row>
    <row r="3649" spans="1:41" ht="14.25" x14ac:dyDescent="0.2">
      <c r="A3649" s="2">
        <v>5109120708</v>
      </c>
      <c r="B3649" s="3" t="s">
        <v>69</v>
      </c>
      <c r="C3649" s="9"/>
      <c r="D3649" s="9"/>
      <c r="E3649" s="9"/>
      <c r="F3649" s="9"/>
      <c r="G3649" s="9"/>
      <c r="H3649" s="9"/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9"/>
      <c r="AE3649" s="9"/>
      <c r="AF3649" s="9"/>
      <c r="AG3649" s="9"/>
      <c r="AH3649" s="9"/>
      <c r="AI3649" s="9"/>
      <c r="AJ3649" s="9"/>
      <c r="AK3649" s="9"/>
      <c r="AL3649" s="9"/>
      <c r="AM3649" s="9"/>
      <c r="AN3649" s="9"/>
      <c r="AO3649" s="9"/>
    </row>
    <row r="3650" spans="1:41" ht="14.25" x14ac:dyDescent="0.2">
      <c r="A3650" s="2">
        <v>5109120709</v>
      </c>
      <c r="B3650" s="3" t="s">
        <v>70</v>
      </c>
      <c r="C3650" s="9"/>
      <c r="D3650" s="9"/>
      <c r="E3650" s="9"/>
      <c r="F3650" s="9"/>
      <c r="G3650" s="9"/>
      <c r="H3650" s="9"/>
      <c r="I3650" s="9"/>
      <c r="J3650" s="9"/>
      <c r="K3650" s="9"/>
      <c r="L3650" s="9"/>
      <c r="M3650" s="9"/>
      <c r="N3650" s="9"/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9"/>
      <c r="AL3650" s="9"/>
      <c r="AM3650" s="9"/>
      <c r="AN3650" s="9"/>
      <c r="AO3650" s="9"/>
    </row>
    <row r="3651" spans="1:41" ht="28.5" x14ac:dyDescent="0.2">
      <c r="A3651" s="2">
        <v>5109120710</v>
      </c>
      <c r="B3651" s="4" t="s">
        <v>697</v>
      </c>
      <c r="C3651" s="11"/>
      <c r="D3651" s="11"/>
      <c r="E3651" s="11"/>
      <c r="F3651" s="11"/>
      <c r="G3651" s="11"/>
      <c r="H3651" s="11"/>
      <c r="I3651" s="11"/>
      <c r="J3651" s="11"/>
      <c r="K3651" s="11"/>
      <c r="L3651" s="11"/>
      <c r="M3651" s="11"/>
      <c r="N3651" s="11"/>
      <c r="O3651" s="11"/>
      <c r="P3651" s="11"/>
      <c r="Q3651" s="11"/>
      <c r="R3651" s="11"/>
      <c r="S3651" s="11"/>
      <c r="T3651" s="11"/>
      <c r="U3651" s="11"/>
      <c r="V3651" s="11"/>
      <c r="W3651" s="11"/>
      <c r="X3651" s="11"/>
      <c r="Y3651" s="11"/>
      <c r="Z3651" s="11"/>
      <c r="AA3651" s="11"/>
      <c r="AB3651" s="11"/>
      <c r="AC3651" s="11"/>
      <c r="AD3651" s="11"/>
      <c r="AE3651" s="11"/>
      <c r="AF3651" s="11"/>
      <c r="AG3651" s="11"/>
      <c r="AH3651" s="11"/>
      <c r="AI3651" s="11"/>
      <c r="AJ3651" s="11"/>
      <c r="AK3651" s="11"/>
      <c r="AL3651" s="11"/>
      <c r="AM3651" s="11"/>
      <c r="AN3651" s="11"/>
      <c r="AO3651" s="11"/>
    </row>
    <row r="3652" spans="1:41" ht="14.25" x14ac:dyDescent="0.2">
      <c r="A3652" s="2">
        <v>5109120711</v>
      </c>
      <c r="B3652" s="3" t="s">
        <v>72</v>
      </c>
      <c r="C3652" s="9"/>
      <c r="D3652" s="9"/>
      <c r="E3652" s="9"/>
      <c r="F3652" s="9"/>
      <c r="G3652" s="9"/>
      <c r="H3652" s="9"/>
      <c r="I3652" s="9"/>
      <c r="J3652" s="9"/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9"/>
      <c r="AL3652" s="9"/>
      <c r="AM3652" s="9"/>
      <c r="AN3652" s="9"/>
      <c r="AO3652" s="9"/>
    </row>
    <row r="3653" spans="1:41" ht="14.25" x14ac:dyDescent="0.2">
      <c r="A3653" s="2">
        <v>5109120712</v>
      </c>
      <c r="B3653" s="3" t="s">
        <v>47</v>
      </c>
      <c r="C3653" s="9"/>
      <c r="D3653" s="9"/>
      <c r="E3653" s="9"/>
      <c r="F3653" s="9"/>
      <c r="G3653" s="9"/>
      <c r="H3653" s="9"/>
      <c r="I3653" s="9"/>
      <c r="J3653" s="9"/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9"/>
      <c r="AL3653" s="9"/>
      <c r="AM3653" s="9"/>
      <c r="AN3653" s="9"/>
      <c r="AO3653" s="9"/>
    </row>
    <row r="3654" spans="1:41" ht="14.25" x14ac:dyDescent="0.2">
      <c r="A3654" s="2">
        <v>5109120714</v>
      </c>
      <c r="B3654" s="3" t="s">
        <v>73</v>
      </c>
      <c r="C3654" s="9"/>
      <c r="D3654" s="9"/>
      <c r="E3654" s="9"/>
      <c r="F3654" s="9"/>
      <c r="G3654" s="9"/>
      <c r="H3654" s="9"/>
      <c r="I3654" s="9"/>
      <c r="J3654" s="9"/>
      <c r="K3654" s="9"/>
      <c r="L3654" s="9"/>
      <c r="M3654" s="9"/>
      <c r="N3654" s="9"/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9"/>
      <c r="AL3654" s="9"/>
      <c r="AM3654" s="9"/>
      <c r="AN3654" s="9"/>
      <c r="AO3654" s="9"/>
    </row>
    <row r="3655" spans="1:41" ht="14.25" x14ac:dyDescent="0.2">
      <c r="A3655" s="2">
        <v>5109120715</v>
      </c>
      <c r="B3655" s="3" t="s">
        <v>74</v>
      </c>
      <c r="C3655" s="9"/>
      <c r="D3655" s="9"/>
      <c r="E3655" s="9"/>
      <c r="F3655" s="9"/>
      <c r="G3655" s="9"/>
      <c r="H3655" s="9"/>
      <c r="I3655" s="9"/>
      <c r="J3655" s="9"/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9"/>
      <c r="AL3655" s="9"/>
      <c r="AM3655" s="9"/>
      <c r="AN3655" s="9"/>
      <c r="AO3655" s="9"/>
    </row>
    <row r="3656" spans="1:41" ht="14.25" x14ac:dyDescent="0.2">
      <c r="A3656" s="2">
        <v>5109120719</v>
      </c>
      <c r="B3656" s="3" t="s">
        <v>41</v>
      </c>
      <c r="C3656" s="9"/>
      <c r="D3656" s="9"/>
      <c r="E3656" s="9"/>
      <c r="F3656" s="9"/>
      <c r="G3656" s="9"/>
      <c r="H3656" s="9"/>
      <c r="I3656" s="9"/>
      <c r="J3656" s="9"/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  <c r="AE3656" s="9"/>
      <c r="AF3656" s="9"/>
      <c r="AG3656" s="9"/>
      <c r="AH3656" s="9"/>
      <c r="AI3656" s="9"/>
      <c r="AJ3656" s="9"/>
      <c r="AK3656" s="9"/>
      <c r="AL3656" s="9"/>
      <c r="AM3656" s="9"/>
      <c r="AN3656" s="9"/>
      <c r="AO3656" s="9"/>
    </row>
    <row r="3657" spans="1:41" ht="28.5" x14ac:dyDescent="0.2">
      <c r="A3657" s="2">
        <v>51091210</v>
      </c>
      <c r="B3657" s="4" t="s">
        <v>48</v>
      </c>
      <c r="C3657" s="11"/>
      <c r="D3657" s="11"/>
      <c r="E3657" s="11"/>
      <c r="F3657" s="11"/>
      <c r="G3657" s="11"/>
      <c r="H3657" s="11"/>
      <c r="I3657" s="11"/>
      <c r="J3657" s="11"/>
      <c r="K3657" s="11"/>
      <c r="L3657" s="11"/>
      <c r="M3657" s="11"/>
      <c r="N3657" s="11"/>
      <c r="O3657" s="11"/>
      <c r="P3657" s="11"/>
      <c r="Q3657" s="11"/>
      <c r="R3657" s="11"/>
      <c r="S3657" s="11"/>
      <c r="T3657" s="11"/>
      <c r="U3657" s="11"/>
      <c r="V3657" s="11"/>
      <c r="W3657" s="11"/>
      <c r="X3657" s="11"/>
      <c r="Y3657" s="11"/>
      <c r="Z3657" s="11"/>
      <c r="AA3657" s="11"/>
      <c r="AB3657" s="11"/>
      <c r="AC3657" s="11"/>
      <c r="AD3657" s="11"/>
      <c r="AE3657" s="11"/>
      <c r="AF3657" s="11"/>
      <c r="AG3657" s="11"/>
      <c r="AH3657" s="11"/>
      <c r="AI3657" s="11"/>
      <c r="AJ3657" s="11"/>
      <c r="AK3657" s="11"/>
      <c r="AL3657" s="11"/>
      <c r="AM3657" s="11"/>
      <c r="AN3657" s="11"/>
      <c r="AO3657" s="11"/>
    </row>
    <row r="3658" spans="1:41" ht="14.25" x14ac:dyDescent="0.2">
      <c r="A3658" s="2">
        <v>5109121001</v>
      </c>
      <c r="B3658" s="3" t="s">
        <v>55</v>
      </c>
      <c r="C3658" s="9"/>
      <c r="D3658" s="9"/>
      <c r="E3658" s="9"/>
      <c r="F3658" s="9"/>
      <c r="G3658" s="9"/>
      <c r="H3658" s="9"/>
      <c r="I3658" s="9"/>
      <c r="J3658" s="9"/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9"/>
      <c r="AL3658" s="9"/>
      <c r="AM3658" s="9"/>
      <c r="AN3658" s="9"/>
      <c r="AO3658" s="9"/>
    </row>
    <row r="3659" spans="1:41" ht="14.25" x14ac:dyDescent="0.2">
      <c r="A3659" s="2">
        <v>5109121002</v>
      </c>
      <c r="B3659" s="3" t="s">
        <v>61</v>
      </c>
      <c r="C3659" s="9"/>
      <c r="D3659" s="9"/>
      <c r="E3659" s="9"/>
      <c r="F3659" s="9"/>
      <c r="G3659" s="9"/>
      <c r="H3659" s="9"/>
      <c r="I3659" s="9"/>
      <c r="J3659" s="9"/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9"/>
      <c r="AE3659" s="9"/>
      <c r="AF3659" s="9"/>
      <c r="AG3659" s="9"/>
      <c r="AH3659" s="9"/>
      <c r="AI3659" s="9"/>
      <c r="AJ3659" s="9"/>
      <c r="AK3659" s="9"/>
      <c r="AL3659" s="9"/>
      <c r="AM3659" s="9"/>
      <c r="AN3659" s="9"/>
      <c r="AO3659" s="9"/>
    </row>
    <row r="3660" spans="1:41" ht="14.25" x14ac:dyDescent="0.2">
      <c r="A3660" s="2">
        <v>5109121003</v>
      </c>
      <c r="B3660" s="3" t="s">
        <v>62</v>
      </c>
      <c r="C3660" s="9"/>
      <c r="D3660" s="9"/>
      <c r="E3660" s="9"/>
      <c r="F3660" s="9"/>
      <c r="G3660" s="9"/>
      <c r="H3660" s="9"/>
      <c r="I3660" s="9"/>
      <c r="J3660" s="9"/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  <c r="AE3660" s="9"/>
      <c r="AF3660" s="9"/>
      <c r="AG3660" s="9"/>
      <c r="AH3660" s="9"/>
      <c r="AI3660" s="9"/>
      <c r="AJ3660" s="9"/>
      <c r="AK3660" s="9"/>
      <c r="AL3660" s="9"/>
      <c r="AM3660" s="9"/>
      <c r="AN3660" s="9"/>
      <c r="AO3660" s="9"/>
    </row>
    <row r="3661" spans="1:41" ht="14.25" x14ac:dyDescent="0.2">
      <c r="A3661" s="2">
        <v>5109121005</v>
      </c>
      <c r="B3661" s="3" t="s">
        <v>39</v>
      </c>
      <c r="C3661" s="9"/>
      <c r="D3661" s="9"/>
      <c r="E3661" s="9"/>
      <c r="F3661" s="9"/>
      <c r="G3661" s="9"/>
      <c r="H3661" s="9"/>
      <c r="I3661" s="9"/>
      <c r="J3661" s="9"/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  <c r="AH3661" s="9"/>
      <c r="AI3661" s="9"/>
      <c r="AJ3661" s="9"/>
      <c r="AK3661" s="9"/>
      <c r="AL3661" s="9"/>
      <c r="AM3661" s="9"/>
      <c r="AN3661" s="9"/>
      <c r="AO3661" s="9"/>
    </row>
    <row r="3662" spans="1:41" ht="14.25" x14ac:dyDescent="0.2">
      <c r="A3662" s="2">
        <v>5109121006</v>
      </c>
      <c r="B3662" s="3" t="s">
        <v>42</v>
      </c>
      <c r="C3662" s="9"/>
      <c r="D3662" s="9"/>
      <c r="E3662" s="9"/>
      <c r="F3662" s="9"/>
      <c r="G3662" s="9"/>
      <c r="H3662" s="9"/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  <c r="AB3662" s="9"/>
      <c r="AC3662" s="9"/>
      <c r="AD3662" s="9"/>
      <c r="AE3662" s="9"/>
      <c r="AF3662" s="9"/>
      <c r="AG3662" s="9"/>
      <c r="AH3662" s="9"/>
      <c r="AI3662" s="9"/>
      <c r="AJ3662" s="9"/>
      <c r="AK3662" s="9"/>
      <c r="AL3662" s="9"/>
      <c r="AM3662" s="9"/>
      <c r="AN3662" s="9"/>
      <c r="AO3662" s="9"/>
    </row>
    <row r="3663" spans="1:41" ht="14.25" x14ac:dyDescent="0.2">
      <c r="A3663" s="2">
        <v>5109121007</v>
      </c>
      <c r="B3663" s="3" t="s">
        <v>43</v>
      </c>
      <c r="C3663" s="9"/>
      <c r="D3663" s="9"/>
      <c r="E3663" s="9"/>
      <c r="F3663" s="9"/>
      <c r="G3663" s="9"/>
      <c r="H3663" s="9"/>
      <c r="I3663" s="9"/>
      <c r="J3663" s="9"/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  <c r="AE3663" s="9"/>
      <c r="AF3663" s="9"/>
      <c r="AG3663" s="9"/>
      <c r="AH3663" s="9"/>
      <c r="AI3663" s="9"/>
      <c r="AJ3663" s="9"/>
      <c r="AK3663" s="9"/>
      <c r="AL3663" s="9"/>
      <c r="AM3663" s="9"/>
      <c r="AN3663" s="9"/>
      <c r="AO3663" s="9"/>
    </row>
    <row r="3664" spans="1:41" ht="28.5" x14ac:dyDescent="0.2">
      <c r="A3664" s="2">
        <v>51091211</v>
      </c>
      <c r="B3664" s="4" t="s">
        <v>50</v>
      </c>
      <c r="C3664" s="11"/>
      <c r="D3664" s="11"/>
      <c r="E3664" s="11"/>
      <c r="F3664" s="11"/>
      <c r="G3664" s="11"/>
      <c r="H3664" s="11"/>
      <c r="I3664" s="11"/>
      <c r="J3664" s="11"/>
      <c r="K3664" s="11"/>
      <c r="L3664" s="11"/>
      <c r="M3664" s="11"/>
      <c r="N3664" s="11"/>
      <c r="O3664" s="11"/>
      <c r="P3664" s="11"/>
      <c r="Q3664" s="11"/>
      <c r="R3664" s="11"/>
      <c r="S3664" s="11"/>
      <c r="T3664" s="11"/>
      <c r="U3664" s="11"/>
      <c r="V3664" s="11"/>
      <c r="W3664" s="11"/>
      <c r="X3664" s="11"/>
      <c r="Y3664" s="11"/>
      <c r="Z3664" s="11"/>
      <c r="AA3664" s="11"/>
      <c r="AB3664" s="11"/>
      <c r="AC3664" s="11"/>
      <c r="AD3664" s="11"/>
      <c r="AE3664" s="11"/>
      <c r="AF3664" s="11"/>
      <c r="AG3664" s="11"/>
      <c r="AH3664" s="11"/>
      <c r="AI3664" s="11"/>
      <c r="AJ3664" s="11"/>
      <c r="AK3664" s="11"/>
      <c r="AL3664" s="11"/>
      <c r="AM3664" s="11"/>
      <c r="AN3664" s="11"/>
      <c r="AO3664" s="11"/>
    </row>
    <row r="3665" spans="1:41" ht="14.25" x14ac:dyDescent="0.2">
      <c r="A3665" s="2">
        <v>5109121101</v>
      </c>
      <c r="B3665" s="3" t="s">
        <v>55</v>
      </c>
      <c r="C3665" s="9"/>
      <c r="D3665" s="9"/>
      <c r="E3665" s="9"/>
      <c r="F3665" s="9"/>
      <c r="G3665" s="9"/>
      <c r="H3665" s="9"/>
      <c r="I3665" s="9"/>
      <c r="J3665" s="9"/>
      <c r="K3665" s="9"/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9"/>
      <c r="AE3665" s="9"/>
      <c r="AF3665" s="9"/>
      <c r="AG3665" s="9"/>
      <c r="AH3665" s="9"/>
      <c r="AI3665" s="9"/>
      <c r="AJ3665" s="9"/>
      <c r="AK3665" s="9"/>
      <c r="AL3665" s="9"/>
      <c r="AM3665" s="9"/>
      <c r="AN3665" s="9"/>
      <c r="AO3665" s="9"/>
    </row>
    <row r="3666" spans="1:41" ht="14.25" x14ac:dyDescent="0.2">
      <c r="A3666" s="2">
        <v>5109121102</v>
      </c>
      <c r="B3666" s="3" t="s">
        <v>61</v>
      </c>
      <c r="C3666" s="9"/>
      <c r="D3666" s="9"/>
      <c r="E3666" s="9"/>
      <c r="F3666" s="9"/>
      <c r="G3666" s="9"/>
      <c r="H3666" s="9"/>
      <c r="I3666" s="9"/>
      <c r="J3666" s="9"/>
      <c r="K3666" s="9"/>
      <c r="L3666" s="9"/>
      <c r="M3666" s="9"/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9"/>
      <c r="AE3666" s="9"/>
      <c r="AF3666" s="9"/>
      <c r="AG3666" s="9"/>
      <c r="AH3666" s="9"/>
      <c r="AI3666" s="9"/>
      <c r="AJ3666" s="9"/>
      <c r="AK3666" s="9"/>
      <c r="AL3666" s="9"/>
      <c r="AM3666" s="9"/>
      <c r="AN3666" s="9"/>
      <c r="AO3666" s="9"/>
    </row>
    <row r="3667" spans="1:41" ht="14.25" x14ac:dyDescent="0.2">
      <c r="A3667" s="2">
        <v>5109121103</v>
      </c>
      <c r="B3667" s="3" t="s">
        <v>62</v>
      </c>
      <c r="C3667" s="9"/>
      <c r="D3667" s="9"/>
      <c r="E3667" s="9"/>
      <c r="F3667" s="9"/>
      <c r="G3667" s="9"/>
      <c r="H3667" s="9"/>
      <c r="I3667" s="9"/>
      <c r="J3667" s="9"/>
      <c r="K3667" s="9"/>
      <c r="L3667" s="9"/>
      <c r="M3667" s="9"/>
      <c r="N3667" s="9"/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  <c r="AB3667" s="9"/>
      <c r="AC3667" s="9"/>
      <c r="AD3667" s="9"/>
      <c r="AE3667" s="9"/>
      <c r="AF3667" s="9"/>
      <c r="AG3667" s="9"/>
      <c r="AH3667" s="9"/>
      <c r="AI3667" s="9"/>
      <c r="AJ3667" s="9"/>
      <c r="AK3667" s="9"/>
      <c r="AL3667" s="9"/>
      <c r="AM3667" s="9"/>
      <c r="AN3667" s="9"/>
      <c r="AO3667" s="9"/>
    </row>
    <row r="3668" spans="1:41" ht="14.25" x14ac:dyDescent="0.2">
      <c r="A3668" s="2">
        <v>5109121105</v>
      </c>
      <c r="B3668" s="3" t="s">
        <v>39</v>
      </c>
      <c r="C3668" s="9"/>
      <c r="D3668" s="9"/>
      <c r="E3668" s="9"/>
      <c r="F3668" s="9"/>
      <c r="G3668" s="9"/>
      <c r="H3668" s="9"/>
      <c r="I3668" s="9"/>
      <c r="J3668" s="9"/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9"/>
      <c r="AE3668" s="9"/>
      <c r="AF3668" s="9"/>
      <c r="AG3668" s="9"/>
      <c r="AH3668" s="9"/>
      <c r="AI3668" s="9"/>
      <c r="AJ3668" s="9"/>
      <c r="AK3668" s="9"/>
      <c r="AL3668" s="9"/>
      <c r="AM3668" s="9"/>
      <c r="AN3668" s="9"/>
      <c r="AO3668" s="9"/>
    </row>
    <row r="3669" spans="1:41" ht="14.25" x14ac:dyDescent="0.2">
      <c r="A3669" s="2">
        <v>5109121106</v>
      </c>
      <c r="B3669" s="3" t="s">
        <v>42</v>
      </c>
      <c r="C3669" s="9"/>
      <c r="D3669" s="9"/>
      <c r="E3669" s="9"/>
      <c r="F3669" s="9"/>
      <c r="G3669" s="9"/>
      <c r="H3669" s="9"/>
      <c r="I3669" s="9"/>
      <c r="J3669" s="9"/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  <c r="AH3669" s="9"/>
      <c r="AI3669" s="9"/>
      <c r="AJ3669" s="9"/>
      <c r="AK3669" s="9"/>
      <c r="AL3669" s="9"/>
      <c r="AM3669" s="9"/>
      <c r="AN3669" s="9"/>
      <c r="AO3669" s="9"/>
    </row>
    <row r="3670" spans="1:41" ht="14.25" x14ac:dyDescent="0.2">
      <c r="A3670" s="2">
        <v>5109121107</v>
      </c>
      <c r="B3670" s="3" t="s">
        <v>43</v>
      </c>
      <c r="C3670" s="9"/>
      <c r="D3670" s="9"/>
      <c r="E3670" s="9"/>
      <c r="F3670" s="9"/>
      <c r="G3670" s="9"/>
      <c r="H3670" s="9"/>
      <c r="I3670" s="9"/>
      <c r="J3670" s="9"/>
 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  <c r="AE3670" s="9"/>
      <c r="AF3670" s="9"/>
      <c r="AG3670" s="9"/>
      <c r="AH3670" s="9"/>
      <c r="AI3670" s="9"/>
      <c r="AJ3670" s="9"/>
      <c r="AK3670" s="9"/>
      <c r="AL3670" s="9"/>
      <c r="AM3670" s="9"/>
      <c r="AN3670" s="9"/>
      <c r="AO3670" s="9"/>
    </row>
    <row r="3671" spans="1:41" ht="28.5" x14ac:dyDescent="0.2">
      <c r="A3671" s="2">
        <v>51091212</v>
      </c>
      <c r="B3671" s="4" t="s">
        <v>51</v>
      </c>
      <c r="C3671" s="11"/>
      <c r="D3671" s="11"/>
      <c r="E3671" s="11"/>
      <c r="F3671" s="11"/>
      <c r="G3671" s="11"/>
      <c r="H3671" s="11"/>
      <c r="I3671" s="11"/>
      <c r="J3671" s="11"/>
      <c r="K3671" s="11"/>
      <c r="L3671" s="11"/>
      <c r="M3671" s="11"/>
      <c r="N3671" s="11"/>
      <c r="O3671" s="11"/>
      <c r="P3671" s="11"/>
      <c r="Q3671" s="11"/>
      <c r="R3671" s="11"/>
      <c r="S3671" s="11"/>
      <c r="T3671" s="11"/>
      <c r="U3671" s="11"/>
      <c r="V3671" s="11"/>
      <c r="W3671" s="11"/>
      <c r="X3671" s="11"/>
      <c r="Y3671" s="11"/>
      <c r="Z3671" s="11"/>
      <c r="AA3671" s="11"/>
      <c r="AB3671" s="11"/>
      <c r="AC3671" s="11"/>
      <c r="AD3671" s="11"/>
      <c r="AE3671" s="11"/>
      <c r="AF3671" s="11"/>
      <c r="AG3671" s="11"/>
      <c r="AH3671" s="11"/>
      <c r="AI3671" s="11"/>
      <c r="AJ3671" s="11"/>
      <c r="AK3671" s="11"/>
      <c r="AL3671" s="11"/>
      <c r="AM3671" s="11"/>
      <c r="AN3671" s="11"/>
      <c r="AO3671" s="11"/>
    </row>
    <row r="3672" spans="1:41" ht="14.25" x14ac:dyDescent="0.2">
      <c r="A3672" s="2">
        <v>5109121201</v>
      </c>
      <c r="B3672" s="3" t="s">
        <v>55</v>
      </c>
      <c r="C3672" s="9"/>
      <c r="D3672" s="9"/>
      <c r="E3672" s="9"/>
      <c r="F3672" s="9"/>
      <c r="G3672" s="9"/>
      <c r="H3672" s="9"/>
      <c r="I3672" s="9"/>
      <c r="J3672" s="9"/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9"/>
      <c r="AL3672" s="9"/>
      <c r="AM3672" s="9"/>
      <c r="AN3672" s="9"/>
      <c r="AO3672" s="9"/>
    </row>
    <row r="3673" spans="1:41" ht="14.25" x14ac:dyDescent="0.2">
      <c r="A3673" s="2">
        <v>5109121202</v>
      </c>
      <c r="B3673" s="3" t="s">
        <v>61</v>
      </c>
      <c r="C3673" s="9"/>
      <c r="D3673" s="9"/>
      <c r="E3673" s="9"/>
      <c r="F3673" s="9"/>
      <c r="G3673" s="9"/>
      <c r="H3673" s="9"/>
      <c r="I3673" s="9"/>
      <c r="J3673" s="9"/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9"/>
      <c r="AL3673" s="9"/>
      <c r="AM3673" s="9"/>
      <c r="AN3673" s="9"/>
      <c r="AO3673" s="9"/>
    </row>
    <row r="3674" spans="1:41" ht="14.25" x14ac:dyDescent="0.2">
      <c r="A3674" s="2">
        <v>5109121203</v>
      </c>
      <c r="B3674" s="3" t="s">
        <v>62</v>
      </c>
      <c r="C3674" s="9"/>
      <c r="D3674" s="9"/>
      <c r="E3674" s="9"/>
      <c r="F3674" s="9"/>
      <c r="G3674" s="9"/>
      <c r="H3674" s="9"/>
      <c r="I3674" s="9"/>
      <c r="J3674" s="9"/>
      <c r="K3674" s="9"/>
      <c r="L3674" s="9"/>
      <c r="M3674" s="9"/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  <c r="AE3674" s="9"/>
      <c r="AF3674" s="9"/>
      <c r="AG3674" s="9"/>
      <c r="AH3674" s="9"/>
      <c r="AI3674" s="9"/>
      <c r="AJ3674" s="9"/>
      <c r="AK3674" s="9"/>
      <c r="AL3674" s="9"/>
      <c r="AM3674" s="9"/>
      <c r="AN3674" s="9"/>
      <c r="AO3674" s="9"/>
    </row>
    <row r="3675" spans="1:41" ht="14.25" x14ac:dyDescent="0.2">
      <c r="A3675" s="2">
        <v>5109121205</v>
      </c>
      <c r="B3675" s="3" t="s">
        <v>39</v>
      </c>
      <c r="C3675" s="9"/>
      <c r="D3675" s="9"/>
      <c r="E3675" s="9"/>
      <c r="F3675" s="9"/>
      <c r="G3675" s="9"/>
      <c r="H3675" s="9"/>
      <c r="I3675" s="9"/>
      <c r="J3675" s="9"/>
      <c r="K3675" s="9"/>
      <c r="L3675" s="9"/>
      <c r="M3675" s="9"/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  <c r="AE3675" s="9"/>
      <c r="AF3675" s="9"/>
      <c r="AG3675" s="9"/>
      <c r="AH3675" s="9"/>
      <c r="AI3675" s="9"/>
      <c r="AJ3675" s="9"/>
      <c r="AK3675" s="9"/>
      <c r="AL3675" s="9"/>
      <c r="AM3675" s="9"/>
      <c r="AN3675" s="9"/>
      <c r="AO3675" s="9"/>
    </row>
    <row r="3676" spans="1:41" ht="14.25" x14ac:dyDescent="0.2">
      <c r="A3676" s="2">
        <v>5109121206</v>
      </c>
      <c r="B3676" s="3" t="s">
        <v>42</v>
      </c>
      <c r="C3676" s="9"/>
      <c r="D3676" s="9"/>
      <c r="E3676" s="9"/>
      <c r="F3676" s="9"/>
      <c r="G3676" s="9"/>
      <c r="H3676" s="9"/>
      <c r="I3676" s="9"/>
      <c r="J3676" s="9"/>
      <c r="K3676" s="9"/>
      <c r="L3676" s="9"/>
      <c r="M3676" s="9"/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9"/>
      <c r="AD3676" s="9"/>
      <c r="AE3676" s="9"/>
      <c r="AF3676" s="9"/>
      <c r="AG3676" s="9"/>
      <c r="AH3676" s="9"/>
      <c r="AI3676" s="9"/>
      <c r="AJ3676" s="9"/>
      <c r="AK3676" s="9"/>
      <c r="AL3676" s="9"/>
      <c r="AM3676" s="9"/>
      <c r="AN3676" s="9"/>
      <c r="AO3676" s="9"/>
    </row>
    <row r="3677" spans="1:41" ht="14.25" x14ac:dyDescent="0.2">
      <c r="A3677" s="2">
        <v>5109121207</v>
      </c>
      <c r="B3677" s="3" t="s">
        <v>43</v>
      </c>
      <c r="C3677" s="9"/>
      <c r="D3677" s="9"/>
      <c r="E3677" s="9"/>
      <c r="F3677" s="9"/>
      <c r="G3677" s="9"/>
      <c r="H3677" s="9"/>
      <c r="I3677" s="9"/>
      <c r="J3677" s="9"/>
      <c r="K3677" s="9"/>
      <c r="L3677" s="9"/>
      <c r="M3677" s="9"/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  <c r="AH3677" s="9"/>
      <c r="AI3677" s="9"/>
      <c r="AJ3677" s="9"/>
      <c r="AK3677" s="9"/>
      <c r="AL3677" s="9"/>
      <c r="AM3677" s="9"/>
      <c r="AN3677" s="9"/>
      <c r="AO3677" s="9"/>
    </row>
    <row r="3678" spans="1:41" ht="14.25" x14ac:dyDescent="0.2">
      <c r="A3678" s="2">
        <v>51091219</v>
      </c>
      <c r="B3678" s="3" t="s">
        <v>59</v>
      </c>
      <c r="C3678" s="9"/>
      <c r="D3678" s="9"/>
      <c r="E3678" s="9"/>
      <c r="F3678" s="9"/>
      <c r="G3678" s="9"/>
      <c r="H3678" s="9"/>
      <c r="I3678" s="9"/>
      <c r="J3678" s="9"/>
      <c r="K3678" s="9"/>
      <c r="L3678" s="9"/>
      <c r="M3678" s="9"/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9"/>
      <c r="AE3678" s="9"/>
      <c r="AF3678" s="9"/>
      <c r="AG3678" s="9"/>
      <c r="AH3678" s="9"/>
      <c r="AI3678" s="9"/>
      <c r="AJ3678" s="9"/>
      <c r="AK3678" s="9"/>
      <c r="AL3678" s="9"/>
      <c r="AM3678" s="9"/>
      <c r="AN3678" s="9"/>
      <c r="AO3678" s="9"/>
    </row>
    <row r="3679" spans="1:41" ht="28.5" x14ac:dyDescent="0.2">
      <c r="A3679" s="2">
        <v>510913</v>
      </c>
      <c r="B3679" s="4" t="s">
        <v>914</v>
      </c>
      <c r="C3679" s="11"/>
      <c r="D3679" s="11"/>
      <c r="E3679" s="11"/>
      <c r="F3679" s="11"/>
      <c r="G3679" s="11"/>
      <c r="H3679" s="11"/>
      <c r="I3679" s="11"/>
      <c r="J3679" s="11"/>
      <c r="K3679" s="11"/>
      <c r="L3679" s="11"/>
      <c r="M3679" s="11"/>
      <c r="N3679" s="11"/>
      <c r="O3679" s="11"/>
      <c r="P3679" s="11"/>
      <c r="Q3679" s="11"/>
      <c r="R3679" s="11"/>
      <c r="S3679" s="11"/>
      <c r="T3679" s="11"/>
      <c r="U3679" s="11"/>
      <c r="V3679" s="11"/>
      <c r="W3679" s="11"/>
      <c r="X3679" s="11"/>
      <c r="Y3679" s="11"/>
      <c r="Z3679" s="11"/>
      <c r="AA3679" s="11"/>
      <c r="AB3679" s="11"/>
      <c r="AC3679" s="11"/>
      <c r="AD3679" s="11"/>
      <c r="AE3679" s="11"/>
      <c r="AF3679" s="11"/>
      <c r="AG3679" s="11"/>
      <c r="AH3679" s="11"/>
      <c r="AI3679" s="11"/>
      <c r="AJ3679" s="11"/>
      <c r="AK3679" s="11"/>
      <c r="AL3679" s="11"/>
      <c r="AM3679" s="11"/>
      <c r="AN3679" s="11"/>
      <c r="AO3679" s="11"/>
    </row>
    <row r="3680" spans="1:41" ht="14.25" x14ac:dyDescent="0.2">
      <c r="A3680" s="2">
        <v>51091305</v>
      </c>
      <c r="B3680" s="3" t="s">
        <v>39</v>
      </c>
      <c r="C3680" s="9"/>
      <c r="D3680" s="9"/>
      <c r="E3680" s="9"/>
      <c r="F3680" s="9"/>
      <c r="G3680" s="9"/>
      <c r="H3680" s="9"/>
      <c r="I3680" s="9"/>
      <c r="J3680" s="9"/>
      <c r="K3680" s="9"/>
      <c r="L3680" s="9"/>
      <c r="M3680" s="9"/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9"/>
      <c r="AE3680" s="9"/>
      <c r="AF3680" s="9"/>
      <c r="AG3680" s="9"/>
      <c r="AH3680" s="9"/>
      <c r="AI3680" s="9"/>
      <c r="AJ3680" s="9"/>
      <c r="AK3680" s="9"/>
      <c r="AL3680" s="9"/>
      <c r="AM3680" s="9"/>
      <c r="AN3680" s="9"/>
      <c r="AO3680" s="9"/>
    </row>
    <row r="3681" spans="1:41" ht="14.25" x14ac:dyDescent="0.2">
      <c r="A3681" s="2">
        <v>5109130501</v>
      </c>
      <c r="B3681" s="3" t="s">
        <v>40</v>
      </c>
      <c r="C3681" s="9"/>
      <c r="D3681" s="9"/>
      <c r="E3681" s="9"/>
      <c r="F3681" s="9"/>
      <c r="G3681" s="9"/>
      <c r="H3681" s="9"/>
      <c r="I3681" s="9"/>
      <c r="J3681" s="9"/>
      <c r="K3681" s="9"/>
      <c r="L3681" s="9"/>
      <c r="M3681" s="9"/>
      <c r="N3681" s="9"/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  <c r="AB3681" s="9"/>
      <c r="AC3681" s="9"/>
      <c r="AD3681" s="9"/>
      <c r="AE3681" s="9"/>
      <c r="AF3681" s="9"/>
      <c r="AG3681" s="9"/>
      <c r="AH3681" s="9"/>
      <c r="AI3681" s="9"/>
      <c r="AJ3681" s="9"/>
      <c r="AK3681" s="9"/>
      <c r="AL3681" s="9"/>
      <c r="AM3681" s="9"/>
      <c r="AN3681" s="9"/>
      <c r="AO3681" s="9"/>
    </row>
    <row r="3682" spans="1:41" ht="14.25" x14ac:dyDescent="0.2">
      <c r="A3682" s="2">
        <v>5109130519</v>
      </c>
      <c r="B3682" s="3" t="s">
        <v>41</v>
      </c>
      <c r="C3682" s="9"/>
      <c r="D3682" s="9"/>
      <c r="E3682" s="9"/>
      <c r="F3682" s="9"/>
      <c r="G3682" s="9"/>
      <c r="H3682" s="9"/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9"/>
      <c r="AE3682" s="9"/>
      <c r="AF3682" s="9"/>
      <c r="AG3682" s="9"/>
      <c r="AH3682" s="9"/>
      <c r="AI3682" s="9"/>
      <c r="AJ3682" s="9"/>
      <c r="AK3682" s="9"/>
      <c r="AL3682" s="9"/>
      <c r="AM3682" s="9"/>
      <c r="AN3682" s="9"/>
      <c r="AO3682" s="9"/>
    </row>
    <row r="3683" spans="1:41" ht="14.25" x14ac:dyDescent="0.2">
      <c r="A3683" s="2">
        <v>51091306</v>
      </c>
      <c r="B3683" s="3" t="s">
        <v>42</v>
      </c>
      <c r="C3683" s="9"/>
      <c r="D3683" s="9"/>
      <c r="E3683" s="9"/>
      <c r="F3683" s="9"/>
      <c r="G3683" s="9"/>
      <c r="H3683" s="9"/>
      <c r="I3683" s="9"/>
      <c r="J3683" s="9"/>
      <c r="K3683" s="9"/>
      <c r="L3683" s="9"/>
      <c r="M3683" s="9"/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9"/>
      <c r="AL3683" s="9"/>
      <c r="AM3683" s="9"/>
      <c r="AN3683" s="9"/>
      <c r="AO3683" s="9"/>
    </row>
    <row r="3684" spans="1:41" ht="14.25" x14ac:dyDescent="0.2">
      <c r="A3684" s="2">
        <v>5109130601</v>
      </c>
      <c r="B3684" s="3" t="s">
        <v>40</v>
      </c>
      <c r="C3684" s="9"/>
      <c r="D3684" s="9"/>
      <c r="E3684" s="9"/>
      <c r="F3684" s="9"/>
      <c r="G3684" s="9"/>
      <c r="H3684" s="9"/>
      <c r="I3684" s="9"/>
      <c r="J3684" s="9"/>
      <c r="K3684" s="9"/>
      <c r="L3684" s="9"/>
      <c r="M3684" s="9"/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9"/>
      <c r="AL3684" s="9"/>
      <c r="AM3684" s="9"/>
      <c r="AN3684" s="9"/>
      <c r="AO3684" s="9"/>
    </row>
    <row r="3685" spans="1:41" ht="14.25" x14ac:dyDescent="0.2">
      <c r="A3685" s="2">
        <v>5109130619</v>
      </c>
      <c r="B3685" s="3" t="s">
        <v>41</v>
      </c>
      <c r="C3685" s="9"/>
      <c r="D3685" s="9"/>
      <c r="E3685" s="9"/>
      <c r="F3685" s="9"/>
      <c r="G3685" s="9"/>
      <c r="H3685" s="9"/>
      <c r="I3685" s="9"/>
      <c r="J3685" s="9"/>
      <c r="K3685" s="9"/>
      <c r="L3685" s="9"/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9"/>
      <c r="AL3685" s="9"/>
      <c r="AM3685" s="9"/>
      <c r="AN3685" s="9"/>
      <c r="AO3685" s="9"/>
    </row>
    <row r="3686" spans="1:41" ht="14.25" x14ac:dyDescent="0.2">
      <c r="A3686" s="2">
        <v>51091307</v>
      </c>
      <c r="B3686" s="3" t="s">
        <v>43</v>
      </c>
      <c r="C3686" s="9"/>
      <c r="D3686" s="9"/>
      <c r="E3686" s="9"/>
      <c r="F3686" s="9"/>
      <c r="G3686" s="9"/>
      <c r="H3686" s="9"/>
      <c r="I3686" s="9"/>
      <c r="J3686" s="9"/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9"/>
      <c r="AE3686" s="9"/>
      <c r="AF3686" s="9"/>
      <c r="AG3686" s="9"/>
      <c r="AH3686" s="9"/>
      <c r="AI3686" s="9"/>
      <c r="AJ3686" s="9"/>
      <c r="AK3686" s="9"/>
      <c r="AL3686" s="9"/>
      <c r="AM3686" s="9"/>
      <c r="AN3686" s="9"/>
      <c r="AO3686" s="9"/>
    </row>
    <row r="3687" spans="1:41" ht="14.25" x14ac:dyDescent="0.2">
      <c r="A3687" s="2">
        <v>5109130701</v>
      </c>
      <c r="B3687" s="3" t="s">
        <v>40</v>
      </c>
      <c r="C3687" s="9"/>
      <c r="D3687" s="9"/>
      <c r="E3687" s="9"/>
      <c r="F3687" s="9"/>
      <c r="G3687" s="9"/>
      <c r="H3687" s="9"/>
      <c r="I3687" s="9"/>
      <c r="J3687" s="9"/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  <c r="AE3687" s="9"/>
      <c r="AF3687" s="9"/>
      <c r="AG3687" s="9"/>
      <c r="AH3687" s="9"/>
      <c r="AI3687" s="9"/>
      <c r="AJ3687" s="9"/>
      <c r="AK3687" s="9"/>
      <c r="AL3687" s="9"/>
      <c r="AM3687" s="9"/>
      <c r="AN3687" s="9"/>
      <c r="AO3687" s="9"/>
    </row>
    <row r="3688" spans="1:41" ht="14.25" x14ac:dyDescent="0.2">
      <c r="A3688" s="2">
        <v>5109130702</v>
      </c>
      <c r="B3688" s="3" t="s">
        <v>44</v>
      </c>
      <c r="C3688" s="9"/>
      <c r="D3688" s="9"/>
      <c r="E3688" s="9"/>
      <c r="F3688" s="9"/>
      <c r="G3688" s="9"/>
      <c r="H3688" s="9"/>
      <c r="I3688" s="9"/>
      <c r="J3688" s="9"/>
      <c r="K3688" s="9"/>
      <c r="L3688" s="9"/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9"/>
      <c r="AE3688" s="9"/>
      <c r="AF3688" s="9"/>
      <c r="AG3688" s="9"/>
      <c r="AH3688" s="9"/>
      <c r="AI3688" s="9"/>
      <c r="AJ3688" s="9"/>
      <c r="AK3688" s="9"/>
      <c r="AL3688" s="9"/>
      <c r="AM3688" s="9"/>
      <c r="AN3688" s="9"/>
      <c r="AO3688" s="9"/>
    </row>
    <row r="3689" spans="1:41" ht="14.25" x14ac:dyDescent="0.2">
      <c r="A3689" s="2">
        <v>5109130705</v>
      </c>
      <c r="B3689" s="3" t="s">
        <v>46</v>
      </c>
      <c r="C3689" s="9"/>
      <c r="D3689" s="9"/>
      <c r="E3689" s="9"/>
      <c r="F3689" s="9"/>
      <c r="G3689" s="9"/>
      <c r="H3689" s="9"/>
      <c r="I3689" s="9"/>
      <c r="J3689" s="9"/>
      <c r="K3689" s="9"/>
      <c r="L3689" s="9"/>
      <c r="M3689" s="9"/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9"/>
      <c r="AL3689" s="9"/>
      <c r="AM3689" s="9"/>
      <c r="AN3689" s="9"/>
      <c r="AO3689" s="9"/>
    </row>
    <row r="3690" spans="1:41" ht="14.25" x14ac:dyDescent="0.2">
      <c r="A3690" s="2">
        <v>5109130706</v>
      </c>
      <c r="B3690" s="3" t="s">
        <v>45</v>
      </c>
      <c r="C3690" s="9"/>
      <c r="D3690" s="9"/>
      <c r="E3690" s="9"/>
      <c r="F3690" s="9"/>
      <c r="G3690" s="9"/>
      <c r="H3690" s="9"/>
      <c r="I3690" s="9"/>
      <c r="J3690" s="9"/>
      <c r="K3690" s="9"/>
      <c r="L3690" s="9"/>
      <c r="M3690" s="9"/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  <c r="AE3690" s="9"/>
      <c r="AF3690" s="9"/>
      <c r="AG3690" s="9"/>
      <c r="AH3690" s="9"/>
      <c r="AI3690" s="9"/>
      <c r="AJ3690" s="9"/>
      <c r="AK3690" s="9"/>
      <c r="AL3690" s="9"/>
      <c r="AM3690" s="9"/>
      <c r="AN3690" s="9"/>
      <c r="AO3690" s="9"/>
    </row>
    <row r="3691" spans="1:41" ht="14.25" x14ac:dyDescent="0.2">
      <c r="A3691" s="2">
        <v>5109130712</v>
      </c>
      <c r="B3691" s="3" t="s">
        <v>47</v>
      </c>
      <c r="C3691" s="9"/>
      <c r="D3691" s="9"/>
      <c r="E3691" s="9"/>
      <c r="F3691" s="9"/>
      <c r="G3691" s="9"/>
      <c r="H3691" s="9"/>
      <c r="I3691" s="9"/>
      <c r="J3691" s="9"/>
      <c r="K3691" s="9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9"/>
      <c r="AI3691" s="9"/>
      <c r="AJ3691" s="9"/>
      <c r="AK3691" s="9"/>
      <c r="AL3691" s="9"/>
      <c r="AM3691" s="9"/>
      <c r="AN3691" s="9"/>
      <c r="AO3691" s="9"/>
    </row>
    <row r="3692" spans="1:41" ht="14.25" x14ac:dyDescent="0.2">
      <c r="A3692" s="2">
        <v>5109130719</v>
      </c>
      <c r="B3692" s="3" t="s">
        <v>41</v>
      </c>
      <c r="C3692" s="9"/>
      <c r="D3692" s="9"/>
      <c r="E3692" s="9"/>
      <c r="F3692" s="9"/>
      <c r="G3692" s="9"/>
      <c r="H3692" s="9"/>
      <c r="I3692" s="9"/>
      <c r="J3692" s="9"/>
      <c r="K3692" s="9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9"/>
      <c r="AE3692" s="9"/>
      <c r="AF3692" s="9"/>
      <c r="AG3692" s="9"/>
      <c r="AH3692" s="9"/>
      <c r="AI3692" s="9"/>
      <c r="AJ3692" s="9"/>
      <c r="AK3692" s="9"/>
      <c r="AL3692" s="9"/>
      <c r="AM3692" s="9"/>
      <c r="AN3692" s="9"/>
      <c r="AO3692" s="9"/>
    </row>
    <row r="3693" spans="1:41" ht="28.5" x14ac:dyDescent="0.2">
      <c r="A3693" s="2">
        <v>51091310</v>
      </c>
      <c r="B3693" s="4" t="s">
        <v>48</v>
      </c>
      <c r="C3693" s="11"/>
      <c r="D3693" s="11"/>
      <c r="E3693" s="11"/>
      <c r="F3693" s="11"/>
      <c r="G3693" s="11"/>
      <c r="H3693" s="11"/>
      <c r="I3693" s="11"/>
      <c r="J3693" s="11"/>
      <c r="K3693" s="11"/>
      <c r="L3693" s="11"/>
      <c r="M3693" s="11"/>
      <c r="N3693" s="11"/>
      <c r="O3693" s="11"/>
      <c r="P3693" s="11"/>
      <c r="Q3693" s="11"/>
      <c r="R3693" s="11"/>
      <c r="S3693" s="11"/>
      <c r="T3693" s="11"/>
      <c r="U3693" s="11"/>
      <c r="V3693" s="11"/>
      <c r="W3693" s="11"/>
      <c r="X3693" s="11"/>
      <c r="Y3693" s="11"/>
      <c r="Z3693" s="11"/>
      <c r="AA3693" s="11"/>
      <c r="AB3693" s="11"/>
      <c r="AC3693" s="11"/>
      <c r="AD3693" s="11"/>
      <c r="AE3693" s="11"/>
      <c r="AF3693" s="11"/>
      <c r="AG3693" s="11"/>
      <c r="AH3693" s="11"/>
      <c r="AI3693" s="11"/>
      <c r="AJ3693" s="11"/>
      <c r="AK3693" s="11"/>
      <c r="AL3693" s="11"/>
      <c r="AM3693" s="11"/>
      <c r="AN3693" s="11"/>
      <c r="AO3693" s="11"/>
    </row>
    <row r="3694" spans="1:41" ht="14.25" x14ac:dyDescent="0.2">
      <c r="A3694" s="2">
        <v>5109131005</v>
      </c>
      <c r="B3694" s="3" t="s">
        <v>39</v>
      </c>
      <c r="C3694" s="9"/>
      <c r="D3694" s="9"/>
      <c r="E3694" s="9"/>
      <c r="F3694" s="9"/>
      <c r="G3694" s="9"/>
      <c r="H3694" s="9"/>
      <c r="I3694" s="9"/>
      <c r="J3694" s="9"/>
      <c r="K3694" s="9"/>
      <c r="L3694" s="9"/>
      <c r="M3694" s="9"/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9"/>
      <c r="AE3694" s="9"/>
      <c r="AF3694" s="9"/>
      <c r="AG3694" s="9"/>
      <c r="AH3694" s="9"/>
      <c r="AI3694" s="9"/>
      <c r="AJ3694" s="9"/>
      <c r="AK3694" s="9"/>
      <c r="AL3694" s="9"/>
      <c r="AM3694" s="9"/>
      <c r="AN3694" s="9"/>
      <c r="AO3694" s="9"/>
    </row>
    <row r="3695" spans="1:41" ht="14.25" x14ac:dyDescent="0.2">
      <c r="A3695" s="2">
        <v>5109131006</v>
      </c>
      <c r="B3695" s="3" t="s">
        <v>42</v>
      </c>
      <c r="C3695" s="9"/>
      <c r="D3695" s="9"/>
      <c r="E3695" s="9"/>
      <c r="F3695" s="9"/>
      <c r="G3695" s="9"/>
      <c r="H3695" s="9"/>
      <c r="I3695" s="9"/>
      <c r="J3695" s="9"/>
      <c r="K3695" s="9"/>
      <c r="L3695" s="9"/>
      <c r="M3695" s="9"/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9"/>
      <c r="AL3695" s="9"/>
      <c r="AM3695" s="9"/>
      <c r="AN3695" s="9"/>
      <c r="AO3695" s="9"/>
    </row>
    <row r="3696" spans="1:41" ht="14.25" x14ac:dyDescent="0.2">
      <c r="A3696" s="2">
        <v>5109131007</v>
      </c>
      <c r="B3696" s="3" t="s">
        <v>43</v>
      </c>
      <c r="C3696" s="9"/>
      <c r="D3696" s="9"/>
      <c r="E3696" s="9"/>
      <c r="F3696" s="9"/>
      <c r="G3696" s="9"/>
      <c r="H3696" s="9"/>
      <c r="I3696" s="9"/>
      <c r="J3696" s="9"/>
      <c r="K3696" s="9"/>
      <c r="L3696" s="9"/>
      <c r="M3696" s="9"/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  <c r="AH3696" s="9"/>
      <c r="AI3696" s="9"/>
      <c r="AJ3696" s="9"/>
      <c r="AK3696" s="9"/>
      <c r="AL3696" s="9"/>
      <c r="AM3696" s="9"/>
      <c r="AN3696" s="9"/>
      <c r="AO3696" s="9"/>
    </row>
    <row r="3697" spans="1:41" ht="28.5" x14ac:dyDescent="0.2">
      <c r="A3697" s="2">
        <v>51091311</v>
      </c>
      <c r="B3697" s="4" t="s">
        <v>50</v>
      </c>
      <c r="C3697" s="11"/>
      <c r="D3697" s="11"/>
      <c r="E3697" s="11"/>
      <c r="F3697" s="11"/>
      <c r="G3697" s="11"/>
      <c r="H3697" s="11"/>
      <c r="I3697" s="11"/>
      <c r="J3697" s="11"/>
      <c r="K3697" s="11"/>
      <c r="L3697" s="11"/>
      <c r="M3697" s="11"/>
      <c r="N3697" s="11"/>
      <c r="O3697" s="11"/>
      <c r="P3697" s="11"/>
      <c r="Q3697" s="11"/>
      <c r="R3697" s="11"/>
      <c r="S3697" s="11"/>
      <c r="T3697" s="11"/>
      <c r="U3697" s="11"/>
      <c r="V3697" s="11"/>
      <c r="W3697" s="11"/>
      <c r="X3697" s="11"/>
      <c r="Y3697" s="11"/>
      <c r="Z3697" s="11"/>
      <c r="AA3697" s="11"/>
      <c r="AB3697" s="11"/>
      <c r="AC3697" s="11"/>
      <c r="AD3697" s="11"/>
      <c r="AE3697" s="11"/>
      <c r="AF3697" s="11"/>
      <c r="AG3697" s="11"/>
      <c r="AH3697" s="11"/>
      <c r="AI3697" s="11"/>
      <c r="AJ3697" s="11"/>
      <c r="AK3697" s="11"/>
      <c r="AL3697" s="11"/>
      <c r="AM3697" s="11"/>
      <c r="AN3697" s="11"/>
      <c r="AO3697" s="11"/>
    </row>
    <row r="3698" spans="1:41" ht="14.25" x14ac:dyDescent="0.2">
      <c r="A3698" s="2">
        <v>5109131105</v>
      </c>
      <c r="B3698" s="3" t="s">
        <v>39</v>
      </c>
      <c r="C3698" s="9"/>
      <c r="D3698" s="9"/>
      <c r="E3698" s="9"/>
      <c r="F3698" s="9"/>
      <c r="G3698" s="9"/>
      <c r="H3698" s="9"/>
      <c r="I3698" s="9"/>
      <c r="J3698" s="9"/>
      <c r="K3698" s="9"/>
      <c r="L3698" s="9"/>
      <c r="M3698" s="9"/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9"/>
      <c r="AE3698" s="9"/>
      <c r="AF3698" s="9"/>
      <c r="AG3698" s="9"/>
      <c r="AH3698" s="9"/>
      <c r="AI3698" s="9"/>
      <c r="AJ3698" s="9"/>
      <c r="AK3698" s="9"/>
      <c r="AL3698" s="9"/>
      <c r="AM3698" s="9"/>
      <c r="AN3698" s="9"/>
      <c r="AO3698" s="9"/>
    </row>
    <row r="3699" spans="1:41" ht="14.25" x14ac:dyDescent="0.2">
      <c r="A3699" s="2">
        <v>5109131106</v>
      </c>
      <c r="B3699" s="3" t="s">
        <v>42</v>
      </c>
      <c r="C3699" s="9"/>
      <c r="D3699" s="9"/>
      <c r="E3699" s="9"/>
      <c r="F3699" s="9"/>
      <c r="G3699" s="9"/>
      <c r="H3699" s="9"/>
      <c r="I3699" s="9"/>
      <c r="J3699" s="9"/>
      <c r="K3699" s="9"/>
      <c r="L3699" s="9"/>
      <c r="M3699" s="9"/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9"/>
      <c r="AG3699" s="9"/>
      <c r="AH3699" s="9"/>
      <c r="AI3699" s="9"/>
      <c r="AJ3699" s="9"/>
      <c r="AK3699" s="9"/>
      <c r="AL3699" s="9"/>
      <c r="AM3699" s="9"/>
      <c r="AN3699" s="9"/>
      <c r="AO3699" s="9"/>
    </row>
    <row r="3700" spans="1:41" ht="14.25" x14ac:dyDescent="0.2">
      <c r="A3700" s="2">
        <v>5109131107</v>
      </c>
      <c r="B3700" s="3" t="s">
        <v>43</v>
      </c>
      <c r="C3700" s="9"/>
      <c r="D3700" s="9"/>
      <c r="E3700" s="9"/>
      <c r="F3700" s="9"/>
      <c r="G3700" s="9"/>
      <c r="H3700" s="9"/>
      <c r="I3700" s="9"/>
      <c r="J3700" s="9"/>
      <c r="K3700" s="9"/>
      <c r="L3700" s="9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9"/>
      <c r="AE3700" s="9"/>
      <c r="AF3700" s="9"/>
      <c r="AG3700" s="9"/>
      <c r="AH3700" s="9"/>
      <c r="AI3700" s="9"/>
      <c r="AJ3700" s="9"/>
      <c r="AK3700" s="9"/>
      <c r="AL3700" s="9"/>
      <c r="AM3700" s="9"/>
      <c r="AN3700" s="9"/>
      <c r="AO3700" s="9"/>
    </row>
    <row r="3701" spans="1:41" ht="28.5" x14ac:dyDescent="0.2">
      <c r="A3701" s="2">
        <v>51091312</v>
      </c>
      <c r="B3701" s="4" t="s">
        <v>51</v>
      </c>
      <c r="C3701" s="11"/>
      <c r="D3701" s="11"/>
      <c r="E3701" s="11"/>
      <c r="F3701" s="11"/>
      <c r="G3701" s="11"/>
      <c r="H3701" s="11"/>
      <c r="I3701" s="11"/>
      <c r="J3701" s="11"/>
      <c r="K3701" s="11"/>
      <c r="L3701" s="11"/>
      <c r="M3701" s="11"/>
      <c r="N3701" s="11"/>
      <c r="O3701" s="11"/>
      <c r="P3701" s="11"/>
      <c r="Q3701" s="11"/>
      <c r="R3701" s="11"/>
      <c r="S3701" s="11"/>
      <c r="T3701" s="11"/>
      <c r="U3701" s="11"/>
      <c r="V3701" s="11"/>
      <c r="W3701" s="11"/>
      <c r="X3701" s="11"/>
      <c r="Y3701" s="11"/>
      <c r="Z3701" s="11"/>
      <c r="AA3701" s="11"/>
      <c r="AB3701" s="11"/>
      <c r="AC3701" s="11"/>
      <c r="AD3701" s="11"/>
      <c r="AE3701" s="11"/>
      <c r="AF3701" s="11"/>
      <c r="AG3701" s="11"/>
      <c r="AH3701" s="11"/>
      <c r="AI3701" s="11"/>
      <c r="AJ3701" s="11"/>
      <c r="AK3701" s="11"/>
      <c r="AL3701" s="11"/>
      <c r="AM3701" s="11"/>
      <c r="AN3701" s="11"/>
      <c r="AO3701" s="11"/>
    </row>
    <row r="3702" spans="1:41" ht="14.25" x14ac:dyDescent="0.2">
      <c r="A3702" s="2">
        <v>5109131205</v>
      </c>
      <c r="B3702" s="3" t="s">
        <v>39</v>
      </c>
      <c r="C3702" s="9"/>
      <c r="D3702" s="9"/>
      <c r="E3702" s="9"/>
      <c r="F3702" s="9"/>
      <c r="G3702" s="9"/>
      <c r="H3702" s="9"/>
      <c r="I3702" s="9"/>
      <c r="J3702" s="9"/>
      <c r="K3702" s="9"/>
      <c r="L3702" s="9"/>
      <c r="M3702" s="9"/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9"/>
      <c r="AI3702" s="9"/>
      <c r="AJ3702" s="9"/>
      <c r="AK3702" s="9"/>
      <c r="AL3702" s="9"/>
      <c r="AM3702" s="9"/>
      <c r="AN3702" s="9"/>
      <c r="AO3702" s="9"/>
    </row>
    <row r="3703" spans="1:41" ht="14.25" x14ac:dyDescent="0.2">
      <c r="A3703" s="2">
        <v>5109131206</v>
      </c>
      <c r="B3703" s="3" t="s">
        <v>42</v>
      </c>
      <c r="C3703" s="9"/>
      <c r="D3703" s="9"/>
      <c r="E3703" s="9"/>
      <c r="F3703" s="9"/>
      <c r="G3703" s="9"/>
      <c r="H3703" s="9"/>
      <c r="I3703" s="9"/>
      <c r="J3703" s="9"/>
      <c r="K3703" s="9"/>
      <c r="L3703" s="9"/>
      <c r="M3703" s="9"/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9"/>
      <c r="AL3703" s="9"/>
      <c r="AM3703" s="9"/>
      <c r="AN3703" s="9"/>
      <c r="AO3703" s="9"/>
    </row>
    <row r="3704" spans="1:41" ht="14.25" x14ac:dyDescent="0.2">
      <c r="A3704" s="2">
        <v>5109131207</v>
      </c>
      <c r="B3704" s="3" t="s">
        <v>43</v>
      </c>
      <c r="C3704" s="9"/>
      <c r="D3704" s="9"/>
      <c r="E3704" s="9"/>
      <c r="F3704" s="9"/>
      <c r="G3704" s="9"/>
      <c r="H3704" s="9"/>
      <c r="I3704" s="9"/>
      <c r="J3704" s="9"/>
      <c r="K3704" s="9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9"/>
      <c r="AE3704" s="9"/>
      <c r="AF3704" s="9"/>
      <c r="AG3704" s="9"/>
      <c r="AH3704" s="9"/>
      <c r="AI3704" s="9"/>
      <c r="AJ3704" s="9"/>
      <c r="AK3704" s="9"/>
      <c r="AL3704" s="9"/>
      <c r="AM3704" s="9"/>
      <c r="AN3704" s="9"/>
      <c r="AO3704" s="9"/>
    </row>
    <row r="3705" spans="1:41" ht="14.25" x14ac:dyDescent="0.2">
      <c r="A3705" s="2">
        <v>51091313</v>
      </c>
      <c r="B3705" s="3" t="s">
        <v>49</v>
      </c>
      <c r="C3705" s="9"/>
      <c r="D3705" s="9"/>
      <c r="E3705" s="9"/>
      <c r="F3705" s="9"/>
      <c r="G3705" s="9"/>
      <c r="H3705" s="9"/>
      <c r="I3705" s="9"/>
      <c r="J3705" s="9"/>
      <c r="K3705" s="9"/>
      <c r="L3705" s="9"/>
      <c r="M3705" s="9"/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9"/>
      <c r="AE3705" s="9"/>
      <c r="AF3705" s="9"/>
      <c r="AG3705" s="9"/>
      <c r="AH3705" s="9"/>
      <c r="AI3705" s="9"/>
      <c r="AJ3705" s="9"/>
      <c r="AK3705" s="9"/>
      <c r="AL3705" s="9"/>
      <c r="AM3705" s="9"/>
      <c r="AN3705" s="9"/>
      <c r="AO3705" s="9"/>
    </row>
    <row r="3706" spans="1:41" ht="14.25" x14ac:dyDescent="0.2">
      <c r="A3706" s="2">
        <v>51091318</v>
      </c>
      <c r="B3706" s="3" t="s">
        <v>78</v>
      </c>
      <c r="C3706" s="9"/>
      <c r="D3706" s="9"/>
      <c r="E3706" s="9"/>
      <c r="F3706" s="9"/>
      <c r="G3706" s="9"/>
      <c r="H3706" s="9"/>
      <c r="I3706" s="9"/>
      <c r="J3706" s="9"/>
      <c r="K3706" s="9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9"/>
      <c r="AE3706" s="9"/>
      <c r="AF3706" s="9"/>
      <c r="AG3706" s="9"/>
      <c r="AH3706" s="9"/>
      <c r="AI3706" s="9"/>
      <c r="AJ3706" s="9"/>
      <c r="AK3706" s="9"/>
      <c r="AL3706" s="9"/>
      <c r="AM3706" s="9"/>
      <c r="AN3706" s="9"/>
      <c r="AO3706" s="9"/>
    </row>
    <row r="3707" spans="1:41" ht="14.25" x14ac:dyDescent="0.2">
      <c r="A3707" s="2">
        <v>5109131805</v>
      </c>
      <c r="B3707" s="3" t="s">
        <v>39</v>
      </c>
      <c r="C3707" s="9"/>
      <c r="D3707" s="9"/>
      <c r="E3707" s="9"/>
      <c r="F3707" s="9"/>
      <c r="G3707" s="9"/>
      <c r="H3707" s="9"/>
      <c r="I3707" s="9"/>
      <c r="J3707" s="9"/>
      <c r="K3707" s="9"/>
      <c r="L3707" s="9"/>
      <c r="M3707" s="9"/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9"/>
      <c r="AI3707" s="9"/>
      <c r="AJ3707" s="9"/>
      <c r="AK3707" s="9"/>
      <c r="AL3707" s="9"/>
      <c r="AM3707" s="9"/>
      <c r="AN3707" s="9"/>
      <c r="AO3707" s="9"/>
    </row>
    <row r="3708" spans="1:41" ht="14.25" x14ac:dyDescent="0.2">
      <c r="A3708" s="2">
        <v>5109131806</v>
      </c>
      <c r="B3708" s="3" t="s">
        <v>42</v>
      </c>
      <c r="C3708" s="9"/>
      <c r="D3708" s="9"/>
      <c r="E3708" s="9"/>
      <c r="F3708" s="9"/>
      <c r="G3708" s="9"/>
      <c r="H3708" s="9"/>
      <c r="I3708" s="9"/>
      <c r="J3708" s="9"/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  <c r="AH3708" s="9"/>
      <c r="AI3708" s="9"/>
      <c r="AJ3708" s="9"/>
      <c r="AK3708" s="9"/>
      <c r="AL3708" s="9"/>
      <c r="AM3708" s="9"/>
      <c r="AN3708" s="9"/>
      <c r="AO3708" s="9"/>
    </row>
    <row r="3709" spans="1:41" ht="14.25" x14ac:dyDescent="0.2">
      <c r="A3709" s="2">
        <v>5109131807</v>
      </c>
      <c r="B3709" s="3" t="s">
        <v>43</v>
      </c>
      <c r="C3709" s="9"/>
      <c r="D3709" s="9"/>
      <c r="E3709" s="9"/>
      <c r="F3709" s="9"/>
      <c r="G3709" s="9"/>
      <c r="H3709" s="9"/>
      <c r="I3709" s="9"/>
      <c r="J3709" s="9"/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9"/>
      <c r="AL3709" s="9"/>
      <c r="AM3709" s="9"/>
      <c r="AN3709" s="9"/>
      <c r="AO3709" s="9"/>
    </row>
    <row r="3710" spans="1:41" ht="14.25" x14ac:dyDescent="0.2">
      <c r="A3710" s="2">
        <v>51091319</v>
      </c>
      <c r="B3710" s="3" t="s">
        <v>53</v>
      </c>
      <c r="C3710" s="9"/>
      <c r="D3710" s="9"/>
      <c r="E3710" s="9"/>
      <c r="F3710" s="9"/>
      <c r="G3710" s="9"/>
      <c r="H3710" s="9"/>
      <c r="I3710" s="9"/>
      <c r="J3710" s="9"/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9"/>
      <c r="AE3710" s="9"/>
      <c r="AF3710" s="9"/>
      <c r="AG3710" s="9"/>
      <c r="AH3710" s="9"/>
      <c r="AI3710" s="9"/>
      <c r="AJ3710" s="9"/>
      <c r="AK3710" s="9"/>
      <c r="AL3710" s="9"/>
      <c r="AM3710" s="9"/>
      <c r="AN3710" s="9"/>
      <c r="AO3710" s="9"/>
    </row>
    <row r="3711" spans="1:41" ht="28.5" x14ac:dyDescent="0.2">
      <c r="A3711" s="2">
        <v>510914</v>
      </c>
      <c r="B3711" s="4" t="s">
        <v>915</v>
      </c>
      <c r="C3711" s="11"/>
      <c r="D3711" s="11"/>
      <c r="E3711" s="11"/>
      <c r="F3711" s="11"/>
      <c r="G3711" s="11"/>
      <c r="H3711" s="11"/>
      <c r="I3711" s="11"/>
      <c r="J3711" s="11"/>
      <c r="K3711" s="11"/>
      <c r="L3711" s="11"/>
      <c r="M3711" s="11"/>
      <c r="N3711" s="11"/>
      <c r="O3711" s="11"/>
      <c r="P3711" s="11"/>
      <c r="Q3711" s="11"/>
      <c r="R3711" s="11"/>
      <c r="S3711" s="11"/>
      <c r="T3711" s="11"/>
      <c r="U3711" s="11"/>
      <c r="V3711" s="11"/>
      <c r="W3711" s="11"/>
      <c r="X3711" s="11"/>
      <c r="Y3711" s="11"/>
      <c r="Z3711" s="11"/>
      <c r="AA3711" s="11"/>
      <c r="AB3711" s="11"/>
      <c r="AC3711" s="11"/>
      <c r="AD3711" s="11"/>
      <c r="AE3711" s="11"/>
      <c r="AF3711" s="11"/>
      <c r="AG3711" s="11"/>
      <c r="AH3711" s="11"/>
      <c r="AI3711" s="11"/>
      <c r="AJ3711" s="11"/>
      <c r="AK3711" s="11"/>
      <c r="AL3711" s="11"/>
      <c r="AM3711" s="11"/>
      <c r="AN3711" s="11"/>
      <c r="AO3711" s="11"/>
    </row>
    <row r="3712" spans="1:41" ht="14.25" x14ac:dyDescent="0.2">
      <c r="A3712" s="2">
        <v>51091401</v>
      </c>
      <c r="B3712" s="3" t="s">
        <v>55</v>
      </c>
      <c r="C3712" s="9"/>
      <c r="D3712" s="9"/>
      <c r="E3712" s="9"/>
      <c r="F3712" s="9"/>
      <c r="G3712" s="9"/>
      <c r="H3712" s="9"/>
      <c r="I3712" s="9"/>
      <c r="J3712" s="9"/>
      <c r="K3712" s="9"/>
      <c r="L3712" s="9"/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9"/>
      <c r="AE3712" s="9"/>
      <c r="AF3712" s="9"/>
      <c r="AG3712" s="9"/>
      <c r="AH3712" s="9"/>
      <c r="AI3712" s="9"/>
      <c r="AJ3712" s="9"/>
      <c r="AK3712" s="9"/>
      <c r="AL3712" s="9"/>
      <c r="AM3712" s="9"/>
      <c r="AN3712" s="9"/>
      <c r="AO3712" s="9"/>
    </row>
    <row r="3713" spans="1:41" ht="14.25" x14ac:dyDescent="0.2">
      <c r="A3713" s="2">
        <v>5109140101</v>
      </c>
      <c r="B3713" s="3" t="s">
        <v>56</v>
      </c>
      <c r="C3713" s="9"/>
      <c r="D3713" s="9"/>
      <c r="E3713" s="9"/>
      <c r="F3713" s="9"/>
      <c r="G3713" s="9"/>
      <c r="H3713" s="9"/>
      <c r="I3713" s="9"/>
      <c r="J3713" s="9"/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  <c r="AE3713" s="9"/>
      <c r="AF3713" s="9"/>
      <c r="AG3713" s="9"/>
      <c r="AH3713" s="9"/>
      <c r="AI3713" s="9"/>
      <c r="AJ3713" s="9"/>
      <c r="AK3713" s="9"/>
      <c r="AL3713" s="9"/>
      <c r="AM3713" s="9"/>
      <c r="AN3713" s="9"/>
      <c r="AO3713" s="9"/>
    </row>
    <row r="3714" spans="1:41" ht="14.25" x14ac:dyDescent="0.2">
      <c r="A3714" s="2">
        <v>5109140119</v>
      </c>
      <c r="B3714" s="3" t="s">
        <v>60</v>
      </c>
      <c r="C3714" s="9"/>
      <c r="D3714" s="9"/>
      <c r="E3714" s="9"/>
      <c r="F3714" s="9"/>
      <c r="G3714" s="9"/>
      <c r="H3714" s="9"/>
      <c r="I3714" s="9"/>
      <c r="J3714" s="9"/>
      <c r="K3714" s="9"/>
      <c r="L3714" s="9"/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9"/>
      <c r="AE3714" s="9"/>
      <c r="AF3714" s="9"/>
      <c r="AG3714" s="9"/>
      <c r="AH3714" s="9"/>
      <c r="AI3714" s="9"/>
      <c r="AJ3714" s="9"/>
      <c r="AK3714" s="9"/>
      <c r="AL3714" s="9"/>
      <c r="AM3714" s="9"/>
      <c r="AN3714" s="9"/>
      <c r="AO3714" s="9"/>
    </row>
    <row r="3715" spans="1:41" ht="14.25" x14ac:dyDescent="0.2">
      <c r="A3715" s="2">
        <v>51091402</v>
      </c>
      <c r="B3715" s="3" t="s">
        <v>61</v>
      </c>
      <c r="C3715" s="9"/>
      <c r="D3715" s="9"/>
      <c r="E3715" s="9"/>
      <c r="F3715" s="9"/>
      <c r="G3715" s="9"/>
      <c r="H3715" s="9"/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  <c r="AK3715" s="9"/>
      <c r="AL3715" s="9"/>
      <c r="AM3715" s="9"/>
      <c r="AN3715" s="9"/>
      <c r="AO3715" s="9"/>
    </row>
    <row r="3716" spans="1:41" ht="14.25" x14ac:dyDescent="0.2">
      <c r="A3716" s="2">
        <v>51091403</v>
      </c>
      <c r="B3716" s="3" t="s">
        <v>62</v>
      </c>
      <c r="C3716" s="9"/>
      <c r="D3716" s="9"/>
      <c r="E3716" s="9"/>
      <c r="F3716" s="9"/>
      <c r="G3716" s="9"/>
      <c r="H3716" s="9"/>
      <c r="I3716" s="9"/>
      <c r="J3716" s="9"/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9"/>
      <c r="AE3716" s="9"/>
      <c r="AF3716" s="9"/>
      <c r="AG3716" s="9"/>
      <c r="AH3716" s="9"/>
      <c r="AI3716" s="9"/>
      <c r="AJ3716" s="9"/>
      <c r="AK3716" s="9"/>
      <c r="AL3716" s="9"/>
      <c r="AM3716" s="9"/>
      <c r="AN3716" s="9"/>
      <c r="AO3716" s="9"/>
    </row>
    <row r="3717" spans="1:41" ht="14.25" x14ac:dyDescent="0.2">
      <c r="A3717" s="2">
        <v>51091405</v>
      </c>
      <c r="B3717" s="3" t="s">
        <v>39</v>
      </c>
      <c r="C3717" s="9"/>
      <c r="D3717" s="9"/>
      <c r="E3717" s="9"/>
      <c r="F3717" s="9"/>
      <c r="G3717" s="9"/>
      <c r="H3717" s="9"/>
      <c r="I3717" s="9"/>
      <c r="J3717" s="9"/>
      <c r="K3717" s="9"/>
      <c r="L3717" s="9"/>
      <c r="M3717" s="9"/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  <c r="AB3717" s="9"/>
      <c r="AC3717" s="9"/>
      <c r="AD3717" s="9"/>
      <c r="AE3717" s="9"/>
      <c r="AF3717" s="9"/>
      <c r="AG3717" s="9"/>
      <c r="AH3717" s="9"/>
      <c r="AI3717" s="9"/>
      <c r="AJ3717" s="9"/>
      <c r="AK3717" s="9"/>
      <c r="AL3717" s="9"/>
      <c r="AM3717" s="9"/>
      <c r="AN3717" s="9"/>
      <c r="AO3717" s="9"/>
    </row>
    <row r="3718" spans="1:41" ht="14.25" x14ac:dyDescent="0.2">
      <c r="A3718" s="2">
        <v>5109140503</v>
      </c>
      <c r="B3718" s="3" t="s">
        <v>81</v>
      </c>
      <c r="C3718" s="9"/>
      <c r="D3718" s="9"/>
      <c r="E3718" s="9"/>
      <c r="F3718" s="9"/>
      <c r="G3718" s="9"/>
      <c r="H3718" s="9"/>
      <c r="I3718" s="9"/>
      <c r="J3718" s="9"/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9"/>
      <c r="AE3718" s="9"/>
      <c r="AF3718" s="9"/>
      <c r="AG3718" s="9"/>
      <c r="AH3718" s="9"/>
      <c r="AI3718" s="9"/>
      <c r="AJ3718" s="9"/>
      <c r="AK3718" s="9"/>
      <c r="AL3718" s="9"/>
      <c r="AM3718" s="9"/>
      <c r="AN3718" s="9"/>
      <c r="AO3718" s="9"/>
    </row>
    <row r="3719" spans="1:41" ht="14.25" x14ac:dyDescent="0.2">
      <c r="A3719" s="2">
        <v>5109140505</v>
      </c>
      <c r="B3719" s="3" t="s">
        <v>66</v>
      </c>
      <c r="C3719" s="9"/>
      <c r="D3719" s="9"/>
      <c r="E3719" s="9"/>
      <c r="F3719" s="9"/>
      <c r="G3719" s="9"/>
      <c r="H3719" s="9"/>
      <c r="I3719" s="9"/>
      <c r="J3719" s="9"/>
      <c r="K3719" s="9"/>
      <c r="L3719" s="9"/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9"/>
      <c r="AE3719" s="9"/>
      <c r="AF3719" s="9"/>
      <c r="AG3719" s="9"/>
      <c r="AH3719" s="9"/>
      <c r="AI3719" s="9"/>
      <c r="AJ3719" s="9"/>
      <c r="AK3719" s="9"/>
      <c r="AL3719" s="9"/>
      <c r="AM3719" s="9"/>
      <c r="AN3719" s="9"/>
      <c r="AO3719" s="9"/>
    </row>
    <row r="3720" spans="1:41" ht="14.25" x14ac:dyDescent="0.2">
      <c r="A3720" s="2">
        <v>5109140506</v>
      </c>
      <c r="B3720" s="3" t="s">
        <v>67</v>
      </c>
      <c r="C3720" s="9"/>
      <c r="D3720" s="9"/>
      <c r="E3720" s="9"/>
      <c r="F3720" s="9"/>
      <c r="G3720" s="9"/>
      <c r="H3720" s="9"/>
      <c r="I3720" s="9"/>
      <c r="J3720" s="9"/>
      <c r="K3720" s="9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9"/>
      <c r="AE3720" s="9"/>
      <c r="AF3720" s="9"/>
      <c r="AG3720" s="9"/>
      <c r="AH3720" s="9"/>
      <c r="AI3720" s="9"/>
      <c r="AJ3720" s="9"/>
      <c r="AK3720" s="9"/>
      <c r="AL3720" s="9"/>
      <c r="AM3720" s="9"/>
      <c r="AN3720" s="9"/>
      <c r="AO3720" s="9"/>
    </row>
    <row r="3721" spans="1:41" ht="14.25" x14ac:dyDescent="0.2">
      <c r="A3721" s="2">
        <v>5109140507</v>
      </c>
      <c r="B3721" s="3" t="s">
        <v>68</v>
      </c>
      <c r="C3721" s="9"/>
      <c r="D3721" s="9"/>
      <c r="E3721" s="9"/>
      <c r="F3721" s="9"/>
      <c r="G3721" s="9"/>
      <c r="H3721" s="9"/>
      <c r="I3721" s="9"/>
      <c r="J3721" s="9"/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9"/>
      <c r="AF3721" s="9"/>
      <c r="AG3721" s="9"/>
      <c r="AH3721" s="9"/>
      <c r="AI3721" s="9"/>
      <c r="AJ3721" s="9"/>
      <c r="AK3721" s="9"/>
      <c r="AL3721" s="9"/>
      <c r="AM3721" s="9"/>
      <c r="AN3721" s="9"/>
      <c r="AO3721" s="9"/>
    </row>
    <row r="3722" spans="1:41" ht="14.25" x14ac:dyDescent="0.2">
      <c r="A3722" s="2">
        <v>5109140508</v>
      </c>
      <c r="B3722" s="3" t="s">
        <v>69</v>
      </c>
      <c r="C3722" s="9"/>
      <c r="D3722" s="9"/>
      <c r="E3722" s="9"/>
      <c r="F3722" s="9"/>
      <c r="G3722" s="9"/>
      <c r="H3722" s="9"/>
      <c r="I3722" s="9"/>
      <c r="J3722" s="9"/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9"/>
      <c r="AE3722" s="9"/>
      <c r="AF3722" s="9"/>
      <c r="AG3722" s="9"/>
      <c r="AH3722" s="9"/>
      <c r="AI3722" s="9"/>
      <c r="AJ3722" s="9"/>
      <c r="AK3722" s="9"/>
      <c r="AL3722" s="9"/>
      <c r="AM3722" s="9"/>
      <c r="AN3722" s="9"/>
      <c r="AO3722" s="9"/>
    </row>
    <row r="3723" spans="1:41" ht="14.25" x14ac:dyDescent="0.2">
      <c r="A3723" s="2">
        <v>5109140509</v>
      </c>
      <c r="B3723" s="3" t="s">
        <v>70</v>
      </c>
      <c r="C3723" s="9"/>
      <c r="D3723" s="9"/>
      <c r="E3723" s="9"/>
      <c r="F3723" s="9"/>
      <c r="G3723" s="9"/>
      <c r="H3723" s="9"/>
      <c r="I3723" s="9"/>
      <c r="J3723" s="9"/>
      <c r="K3723" s="9"/>
      <c r="L3723" s="9"/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9"/>
      <c r="AE3723" s="9"/>
      <c r="AF3723" s="9"/>
      <c r="AG3723" s="9"/>
      <c r="AH3723" s="9"/>
      <c r="AI3723" s="9"/>
      <c r="AJ3723" s="9"/>
      <c r="AK3723" s="9"/>
      <c r="AL3723" s="9"/>
      <c r="AM3723" s="9"/>
      <c r="AN3723" s="9"/>
      <c r="AO3723" s="9"/>
    </row>
    <row r="3724" spans="1:41" ht="28.5" x14ac:dyDescent="0.2">
      <c r="A3724" s="2">
        <v>5109140510</v>
      </c>
      <c r="B3724" s="4" t="s">
        <v>71</v>
      </c>
      <c r="C3724" s="11"/>
      <c r="D3724" s="11"/>
      <c r="E3724" s="11"/>
      <c r="F3724" s="11"/>
      <c r="G3724" s="11"/>
      <c r="H3724" s="11"/>
      <c r="I3724" s="11"/>
      <c r="J3724" s="11"/>
      <c r="K3724" s="11"/>
      <c r="L3724" s="11"/>
      <c r="M3724" s="11"/>
      <c r="N3724" s="11"/>
      <c r="O3724" s="11"/>
      <c r="P3724" s="11"/>
      <c r="Q3724" s="11"/>
      <c r="R3724" s="11"/>
      <c r="S3724" s="11"/>
      <c r="T3724" s="11"/>
      <c r="U3724" s="11"/>
      <c r="V3724" s="11"/>
      <c r="W3724" s="11"/>
      <c r="X3724" s="11"/>
      <c r="Y3724" s="11"/>
      <c r="Z3724" s="11"/>
      <c r="AA3724" s="11"/>
      <c r="AB3724" s="11"/>
      <c r="AC3724" s="11"/>
      <c r="AD3724" s="11"/>
      <c r="AE3724" s="11"/>
      <c r="AF3724" s="11"/>
      <c r="AG3724" s="11"/>
      <c r="AH3724" s="11"/>
      <c r="AI3724" s="11"/>
      <c r="AJ3724" s="11"/>
      <c r="AK3724" s="11"/>
      <c r="AL3724" s="11"/>
      <c r="AM3724" s="11"/>
      <c r="AN3724" s="11"/>
      <c r="AO3724" s="11"/>
    </row>
    <row r="3725" spans="1:41" ht="14.25" x14ac:dyDescent="0.2">
      <c r="A3725" s="2">
        <v>5109140511</v>
      </c>
      <c r="B3725" s="3" t="s">
        <v>72</v>
      </c>
      <c r="C3725" s="9"/>
      <c r="D3725" s="9"/>
      <c r="E3725" s="9"/>
      <c r="F3725" s="9"/>
      <c r="G3725" s="9"/>
      <c r="H3725" s="9"/>
      <c r="I3725" s="9"/>
      <c r="J3725" s="9"/>
      <c r="K3725" s="9"/>
      <c r="L3725" s="9"/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9"/>
      <c r="AE3725" s="9"/>
      <c r="AF3725" s="9"/>
      <c r="AG3725" s="9"/>
      <c r="AH3725" s="9"/>
      <c r="AI3725" s="9"/>
      <c r="AJ3725" s="9"/>
      <c r="AK3725" s="9"/>
      <c r="AL3725" s="9"/>
      <c r="AM3725" s="9"/>
      <c r="AN3725" s="9"/>
      <c r="AO3725" s="9"/>
    </row>
    <row r="3726" spans="1:41" ht="14.25" x14ac:dyDescent="0.2">
      <c r="A3726" s="2">
        <v>5109140519</v>
      </c>
      <c r="B3726" s="3" t="s">
        <v>41</v>
      </c>
      <c r="C3726" s="9"/>
      <c r="D3726" s="9"/>
      <c r="E3726" s="9"/>
      <c r="F3726" s="9"/>
      <c r="G3726" s="9"/>
      <c r="H3726" s="9"/>
      <c r="I3726" s="9"/>
      <c r="J3726" s="9"/>
      <c r="K3726" s="9"/>
      <c r="L3726" s="9"/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9"/>
      <c r="AE3726" s="9"/>
      <c r="AF3726" s="9"/>
      <c r="AG3726" s="9"/>
      <c r="AH3726" s="9"/>
      <c r="AI3726" s="9"/>
      <c r="AJ3726" s="9"/>
      <c r="AK3726" s="9"/>
      <c r="AL3726" s="9"/>
      <c r="AM3726" s="9"/>
      <c r="AN3726" s="9"/>
      <c r="AO3726" s="9"/>
    </row>
    <row r="3727" spans="1:41" ht="14.25" x14ac:dyDescent="0.2">
      <c r="A3727" s="2">
        <v>51091406</v>
      </c>
      <c r="B3727" s="3" t="s">
        <v>42</v>
      </c>
      <c r="C3727" s="9"/>
      <c r="D3727" s="9"/>
      <c r="E3727" s="9"/>
      <c r="F3727" s="9"/>
      <c r="G3727" s="9"/>
      <c r="H3727" s="9"/>
      <c r="I3727" s="9"/>
      <c r="J3727" s="9"/>
      <c r="K3727" s="9"/>
      <c r="L3727" s="9"/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  <c r="AH3727" s="9"/>
      <c r="AI3727" s="9"/>
      <c r="AJ3727" s="9"/>
      <c r="AK3727" s="9"/>
      <c r="AL3727" s="9"/>
      <c r="AM3727" s="9"/>
      <c r="AN3727" s="9"/>
      <c r="AO3727" s="9"/>
    </row>
    <row r="3728" spans="1:41" ht="14.25" x14ac:dyDescent="0.2">
      <c r="A3728" s="2">
        <v>5109140608</v>
      </c>
      <c r="B3728" s="3" t="s">
        <v>69</v>
      </c>
      <c r="C3728" s="9"/>
      <c r="D3728" s="9"/>
      <c r="E3728" s="9"/>
      <c r="F3728" s="9"/>
      <c r="G3728" s="9"/>
      <c r="H3728" s="9"/>
      <c r="I3728" s="9"/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9"/>
      <c r="AE3728" s="9"/>
      <c r="AF3728" s="9"/>
      <c r="AG3728" s="9"/>
      <c r="AH3728" s="9"/>
      <c r="AI3728" s="9"/>
      <c r="AJ3728" s="9"/>
      <c r="AK3728" s="9"/>
      <c r="AL3728" s="9"/>
      <c r="AM3728" s="9"/>
      <c r="AN3728" s="9"/>
      <c r="AO3728" s="9"/>
    </row>
    <row r="3729" spans="1:41" ht="14.25" x14ac:dyDescent="0.2">
      <c r="A3729" s="2">
        <v>5109140609</v>
      </c>
      <c r="B3729" s="3" t="s">
        <v>70</v>
      </c>
      <c r="C3729" s="9"/>
      <c r="D3729" s="9"/>
      <c r="E3729" s="9"/>
      <c r="F3729" s="9"/>
      <c r="G3729" s="9"/>
      <c r="H3729" s="9"/>
      <c r="I3729" s="9"/>
      <c r="J3729" s="9"/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9"/>
      <c r="AE3729" s="9"/>
      <c r="AF3729" s="9"/>
      <c r="AG3729" s="9"/>
      <c r="AH3729" s="9"/>
      <c r="AI3729" s="9"/>
      <c r="AJ3729" s="9"/>
      <c r="AK3729" s="9"/>
      <c r="AL3729" s="9"/>
      <c r="AM3729" s="9"/>
      <c r="AN3729" s="9"/>
      <c r="AO3729" s="9"/>
    </row>
    <row r="3730" spans="1:41" ht="28.5" x14ac:dyDescent="0.2">
      <c r="A3730" s="2">
        <v>5109140610</v>
      </c>
      <c r="B3730" s="4" t="s">
        <v>71</v>
      </c>
      <c r="C3730" s="11"/>
      <c r="D3730" s="11"/>
      <c r="E3730" s="11"/>
      <c r="F3730" s="11"/>
      <c r="G3730" s="11"/>
      <c r="H3730" s="11"/>
      <c r="I3730" s="11"/>
      <c r="J3730" s="11"/>
      <c r="K3730" s="11"/>
      <c r="L3730" s="11"/>
      <c r="M3730" s="11"/>
      <c r="N3730" s="11"/>
      <c r="O3730" s="11"/>
      <c r="P3730" s="11"/>
      <c r="Q3730" s="11"/>
      <c r="R3730" s="11"/>
      <c r="S3730" s="11"/>
      <c r="T3730" s="11"/>
      <c r="U3730" s="11"/>
      <c r="V3730" s="11"/>
      <c r="W3730" s="11"/>
      <c r="X3730" s="11"/>
      <c r="Y3730" s="11"/>
      <c r="Z3730" s="11"/>
      <c r="AA3730" s="11"/>
      <c r="AB3730" s="11"/>
      <c r="AC3730" s="11"/>
      <c r="AD3730" s="11"/>
      <c r="AE3730" s="11"/>
      <c r="AF3730" s="11"/>
      <c r="AG3730" s="11"/>
      <c r="AH3730" s="11"/>
      <c r="AI3730" s="11"/>
      <c r="AJ3730" s="11"/>
      <c r="AK3730" s="11"/>
      <c r="AL3730" s="11"/>
      <c r="AM3730" s="11"/>
      <c r="AN3730" s="11"/>
      <c r="AO3730" s="11"/>
    </row>
    <row r="3731" spans="1:41" ht="14.25" x14ac:dyDescent="0.2">
      <c r="A3731" s="2">
        <v>5109140611</v>
      </c>
      <c r="B3731" s="3" t="s">
        <v>72</v>
      </c>
      <c r="C3731" s="9"/>
      <c r="D3731" s="9"/>
      <c r="E3731" s="9"/>
      <c r="F3731" s="9"/>
      <c r="G3731" s="9"/>
      <c r="H3731" s="9"/>
      <c r="I3731" s="9"/>
      <c r="J3731" s="9"/>
      <c r="K3731" s="9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9"/>
      <c r="AE3731" s="9"/>
      <c r="AF3731" s="9"/>
      <c r="AG3731" s="9"/>
      <c r="AH3731" s="9"/>
      <c r="AI3731" s="9"/>
      <c r="AJ3731" s="9"/>
      <c r="AK3731" s="9"/>
      <c r="AL3731" s="9"/>
      <c r="AM3731" s="9"/>
      <c r="AN3731" s="9"/>
      <c r="AO3731" s="9"/>
    </row>
    <row r="3732" spans="1:41" ht="14.25" x14ac:dyDescent="0.2">
      <c r="A3732" s="2">
        <v>5109140619</v>
      </c>
      <c r="B3732" s="3" t="s">
        <v>41</v>
      </c>
      <c r="C3732" s="9"/>
      <c r="D3732" s="9"/>
      <c r="E3732" s="9"/>
      <c r="F3732" s="9"/>
      <c r="G3732" s="9"/>
      <c r="H3732" s="9"/>
      <c r="I3732" s="9"/>
      <c r="J3732" s="9"/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  <c r="AE3732" s="9"/>
      <c r="AF3732" s="9"/>
      <c r="AG3732" s="9"/>
      <c r="AH3732" s="9"/>
      <c r="AI3732" s="9"/>
      <c r="AJ3732" s="9"/>
      <c r="AK3732" s="9"/>
      <c r="AL3732" s="9"/>
      <c r="AM3732" s="9"/>
      <c r="AN3732" s="9"/>
      <c r="AO3732" s="9"/>
    </row>
    <row r="3733" spans="1:41" ht="14.25" x14ac:dyDescent="0.2">
      <c r="A3733" s="2">
        <v>51091407</v>
      </c>
      <c r="B3733" s="3" t="s">
        <v>43</v>
      </c>
      <c r="C3733" s="9"/>
      <c r="D3733" s="9"/>
      <c r="E3733" s="9"/>
      <c r="F3733" s="9"/>
      <c r="G3733" s="9"/>
      <c r="H3733" s="9"/>
      <c r="I3733" s="9"/>
      <c r="J3733" s="9"/>
      <c r="K3733" s="9"/>
      <c r="L3733" s="9"/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9"/>
      <c r="AE3733" s="9"/>
      <c r="AF3733" s="9"/>
      <c r="AG3733" s="9"/>
      <c r="AH3733" s="9"/>
      <c r="AI3733" s="9"/>
      <c r="AJ3733" s="9"/>
      <c r="AK3733" s="9"/>
      <c r="AL3733" s="9"/>
      <c r="AM3733" s="9"/>
      <c r="AN3733" s="9"/>
      <c r="AO3733" s="9"/>
    </row>
    <row r="3734" spans="1:41" ht="14.25" x14ac:dyDescent="0.2">
      <c r="A3734" s="2">
        <v>5109140708</v>
      </c>
      <c r="B3734" s="3" t="s">
        <v>69</v>
      </c>
      <c r="C3734" s="9"/>
      <c r="D3734" s="9"/>
      <c r="E3734" s="9"/>
      <c r="F3734" s="9"/>
      <c r="G3734" s="9"/>
      <c r="H3734" s="9"/>
      <c r="I3734" s="9"/>
      <c r="J3734" s="9"/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9"/>
      <c r="AE3734" s="9"/>
      <c r="AF3734" s="9"/>
      <c r="AG3734" s="9"/>
      <c r="AH3734" s="9"/>
      <c r="AI3734" s="9"/>
      <c r="AJ3734" s="9"/>
      <c r="AK3734" s="9"/>
      <c r="AL3734" s="9"/>
      <c r="AM3734" s="9"/>
      <c r="AN3734" s="9"/>
      <c r="AO3734" s="9"/>
    </row>
    <row r="3735" spans="1:41" ht="14.25" x14ac:dyDescent="0.2">
      <c r="A3735" s="2">
        <v>5109140709</v>
      </c>
      <c r="B3735" s="3" t="s">
        <v>70</v>
      </c>
      <c r="C3735" s="9"/>
      <c r="D3735" s="9"/>
      <c r="E3735" s="9"/>
      <c r="F3735" s="9"/>
      <c r="G3735" s="9"/>
      <c r="H3735" s="9"/>
      <c r="I3735" s="9"/>
      <c r="J3735" s="9"/>
      <c r="K3735" s="9"/>
      <c r="L3735" s="9"/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  <c r="AA3735" s="9"/>
      <c r="AB3735" s="9"/>
      <c r="AC3735" s="9"/>
      <c r="AD3735" s="9"/>
      <c r="AE3735" s="9"/>
      <c r="AF3735" s="9"/>
      <c r="AG3735" s="9"/>
      <c r="AH3735" s="9"/>
      <c r="AI3735" s="9"/>
      <c r="AJ3735" s="9"/>
      <c r="AK3735" s="9"/>
      <c r="AL3735" s="9"/>
      <c r="AM3735" s="9"/>
      <c r="AN3735" s="9"/>
      <c r="AO3735" s="9"/>
    </row>
    <row r="3736" spans="1:41" ht="28.5" x14ac:dyDescent="0.2">
      <c r="A3736" s="2">
        <v>5109140710</v>
      </c>
      <c r="B3736" s="4" t="s">
        <v>71</v>
      </c>
      <c r="C3736" s="11"/>
      <c r="D3736" s="11"/>
      <c r="E3736" s="11"/>
      <c r="F3736" s="11"/>
      <c r="G3736" s="11"/>
      <c r="H3736" s="11"/>
      <c r="I3736" s="11"/>
      <c r="J3736" s="11"/>
      <c r="K3736" s="11"/>
      <c r="L3736" s="11"/>
      <c r="M3736" s="11"/>
      <c r="N3736" s="11"/>
      <c r="O3736" s="11"/>
      <c r="P3736" s="11"/>
      <c r="Q3736" s="11"/>
      <c r="R3736" s="11"/>
      <c r="S3736" s="11"/>
      <c r="T3736" s="11"/>
      <c r="U3736" s="11"/>
      <c r="V3736" s="11"/>
      <c r="W3736" s="11"/>
      <c r="X3736" s="11"/>
      <c r="Y3736" s="11"/>
      <c r="Z3736" s="11"/>
      <c r="AA3736" s="11"/>
      <c r="AB3736" s="11"/>
      <c r="AC3736" s="11"/>
      <c r="AD3736" s="11"/>
      <c r="AE3736" s="11"/>
      <c r="AF3736" s="11"/>
      <c r="AG3736" s="11"/>
      <c r="AH3736" s="11"/>
      <c r="AI3736" s="11"/>
      <c r="AJ3736" s="11"/>
      <c r="AK3736" s="11"/>
      <c r="AL3736" s="11"/>
      <c r="AM3736" s="11"/>
      <c r="AN3736" s="11"/>
      <c r="AO3736" s="11"/>
    </row>
    <row r="3737" spans="1:41" ht="14.25" x14ac:dyDescent="0.2">
      <c r="A3737" s="2">
        <v>5109140711</v>
      </c>
      <c r="B3737" s="3" t="s">
        <v>72</v>
      </c>
      <c r="C3737" s="9"/>
      <c r="D3737" s="9"/>
      <c r="E3737" s="9"/>
      <c r="F3737" s="9"/>
      <c r="G3737" s="9"/>
      <c r="H3737" s="9"/>
      <c r="I3737" s="9"/>
      <c r="J3737" s="9"/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9"/>
      <c r="AD3737" s="9"/>
      <c r="AE3737" s="9"/>
      <c r="AF3737" s="9"/>
      <c r="AG3737" s="9"/>
      <c r="AH3737" s="9"/>
      <c r="AI3737" s="9"/>
      <c r="AJ3737" s="9"/>
      <c r="AK3737" s="9"/>
      <c r="AL3737" s="9"/>
      <c r="AM3737" s="9"/>
      <c r="AN3737" s="9"/>
      <c r="AO3737" s="9"/>
    </row>
    <row r="3738" spans="1:41" ht="14.25" x14ac:dyDescent="0.2">
      <c r="A3738" s="2">
        <v>5109140712</v>
      </c>
      <c r="B3738" s="3" t="s">
        <v>47</v>
      </c>
      <c r="C3738" s="9"/>
      <c r="D3738" s="9"/>
      <c r="E3738" s="9"/>
      <c r="F3738" s="9"/>
      <c r="G3738" s="9"/>
      <c r="H3738" s="9"/>
      <c r="I3738" s="9"/>
      <c r="J3738" s="9"/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  <c r="AB3738" s="9"/>
      <c r="AC3738" s="9"/>
      <c r="AD3738" s="9"/>
      <c r="AE3738" s="9"/>
      <c r="AF3738" s="9"/>
      <c r="AG3738" s="9"/>
      <c r="AH3738" s="9"/>
      <c r="AI3738" s="9"/>
      <c r="AJ3738" s="9"/>
      <c r="AK3738" s="9"/>
      <c r="AL3738" s="9"/>
      <c r="AM3738" s="9"/>
      <c r="AN3738" s="9"/>
      <c r="AO3738" s="9"/>
    </row>
    <row r="3739" spans="1:41" ht="14.25" x14ac:dyDescent="0.2">
      <c r="A3739" s="2">
        <v>5109140714</v>
      </c>
      <c r="B3739" s="3" t="s">
        <v>916</v>
      </c>
      <c r="C3739" s="9"/>
      <c r="D3739" s="9"/>
      <c r="E3739" s="9"/>
      <c r="F3739" s="9"/>
      <c r="G3739" s="9"/>
      <c r="H3739" s="9"/>
      <c r="I3739" s="9"/>
      <c r="J3739" s="9"/>
      <c r="K3739" s="9"/>
      <c r="L3739" s="9"/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9"/>
      <c r="AE3739" s="9"/>
      <c r="AF3739" s="9"/>
      <c r="AG3739" s="9"/>
      <c r="AH3739" s="9"/>
      <c r="AI3739" s="9"/>
      <c r="AJ3739" s="9"/>
      <c r="AK3739" s="9"/>
      <c r="AL3739" s="9"/>
      <c r="AM3739" s="9"/>
      <c r="AN3739" s="9"/>
      <c r="AO3739" s="9"/>
    </row>
    <row r="3740" spans="1:41" ht="14.25" x14ac:dyDescent="0.2">
      <c r="A3740" s="2">
        <v>5109140715</v>
      </c>
      <c r="B3740" s="3" t="s">
        <v>74</v>
      </c>
      <c r="C3740" s="9"/>
      <c r="D3740" s="9"/>
      <c r="E3740" s="9"/>
      <c r="F3740" s="9"/>
      <c r="G3740" s="9"/>
      <c r="H3740" s="9"/>
      <c r="I3740" s="9"/>
      <c r="J3740" s="9"/>
      <c r="K3740" s="9"/>
      <c r="L3740" s="9"/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  <c r="AB3740" s="9"/>
      <c r="AC3740" s="9"/>
      <c r="AD3740" s="9"/>
      <c r="AE3740" s="9"/>
      <c r="AF3740" s="9"/>
      <c r="AG3740" s="9"/>
      <c r="AH3740" s="9"/>
      <c r="AI3740" s="9"/>
      <c r="AJ3740" s="9"/>
      <c r="AK3740" s="9"/>
      <c r="AL3740" s="9"/>
      <c r="AM3740" s="9"/>
      <c r="AN3740" s="9"/>
      <c r="AO3740" s="9"/>
    </row>
    <row r="3741" spans="1:41" ht="14.25" x14ac:dyDescent="0.2">
      <c r="A3741" s="2">
        <v>5109140719</v>
      </c>
      <c r="B3741" s="3" t="s">
        <v>41</v>
      </c>
      <c r="C3741" s="9"/>
      <c r="D3741" s="9"/>
      <c r="E3741" s="9"/>
      <c r="F3741" s="9"/>
      <c r="G3741" s="9"/>
      <c r="H3741" s="9"/>
      <c r="I3741" s="9"/>
      <c r="J3741" s="9"/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9"/>
      <c r="AC3741" s="9"/>
      <c r="AD3741" s="9"/>
      <c r="AE3741" s="9"/>
      <c r="AF3741" s="9"/>
      <c r="AG3741" s="9"/>
      <c r="AH3741" s="9"/>
      <c r="AI3741" s="9"/>
      <c r="AJ3741" s="9"/>
      <c r="AK3741" s="9"/>
      <c r="AL3741" s="9"/>
      <c r="AM3741" s="9"/>
      <c r="AN3741" s="9"/>
      <c r="AO3741" s="9"/>
    </row>
    <row r="3742" spans="1:41" ht="28.5" x14ac:dyDescent="0.2">
      <c r="A3742" s="2">
        <v>51091410</v>
      </c>
      <c r="B3742" s="4" t="s">
        <v>48</v>
      </c>
      <c r="C3742" s="11"/>
      <c r="D3742" s="11"/>
      <c r="E3742" s="11"/>
      <c r="F3742" s="11"/>
      <c r="G3742" s="11"/>
      <c r="H3742" s="11"/>
      <c r="I3742" s="11"/>
      <c r="J3742" s="11"/>
      <c r="K3742" s="11"/>
      <c r="L3742" s="11"/>
      <c r="M3742" s="11"/>
      <c r="N3742" s="11"/>
      <c r="O3742" s="11"/>
      <c r="P3742" s="11"/>
      <c r="Q3742" s="11"/>
      <c r="R3742" s="11"/>
      <c r="S3742" s="11"/>
      <c r="T3742" s="11"/>
      <c r="U3742" s="11"/>
      <c r="V3742" s="11"/>
      <c r="W3742" s="11"/>
      <c r="X3742" s="11"/>
      <c r="Y3742" s="11"/>
      <c r="Z3742" s="11"/>
      <c r="AA3742" s="11"/>
      <c r="AB3742" s="11"/>
      <c r="AC3742" s="11"/>
      <c r="AD3742" s="11"/>
      <c r="AE3742" s="11"/>
      <c r="AF3742" s="11"/>
      <c r="AG3742" s="11"/>
      <c r="AH3742" s="11"/>
      <c r="AI3742" s="11"/>
      <c r="AJ3742" s="11"/>
      <c r="AK3742" s="11"/>
      <c r="AL3742" s="11"/>
      <c r="AM3742" s="11"/>
      <c r="AN3742" s="11"/>
      <c r="AO3742" s="11"/>
    </row>
    <row r="3743" spans="1:41" ht="14.25" x14ac:dyDescent="0.2">
      <c r="A3743" s="2">
        <v>5109141001</v>
      </c>
      <c r="B3743" s="3" t="s">
        <v>55</v>
      </c>
      <c r="C3743" s="9"/>
      <c r="D3743" s="9"/>
      <c r="E3743" s="9"/>
      <c r="F3743" s="9"/>
      <c r="G3743" s="9"/>
      <c r="H3743" s="9"/>
      <c r="I3743" s="9"/>
      <c r="J3743" s="9"/>
      <c r="K3743" s="9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9"/>
      <c r="AE3743" s="9"/>
      <c r="AF3743" s="9"/>
      <c r="AG3743" s="9"/>
      <c r="AH3743" s="9"/>
      <c r="AI3743" s="9"/>
      <c r="AJ3743" s="9"/>
      <c r="AK3743" s="9"/>
      <c r="AL3743" s="9"/>
      <c r="AM3743" s="9"/>
      <c r="AN3743" s="9"/>
      <c r="AO3743" s="9"/>
    </row>
    <row r="3744" spans="1:41" ht="14.25" x14ac:dyDescent="0.2">
      <c r="A3744" s="2">
        <v>5109141002</v>
      </c>
      <c r="B3744" s="3" t="s">
        <v>61</v>
      </c>
      <c r="C3744" s="9"/>
      <c r="D3744" s="9"/>
      <c r="E3744" s="9"/>
      <c r="F3744" s="9"/>
      <c r="G3744" s="9"/>
      <c r="H3744" s="9"/>
      <c r="I3744" s="9"/>
      <c r="J3744" s="9"/>
      <c r="K3744" s="9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  <c r="AB3744" s="9"/>
      <c r="AC3744" s="9"/>
      <c r="AD3744" s="9"/>
      <c r="AE3744" s="9"/>
      <c r="AF3744" s="9"/>
      <c r="AG3744" s="9"/>
      <c r="AH3744" s="9"/>
      <c r="AI3744" s="9"/>
      <c r="AJ3744" s="9"/>
      <c r="AK3744" s="9"/>
      <c r="AL3744" s="9"/>
      <c r="AM3744" s="9"/>
      <c r="AN3744" s="9"/>
      <c r="AO3744" s="9"/>
    </row>
    <row r="3745" spans="1:41" ht="14.25" x14ac:dyDescent="0.2">
      <c r="A3745" s="2">
        <v>5109141003</v>
      </c>
      <c r="B3745" s="3" t="s">
        <v>62</v>
      </c>
      <c r="C3745" s="9"/>
      <c r="D3745" s="9"/>
      <c r="E3745" s="9"/>
      <c r="F3745" s="9"/>
      <c r="G3745" s="9"/>
      <c r="H3745" s="9"/>
      <c r="I3745" s="9"/>
      <c r="J3745" s="9"/>
      <c r="K3745" s="9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9"/>
      <c r="AC3745" s="9"/>
      <c r="AD3745" s="9"/>
      <c r="AE3745" s="9"/>
      <c r="AF3745" s="9"/>
      <c r="AG3745" s="9"/>
      <c r="AH3745" s="9"/>
      <c r="AI3745" s="9"/>
      <c r="AJ3745" s="9"/>
      <c r="AK3745" s="9"/>
      <c r="AL3745" s="9"/>
      <c r="AM3745" s="9"/>
      <c r="AN3745" s="9"/>
      <c r="AO3745" s="9"/>
    </row>
    <row r="3746" spans="1:41" ht="14.25" x14ac:dyDescent="0.2">
      <c r="A3746" s="2">
        <v>5109141005</v>
      </c>
      <c r="B3746" s="3" t="s">
        <v>39</v>
      </c>
      <c r="C3746" s="9"/>
      <c r="D3746" s="9"/>
      <c r="E3746" s="9"/>
      <c r="F3746" s="9"/>
      <c r="G3746" s="9"/>
      <c r="H3746" s="9"/>
      <c r="I3746" s="9"/>
      <c r="J3746" s="9"/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9"/>
      <c r="AD3746" s="9"/>
      <c r="AE3746" s="9"/>
      <c r="AF3746" s="9"/>
      <c r="AG3746" s="9"/>
      <c r="AH3746" s="9"/>
      <c r="AI3746" s="9"/>
      <c r="AJ3746" s="9"/>
      <c r="AK3746" s="9"/>
      <c r="AL3746" s="9"/>
      <c r="AM3746" s="9"/>
      <c r="AN3746" s="9"/>
      <c r="AO3746" s="9"/>
    </row>
    <row r="3747" spans="1:41" ht="14.25" x14ac:dyDescent="0.2">
      <c r="A3747" s="2">
        <v>5109141006</v>
      </c>
      <c r="B3747" s="3" t="s">
        <v>42</v>
      </c>
      <c r="C3747" s="9"/>
      <c r="D3747" s="9"/>
      <c r="E3747" s="9"/>
      <c r="F3747" s="9"/>
      <c r="G3747" s="9"/>
      <c r="H3747" s="9"/>
      <c r="I3747" s="9"/>
      <c r="J3747" s="9"/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  <c r="AB3747" s="9"/>
      <c r="AC3747" s="9"/>
      <c r="AD3747" s="9"/>
      <c r="AE3747" s="9"/>
      <c r="AF3747" s="9"/>
      <c r="AG3747" s="9"/>
      <c r="AH3747" s="9"/>
      <c r="AI3747" s="9"/>
      <c r="AJ3747" s="9"/>
      <c r="AK3747" s="9"/>
      <c r="AL3747" s="9"/>
      <c r="AM3747" s="9"/>
      <c r="AN3747" s="9"/>
      <c r="AO3747" s="9"/>
    </row>
    <row r="3748" spans="1:41" ht="14.25" x14ac:dyDescent="0.2">
      <c r="A3748" s="2">
        <v>5109141007</v>
      </c>
      <c r="B3748" s="3" t="s">
        <v>43</v>
      </c>
      <c r="C3748" s="9"/>
      <c r="D3748" s="9"/>
      <c r="E3748" s="9"/>
      <c r="F3748" s="9"/>
      <c r="G3748" s="9"/>
      <c r="H3748" s="9"/>
      <c r="I3748" s="9"/>
      <c r="J3748" s="9"/>
      <c r="K3748" s="9"/>
      <c r="L3748" s="9"/>
      <c r="M3748" s="9"/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  <c r="AA3748" s="9"/>
      <c r="AB3748" s="9"/>
      <c r="AC3748" s="9"/>
      <c r="AD3748" s="9"/>
      <c r="AE3748" s="9"/>
      <c r="AF3748" s="9"/>
      <c r="AG3748" s="9"/>
      <c r="AH3748" s="9"/>
      <c r="AI3748" s="9"/>
      <c r="AJ3748" s="9"/>
      <c r="AK3748" s="9"/>
      <c r="AL3748" s="9"/>
      <c r="AM3748" s="9"/>
      <c r="AN3748" s="9"/>
      <c r="AO3748" s="9"/>
    </row>
    <row r="3749" spans="1:41" ht="28.5" x14ac:dyDescent="0.2">
      <c r="A3749" s="2">
        <v>51091411</v>
      </c>
      <c r="B3749" s="4" t="s">
        <v>50</v>
      </c>
      <c r="C3749" s="11"/>
      <c r="D3749" s="11"/>
      <c r="E3749" s="11"/>
      <c r="F3749" s="11"/>
      <c r="G3749" s="11"/>
      <c r="H3749" s="11"/>
      <c r="I3749" s="11"/>
      <c r="J3749" s="11"/>
      <c r="K3749" s="11"/>
      <c r="L3749" s="11"/>
      <c r="M3749" s="11"/>
      <c r="N3749" s="11"/>
      <c r="O3749" s="11"/>
      <c r="P3749" s="11"/>
      <c r="Q3749" s="11"/>
      <c r="R3749" s="11"/>
      <c r="S3749" s="11"/>
      <c r="T3749" s="11"/>
      <c r="U3749" s="11"/>
      <c r="V3749" s="11"/>
      <c r="W3749" s="11"/>
      <c r="X3749" s="11"/>
      <c r="Y3749" s="11"/>
      <c r="Z3749" s="11"/>
      <c r="AA3749" s="11"/>
      <c r="AB3749" s="11"/>
      <c r="AC3749" s="11"/>
      <c r="AD3749" s="11"/>
      <c r="AE3749" s="11"/>
      <c r="AF3749" s="11"/>
      <c r="AG3749" s="11"/>
      <c r="AH3749" s="11"/>
      <c r="AI3749" s="11"/>
      <c r="AJ3749" s="11"/>
      <c r="AK3749" s="11"/>
      <c r="AL3749" s="11"/>
      <c r="AM3749" s="11"/>
      <c r="AN3749" s="11"/>
      <c r="AO3749" s="11"/>
    </row>
    <row r="3750" spans="1:41" ht="14.25" x14ac:dyDescent="0.2">
      <c r="A3750" s="2">
        <v>5109141101</v>
      </c>
      <c r="B3750" s="3" t="s">
        <v>55</v>
      </c>
      <c r="C3750" s="9"/>
      <c r="D3750" s="9"/>
      <c r="E3750" s="9"/>
      <c r="F3750" s="9"/>
      <c r="G3750" s="9"/>
      <c r="H3750" s="9"/>
      <c r="I3750" s="9"/>
      <c r="J3750" s="9"/>
      <c r="K3750" s="9"/>
      <c r="L3750" s="9"/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9"/>
      <c r="AC3750" s="9"/>
      <c r="AD3750" s="9"/>
      <c r="AE3750" s="9"/>
      <c r="AF3750" s="9"/>
      <c r="AG3750" s="9"/>
      <c r="AH3750" s="9"/>
      <c r="AI3750" s="9"/>
      <c r="AJ3750" s="9"/>
      <c r="AK3750" s="9"/>
      <c r="AL3750" s="9"/>
      <c r="AM3750" s="9"/>
      <c r="AN3750" s="9"/>
      <c r="AO3750" s="9"/>
    </row>
    <row r="3751" spans="1:41" ht="14.25" x14ac:dyDescent="0.2">
      <c r="A3751" s="2">
        <v>5109141102</v>
      </c>
      <c r="B3751" s="3" t="s">
        <v>61</v>
      </c>
      <c r="C3751" s="9"/>
      <c r="D3751" s="9"/>
      <c r="E3751" s="9"/>
      <c r="F3751" s="9"/>
      <c r="G3751" s="9"/>
      <c r="H3751" s="9"/>
      <c r="I3751" s="9"/>
      <c r="J3751" s="9"/>
      <c r="K3751" s="9"/>
      <c r="L3751" s="9"/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  <c r="AB3751" s="9"/>
      <c r="AC3751" s="9"/>
      <c r="AD3751" s="9"/>
      <c r="AE3751" s="9"/>
      <c r="AF3751" s="9"/>
      <c r="AG3751" s="9"/>
      <c r="AH3751" s="9"/>
      <c r="AI3751" s="9"/>
      <c r="AJ3751" s="9"/>
      <c r="AK3751" s="9"/>
      <c r="AL3751" s="9"/>
      <c r="AM3751" s="9"/>
      <c r="AN3751" s="9"/>
      <c r="AO3751" s="9"/>
    </row>
    <row r="3752" spans="1:41" ht="14.25" x14ac:dyDescent="0.2">
      <c r="A3752" s="2">
        <v>5109141103</v>
      </c>
      <c r="B3752" s="3" t="s">
        <v>62</v>
      </c>
      <c r="C3752" s="9"/>
      <c r="D3752" s="9"/>
      <c r="E3752" s="9"/>
      <c r="F3752" s="9"/>
      <c r="G3752" s="9"/>
      <c r="H3752" s="9"/>
      <c r="I3752" s="9"/>
      <c r="J3752" s="9"/>
      <c r="K3752" s="9"/>
      <c r="L3752" s="9"/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9"/>
      <c r="AE3752" s="9"/>
      <c r="AF3752" s="9"/>
      <c r="AG3752" s="9"/>
      <c r="AH3752" s="9"/>
      <c r="AI3752" s="9"/>
      <c r="AJ3752" s="9"/>
      <c r="AK3752" s="9"/>
      <c r="AL3752" s="9"/>
      <c r="AM3752" s="9"/>
      <c r="AN3752" s="9"/>
      <c r="AO3752" s="9"/>
    </row>
    <row r="3753" spans="1:41" ht="14.25" x14ac:dyDescent="0.2">
      <c r="A3753" s="2">
        <v>5109141105</v>
      </c>
      <c r="B3753" s="3" t="s">
        <v>39</v>
      </c>
      <c r="C3753" s="9"/>
      <c r="D3753" s="9"/>
      <c r="E3753" s="9"/>
      <c r="F3753" s="9"/>
      <c r="G3753" s="9"/>
      <c r="H3753" s="9"/>
      <c r="I3753" s="9"/>
      <c r="J3753" s="9"/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9"/>
      <c r="AD3753" s="9"/>
      <c r="AE3753" s="9"/>
      <c r="AF3753" s="9"/>
      <c r="AG3753" s="9"/>
      <c r="AH3753" s="9"/>
      <c r="AI3753" s="9"/>
      <c r="AJ3753" s="9"/>
      <c r="AK3753" s="9"/>
      <c r="AL3753" s="9"/>
      <c r="AM3753" s="9"/>
      <c r="AN3753" s="9"/>
      <c r="AO3753" s="9"/>
    </row>
    <row r="3754" spans="1:41" ht="14.25" x14ac:dyDescent="0.2">
      <c r="A3754" s="2">
        <v>5109141106</v>
      </c>
      <c r="B3754" s="3" t="s">
        <v>42</v>
      </c>
      <c r="C3754" s="9"/>
      <c r="D3754" s="9"/>
      <c r="E3754" s="9"/>
      <c r="F3754" s="9"/>
      <c r="G3754" s="9"/>
      <c r="H3754" s="9"/>
      <c r="I3754" s="9"/>
      <c r="J3754" s="9"/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  <c r="AA3754" s="9"/>
      <c r="AB3754" s="9"/>
      <c r="AC3754" s="9"/>
      <c r="AD3754" s="9"/>
      <c r="AE3754" s="9"/>
      <c r="AF3754" s="9"/>
      <c r="AG3754" s="9"/>
      <c r="AH3754" s="9"/>
      <c r="AI3754" s="9"/>
      <c r="AJ3754" s="9"/>
      <c r="AK3754" s="9"/>
      <c r="AL3754" s="9"/>
      <c r="AM3754" s="9"/>
      <c r="AN3754" s="9"/>
      <c r="AO3754" s="9"/>
    </row>
    <row r="3755" spans="1:41" ht="14.25" x14ac:dyDescent="0.2">
      <c r="A3755" s="2">
        <v>5109141107</v>
      </c>
      <c r="B3755" s="3" t="s">
        <v>43</v>
      </c>
      <c r="C3755" s="9"/>
      <c r="D3755" s="9"/>
      <c r="E3755" s="9"/>
      <c r="F3755" s="9"/>
      <c r="G3755" s="9"/>
      <c r="H3755" s="9"/>
      <c r="I3755" s="9"/>
      <c r="J3755" s="9"/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  <c r="AB3755" s="9"/>
      <c r="AC3755" s="9"/>
      <c r="AD3755" s="9"/>
      <c r="AE3755" s="9"/>
      <c r="AF3755" s="9"/>
      <c r="AG3755" s="9"/>
      <c r="AH3755" s="9"/>
      <c r="AI3755" s="9"/>
      <c r="AJ3755" s="9"/>
      <c r="AK3755" s="9"/>
      <c r="AL3755" s="9"/>
      <c r="AM3755" s="9"/>
      <c r="AN3755" s="9"/>
      <c r="AO3755" s="9"/>
    </row>
    <row r="3756" spans="1:41" ht="28.5" x14ac:dyDescent="0.2">
      <c r="A3756" s="2">
        <v>51091412</v>
      </c>
      <c r="B3756" s="4" t="s">
        <v>51</v>
      </c>
      <c r="C3756" s="11"/>
      <c r="D3756" s="11"/>
      <c r="E3756" s="11"/>
      <c r="F3756" s="11"/>
      <c r="G3756" s="11"/>
      <c r="H3756" s="11"/>
      <c r="I3756" s="11"/>
      <c r="J3756" s="11"/>
      <c r="K3756" s="11"/>
      <c r="L3756" s="11"/>
      <c r="M3756" s="11"/>
      <c r="N3756" s="11"/>
      <c r="O3756" s="11"/>
      <c r="P3756" s="11"/>
      <c r="Q3756" s="11"/>
      <c r="R3756" s="11"/>
      <c r="S3756" s="11"/>
      <c r="T3756" s="11"/>
      <c r="U3756" s="11"/>
      <c r="V3756" s="11"/>
      <c r="W3756" s="11"/>
      <c r="X3756" s="11"/>
      <c r="Y3756" s="11"/>
      <c r="Z3756" s="11"/>
      <c r="AA3756" s="11"/>
      <c r="AB3756" s="11"/>
      <c r="AC3756" s="11"/>
      <c r="AD3756" s="11"/>
      <c r="AE3756" s="11"/>
      <c r="AF3756" s="11"/>
      <c r="AG3756" s="11"/>
      <c r="AH3756" s="11"/>
      <c r="AI3756" s="11"/>
      <c r="AJ3756" s="11"/>
      <c r="AK3756" s="11"/>
      <c r="AL3756" s="11"/>
      <c r="AM3756" s="11"/>
      <c r="AN3756" s="11"/>
      <c r="AO3756" s="11"/>
    </row>
    <row r="3757" spans="1:41" ht="14.25" x14ac:dyDescent="0.2">
      <c r="A3757" s="2">
        <v>5109141201</v>
      </c>
      <c r="B3757" s="3" t="s">
        <v>55</v>
      </c>
      <c r="C3757" s="9"/>
      <c r="D3757" s="9"/>
      <c r="E3757" s="9"/>
      <c r="F3757" s="9"/>
      <c r="G3757" s="9"/>
      <c r="H3757" s="9"/>
      <c r="I3757" s="9"/>
      <c r="J3757" s="9"/>
      <c r="K3757" s="9"/>
      <c r="L3757" s="9"/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  <c r="AK3757" s="9"/>
      <c r="AL3757" s="9"/>
      <c r="AM3757" s="9"/>
      <c r="AN3757" s="9"/>
      <c r="AO3757" s="9"/>
    </row>
    <row r="3758" spans="1:41" ht="14.25" x14ac:dyDescent="0.2">
      <c r="A3758" s="2">
        <v>5109141202</v>
      </c>
      <c r="B3758" s="3" t="s">
        <v>61</v>
      </c>
      <c r="C3758" s="9"/>
      <c r="D3758" s="9"/>
      <c r="E3758" s="9"/>
      <c r="F3758" s="9"/>
      <c r="G3758" s="9"/>
      <c r="H3758" s="9"/>
      <c r="I3758" s="9"/>
      <c r="J3758" s="9"/>
      <c r="K3758" s="9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9"/>
      <c r="AE3758" s="9"/>
      <c r="AF3758" s="9"/>
      <c r="AG3758" s="9"/>
      <c r="AH3758" s="9"/>
      <c r="AI3758" s="9"/>
      <c r="AJ3758" s="9"/>
      <c r="AK3758" s="9"/>
      <c r="AL3758" s="9"/>
      <c r="AM3758" s="9"/>
      <c r="AN3758" s="9"/>
      <c r="AO3758" s="9"/>
    </row>
    <row r="3759" spans="1:41" ht="14.25" x14ac:dyDescent="0.2">
      <c r="A3759" s="2">
        <v>5109141203</v>
      </c>
      <c r="B3759" s="3" t="s">
        <v>62</v>
      </c>
      <c r="C3759" s="9"/>
      <c r="D3759" s="9"/>
      <c r="E3759" s="9"/>
      <c r="F3759" s="9"/>
      <c r="G3759" s="9"/>
      <c r="H3759" s="9"/>
      <c r="I3759" s="9"/>
      <c r="J3759" s="9"/>
      <c r="K3759" s="9"/>
      <c r="L3759" s="9"/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9"/>
      <c r="AE3759" s="9"/>
      <c r="AF3759" s="9"/>
      <c r="AG3759" s="9"/>
      <c r="AH3759" s="9"/>
      <c r="AI3759" s="9"/>
      <c r="AJ3759" s="9"/>
      <c r="AK3759" s="9"/>
      <c r="AL3759" s="9"/>
      <c r="AM3759" s="9"/>
      <c r="AN3759" s="9"/>
      <c r="AO3759" s="9"/>
    </row>
    <row r="3760" spans="1:41" ht="14.25" x14ac:dyDescent="0.2">
      <c r="A3760" s="2">
        <v>5109141205</v>
      </c>
      <c r="B3760" s="3" t="s">
        <v>39</v>
      </c>
      <c r="C3760" s="9"/>
      <c r="D3760" s="9"/>
      <c r="E3760" s="9"/>
      <c r="F3760" s="9"/>
      <c r="G3760" s="9"/>
      <c r="H3760" s="9"/>
      <c r="I3760" s="9"/>
      <c r="J3760" s="9"/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  <c r="AB3760" s="9"/>
      <c r="AC3760" s="9"/>
      <c r="AD3760" s="9"/>
      <c r="AE3760" s="9"/>
      <c r="AF3760" s="9"/>
      <c r="AG3760" s="9"/>
      <c r="AH3760" s="9"/>
      <c r="AI3760" s="9"/>
      <c r="AJ3760" s="9"/>
      <c r="AK3760" s="9"/>
      <c r="AL3760" s="9"/>
      <c r="AM3760" s="9"/>
      <c r="AN3760" s="9"/>
      <c r="AO3760" s="9"/>
    </row>
    <row r="3761" spans="1:41" ht="14.25" x14ac:dyDescent="0.2">
      <c r="A3761" s="2">
        <v>5109141206</v>
      </c>
      <c r="B3761" s="3" t="s">
        <v>42</v>
      </c>
      <c r="C3761" s="9"/>
      <c r="D3761" s="9"/>
      <c r="E3761" s="9"/>
      <c r="F3761" s="9"/>
      <c r="G3761" s="9"/>
      <c r="H3761" s="9"/>
      <c r="I3761" s="9"/>
      <c r="J3761" s="9"/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9"/>
      <c r="AC3761" s="9"/>
      <c r="AD3761" s="9"/>
      <c r="AE3761" s="9"/>
      <c r="AF3761" s="9"/>
      <c r="AG3761" s="9"/>
      <c r="AH3761" s="9"/>
      <c r="AI3761" s="9"/>
      <c r="AJ3761" s="9"/>
      <c r="AK3761" s="9"/>
      <c r="AL3761" s="9"/>
      <c r="AM3761" s="9"/>
      <c r="AN3761" s="9"/>
      <c r="AO3761" s="9"/>
    </row>
    <row r="3762" spans="1:41" ht="14.25" x14ac:dyDescent="0.2">
      <c r="A3762" s="2">
        <v>5109141207</v>
      </c>
      <c r="B3762" s="3" t="s">
        <v>43</v>
      </c>
      <c r="C3762" s="9"/>
      <c r="D3762" s="9"/>
      <c r="E3762" s="9"/>
      <c r="F3762" s="9"/>
      <c r="G3762" s="9"/>
      <c r="H3762" s="9"/>
      <c r="I3762" s="9"/>
      <c r="J3762" s="9"/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9"/>
      <c r="AE3762" s="9"/>
      <c r="AF3762" s="9"/>
      <c r="AG3762" s="9"/>
      <c r="AH3762" s="9"/>
      <c r="AI3762" s="9"/>
      <c r="AJ3762" s="9"/>
      <c r="AK3762" s="9"/>
      <c r="AL3762" s="9"/>
      <c r="AM3762" s="9"/>
      <c r="AN3762" s="9"/>
      <c r="AO3762" s="9"/>
    </row>
    <row r="3763" spans="1:41" ht="14.25" x14ac:dyDescent="0.2">
      <c r="A3763" s="2">
        <v>51091418</v>
      </c>
      <c r="B3763" s="3" t="s">
        <v>78</v>
      </c>
      <c r="C3763" s="9"/>
      <c r="D3763" s="9"/>
      <c r="E3763" s="9"/>
      <c r="F3763" s="9"/>
      <c r="G3763" s="9"/>
      <c r="H3763" s="9"/>
      <c r="I3763" s="9"/>
      <c r="J3763" s="9"/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9"/>
      <c r="AL3763" s="9"/>
      <c r="AM3763" s="9"/>
      <c r="AN3763" s="9"/>
      <c r="AO3763" s="9"/>
    </row>
    <row r="3764" spans="1:41" ht="14.25" x14ac:dyDescent="0.2">
      <c r="A3764" s="2">
        <v>5109141801</v>
      </c>
      <c r="B3764" s="3" t="s">
        <v>55</v>
      </c>
      <c r="C3764" s="9"/>
      <c r="D3764" s="9"/>
      <c r="E3764" s="9"/>
      <c r="F3764" s="9"/>
      <c r="G3764" s="9"/>
      <c r="H3764" s="9"/>
      <c r="I3764" s="9"/>
      <c r="J3764" s="9"/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9"/>
      <c r="AD3764" s="9"/>
      <c r="AE3764" s="9"/>
      <c r="AF3764" s="9"/>
      <c r="AG3764" s="9"/>
      <c r="AH3764" s="9"/>
      <c r="AI3764" s="9"/>
      <c r="AJ3764" s="9"/>
      <c r="AK3764" s="9"/>
      <c r="AL3764" s="9"/>
      <c r="AM3764" s="9"/>
      <c r="AN3764" s="9"/>
      <c r="AO3764" s="9"/>
    </row>
    <row r="3765" spans="1:41" ht="14.25" x14ac:dyDescent="0.2">
      <c r="A3765" s="2">
        <v>5109141802</v>
      </c>
      <c r="B3765" s="3" t="s">
        <v>61</v>
      </c>
      <c r="C3765" s="9"/>
      <c r="D3765" s="9"/>
      <c r="E3765" s="9"/>
      <c r="F3765" s="9"/>
      <c r="G3765" s="9"/>
      <c r="H3765" s="9"/>
      <c r="I3765" s="9"/>
      <c r="J3765" s="9"/>
      <c r="K3765" s="9"/>
      <c r="L3765" s="9"/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9"/>
      <c r="AC3765" s="9"/>
      <c r="AD3765" s="9"/>
      <c r="AE3765" s="9"/>
      <c r="AF3765" s="9"/>
      <c r="AG3765" s="9"/>
      <c r="AH3765" s="9"/>
      <c r="AI3765" s="9"/>
      <c r="AJ3765" s="9"/>
      <c r="AK3765" s="9"/>
      <c r="AL3765" s="9"/>
      <c r="AM3765" s="9"/>
      <c r="AN3765" s="9"/>
      <c r="AO3765" s="9"/>
    </row>
    <row r="3766" spans="1:41" ht="14.25" x14ac:dyDescent="0.2">
      <c r="A3766" s="2">
        <v>5109141803</v>
      </c>
      <c r="B3766" s="3" t="s">
        <v>62</v>
      </c>
      <c r="C3766" s="9"/>
      <c r="D3766" s="9"/>
      <c r="E3766" s="9"/>
      <c r="F3766" s="9"/>
      <c r="G3766" s="9"/>
      <c r="H3766" s="9"/>
      <c r="I3766" s="9"/>
      <c r="J3766" s="9"/>
      <c r="K3766" s="9"/>
      <c r="L3766" s="9"/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  <c r="AA3766" s="9"/>
      <c r="AB3766" s="9"/>
      <c r="AC3766" s="9"/>
      <c r="AD3766" s="9"/>
      <c r="AE3766" s="9"/>
      <c r="AF3766" s="9"/>
      <c r="AG3766" s="9"/>
      <c r="AH3766" s="9"/>
      <c r="AI3766" s="9"/>
      <c r="AJ3766" s="9"/>
      <c r="AK3766" s="9"/>
      <c r="AL3766" s="9"/>
      <c r="AM3766" s="9"/>
      <c r="AN3766" s="9"/>
      <c r="AO3766" s="9"/>
    </row>
    <row r="3767" spans="1:41" ht="14.25" x14ac:dyDescent="0.2">
      <c r="A3767" s="2">
        <v>5109141805</v>
      </c>
      <c r="B3767" s="3" t="s">
        <v>39</v>
      </c>
      <c r="C3767" s="9"/>
      <c r="D3767" s="9"/>
      <c r="E3767" s="9"/>
      <c r="F3767" s="9"/>
      <c r="G3767" s="9"/>
      <c r="H3767" s="9"/>
      <c r="I3767" s="9"/>
      <c r="J3767" s="9"/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9"/>
      <c r="AE3767" s="9"/>
      <c r="AF3767" s="9"/>
      <c r="AG3767" s="9"/>
      <c r="AH3767" s="9"/>
      <c r="AI3767" s="9"/>
      <c r="AJ3767" s="9"/>
      <c r="AK3767" s="9"/>
      <c r="AL3767" s="9"/>
      <c r="AM3767" s="9"/>
      <c r="AN3767" s="9"/>
      <c r="AO3767" s="9"/>
    </row>
    <row r="3768" spans="1:41" ht="14.25" x14ac:dyDescent="0.2">
      <c r="A3768" s="2">
        <v>5109141806</v>
      </c>
      <c r="B3768" s="3" t="s">
        <v>42</v>
      </c>
      <c r="C3768" s="9"/>
      <c r="D3768" s="9"/>
      <c r="E3768" s="9"/>
      <c r="F3768" s="9"/>
      <c r="G3768" s="9"/>
      <c r="H3768" s="9"/>
      <c r="I3768" s="9"/>
      <c r="J3768" s="9"/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9"/>
      <c r="AE3768" s="9"/>
      <c r="AF3768" s="9"/>
      <c r="AG3768" s="9"/>
      <c r="AH3768" s="9"/>
      <c r="AI3768" s="9"/>
      <c r="AJ3768" s="9"/>
      <c r="AK3768" s="9"/>
      <c r="AL3768" s="9"/>
      <c r="AM3768" s="9"/>
      <c r="AN3768" s="9"/>
      <c r="AO3768" s="9"/>
    </row>
    <row r="3769" spans="1:41" ht="14.25" x14ac:dyDescent="0.2">
      <c r="A3769" s="2">
        <v>5109141807</v>
      </c>
      <c r="B3769" s="3" t="s">
        <v>43</v>
      </c>
      <c r="C3769" s="9"/>
      <c r="D3769" s="9"/>
      <c r="E3769" s="9"/>
      <c r="F3769" s="9"/>
      <c r="G3769" s="9"/>
      <c r="H3769" s="9"/>
      <c r="I3769" s="9"/>
      <c r="J3769" s="9"/>
      <c r="K3769" s="9"/>
      <c r="L3769" s="9"/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  <c r="AK3769" s="9"/>
      <c r="AL3769" s="9"/>
      <c r="AM3769" s="9"/>
      <c r="AN3769" s="9"/>
      <c r="AO3769" s="9"/>
    </row>
    <row r="3770" spans="1:41" ht="14.25" x14ac:dyDescent="0.2">
      <c r="A3770" s="2">
        <v>51091419</v>
      </c>
      <c r="B3770" s="3" t="s">
        <v>59</v>
      </c>
      <c r="C3770" s="9"/>
      <c r="D3770" s="9"/>
      <c r="E3770" s="9"/>
      <c r="F3770" s="9"/>
      <c r="G3770" s="9"/>
      <c r="H3770" s="9"/>
      <c r="I3770" s="9"/>
      <c r="J3770" s="9"/>
      <c r="K3770" s="9"/>
      <c r="L3770" s="9"/>
      <c r="M3770" s="9"/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  <c r="AB3770" s="9"/>
      <c r="AC3770" s="9"/>
      <c r="AD3770" s="9"/>
      <c r="AE3770" s="9"/>
      <c r="AF3770" s="9"/>
      <c r="AG3770" s="9"/>
      <c r="AH3770" s="9"/>
      <c r="AI3770" s="9"/>
      <c r="AJ3770" s="9"/>
      <c r="AK3770" s="9"/>
      <c r="AL3770" s="9"/>
      <c r="AM3770" s="9"/>
      <c r="AN3770" s="9"/>
      <c r="AO3770" s="9"/>
    </row>
    <row r="3771" spans="1:41" x14ac:dyDescent="0.2">
      <c r="A3771" s="5">
        <v>510915</v>
      </c>
      <c r="B3771" s="6" t="s">
        <v>917</v>
      </c>
      <c r="C3771" s="12"/>
      <c r="D3771" s="12"/>
      <c r="E3771" s="12"/>
      <c r="F3771" s="12"/>
      <c r="G3771" s="12"/>
      <c r="H3771" s="12"/>
      <c r="I3771" s="12"/>
      <c r="J3771" s="12"/>
      <c r="K3771" s="12"/>
      <c r="L3771" s="12"/>
      <c r="M3771" s="12"/>
      <c r="N3771" s="12"/>
      <c r="O3771" s="12"/>
      <c r="P3771" s="12"/>
      <c r="Q3771" s="12"/>
      <c r="R3771" s="12"/>
      <c r="S3771" s="12"/>
      <c r="T3771" s="12"/>
      <c r="U3771" s="12"/>
      <c r="V3771" s="12"/>
      <c r="W3771" s="12"/>
      <c r="X3771" s="12"/>
      <c r="Y3771" s="12"/>
      <c r="Z3771" s="12"/>
      <c r="AA3771" s="12"/>
      <c r="AB3771" s="12"/>
      <c r="AC3771" s="12"/>
      <c r="AD3771" s="12"/>
      <c r="AE3771" s="12"/>
      <c r="AF3771" s="12"/>
      <c r="AG3771" s="12"/>
      <c r="AH3771" s="12"/>
      <c r="AI3771" s="12"/>
      <c r="AJ3771" s="12"/>
      <c r="AK3771" s="12"/>
      <c r="AL3771" s="12"/>
      <c r="AM3771" s="12"/>
      <c r="AN3771" s="12"/>
      <c r="AO3771" s="12"/>
    </row>
    <row r="3772" spans="1:41" x14ac:dyDescent="0.2">
      <c r="A3772" s="5">
        <v>510916</v>
      </c>
      <c r="B3772" s="6" t="s">
        <v>918</v>
      </c>
      <c r="C3772" s="12"/>
      <c r="D3772" s="12"/>
      <c r="E3772" s="12"/>
      <c r="F3772" s="12"/>
      <c r="G3772" s="12"/>
      <c r="H3772" s="12"/>
      <c r="I3772" s="12"/>
      <c r="J3772" s="12"/>
      <c r="K3772" s="12"/>
      <c r="L3772" s="12"/>
      <c r="M3772" s="12"/>
      <c r="N3772" s="12"/>
      <c r="O3772" s="12"/>
      <c r="P3772" s="12"/>
      <c r="Q3772" s="12"/>
      <c r="R3772" s="12"/>
      <c r="S3772" s="12"/>
      <c r="T3772" s="12"/>
      <c r="U3772" s="12"/>
      <c r="V3772" s="12"/>
      <c r="W3772" s="12"/>
      <c r="X3772" s="12"/>
      <c r="Y3772" s="12"/>
      <c r="Z3772" s="12"/>
      <c r="AA3772" s="12"/>
      <c r="AB3772" s="12"/>
      <c r="AC3772" s="12"/>
      <c r="AD3772" s="12"/>
      <c r="AE3772" s="12"/>
      <c r="AF3772" s="12"/>
      <c r="AG3772" s="12"/>
      <c r="AH3772" s="12"/>
      <c r="AI3772" s="12"/>
      <c r="AJ3772" s="12"/>
      <c r="AK3772" s="12"/>
      <c r="AL3772" s="12"/>
      <c r="AM3772" s="12"/>
      <c r="AN3772" s="12"/>
      <c r="AO3772" s="12"/>
    </row>
    <row r="3773" spans="1:41" x14ac:dyDescent="0.2">
      <c r="A3773" s="5">
        <v>51091601</v>
      </c>
      <c r="B3773" s="6" t="s">
        <v>227</v>
      </c>
      <c r="C3773" s="12"/>
      <c r="D3773" s="12"/>
      <c r="E3773" s="12"/>
      <c r="F3773" s="12"/>
      <c r="G3773" s="12"/>
      <c r="H3773" s="12"/>
      <c r="I3773" s="12"/>
      <c r="J3773" s="12"/>
      <c r="K3773" s="12"/>
      <c r="L3773" s="12"/>
      <c r="M3773" s="12"/>
      <c r="N3773" s="12"/>
      <c r="O3773" s="12"/>
      <c r="P3773" s="12"/>
      <c r="Q3773" s="12"/>
      <c r="R3773" s="12"/>
      <c r="S3773" s="12"/>
      <c r="T3773" s="12"/>
      <c r="U3773" s="12"/>
      <c r="V3773" s="12"/>
      <c r="W3773" s="12"/>
      <c r="X3773" s="12"/>
      <c r="Y3773" s="12"/>
      <c r="Z3773" s="12"/>
      <c r="AA3773" s="12"/>
      <c r="AB3773" s="12"/>
      <c r="AC3773" s="12"/>
      <c r="AD3773" s="12"/>
      <c r="AE3773" s="12"/>
      <c r="AF3773" s="12"/>
      <c r="AG3773" s="12"/>
      <c r="AH3773" s="12"/>
      <c r="AI3773" s="12"/>
      <c r="AJ3773" s="12"/>
      <c r="AK3773" s="12"/>
      <c r="AL3773" s="12"/>
      <c r="AM3773" s="12"/>
      <c r="AN3773" s="12"/>
      <c r="AO3773" s="12"/>
    </row>
    <row r="3774" spans="1:41" x14ac:dyDescent="0.2">
      <c r="A3774" s="5">
        <v>51091602</v>
      </c>
      <c r="B3774" s="6" t="s">
        <v>228</v>
      </c>
      <c r="C3774" s="12"/>
      <c r="D3774" s="12"/>
      <c r="E3774" s="12"/>
      <c r="F3774" s="12"/>
      <c r="G3774" s="12"/>
      <c r="H3774" s="12"/>
      <c r="I3774" s="12"/>
      <c r="J3774" s="12"/>
      <c r="K3774" s="12"/>
      <c r="L3774" s="12"/>
      <c r="M3774" s="12"/>
      <c r="N3774" s="12"/>
      <c r="O3774" s="12"/>
      <c r="P3774" s="12"/>
      <c r="Q3774" s="12"/>
      <c r="R3774" s="12"/>
      <c r="S3774" s="12"/>
      <c r="T3774" s="12"/>
      <c r="U3774" s="12"/>
      <c r="V3774" s="12"/>
      <c r="W3774" s="12"/>
      <c r="X3774" s="12"/>
      <c r="Y3774" s="12"/>
      <c r="Z3774" s="12"/>
      <c r="AA3774" s="12"/>
      <c r="AB3774" s="12"/>
      <c r="AC3774" s="12"/>
      <c r="AD3774" s="12"/>
      <c r="AE3774" s="12"/>
      <c r="AF3774" s="12"/>
      <c r="AG3774" s="12"/>
      <c r="AH3774" s="12"/>
      <c r="AI3774" s="12"/>
      <c r="AJ3774" s="12"/>
      <c r="AK3774" s="12"/>
      <c r="AL3774" s="12"/>
      <c r="AM3774" s="12"/>
      <c r="AN3774" s="12"/>
      <c r="AO3774" s="12"/>
    </row>
    <row r="3775" spans="1:41" x14ac:dyDescent="0.2">
      <c r="A3775" s="5">
        <v>51091603</v>
      </c>
      <c r="B3775" s="6" t="s">
        <v>229</v>
      </c>
      <c r="C3775" s="12"/>
      <c r="D3775" s="12"/>
      <c r="E3775" s="12"/>
      <c r="F3775" s="12"/>
      <c r="G3775" s="12"/>
      <c r="H3775" s="12"/>
      <c r="I3775" s="12"/>
      <c r="J3775" s="12"/>
      <c r="K3775" s="12"/>
      <c r="L3775" s="12"/>
      <c r="M3775" s="12"/>
      <c r="N3775" s="12"/>
      <c r="O3775" s="12"/>
      <c r="P3775" s="12"/>
      <c r="Q3775" s="12"/>
      <c r="R3775" s="12"/>
      <c r="S3775" s="12"/>
      <c r="T3775" s="12"/>
      <c r="U3775" s="12"/>
      <c r="V3775" s="12"/>
      <c r="W3775" s="12"/>
      <c r="X3775" s="12"/>
      <c r="Y3775" s="12"/>
      <c r="Z3775" s="12"/>
      <c r="AA3775" s="12"/>
      <c r="AB3775" s="12"/>
      <c r="AC3775" s="12"/>
      <c r="AD3775" s="12"/>
      <c r="AE3775" s="12"/>
      <c r="AF3775" s="12"/>
      <c r="AG3775" s="12"/>
      <c r="AH3775" s="12"/>
      <c r="AI3775" s="12"/>
      <c r="AJ3775" s="12"/>
      <c r="AK3775" s="12"/>
      <c r="AL3775" s="12"/>
      <c r="AM3775" s="12"/>
      <c r="AN3775" s="12"/>
      <c r="AO3775" s="12"/>
    </row>
    <row r="3776" spans="1:41" x14ac:dyDescent="0.2">
      <c r="A3776" s="5">
        <v>51091605</v>
      </c>
      <c r="B3776" s="6" t="s">
        <v>230</v>
      </c>
      <c r="C3776" s="12"/>
      <c r="D3776" s="12"/>
      <c r="E3776" s="12"/>
      <c r="F3776" s="12"/>
      <c r="G3776" s="12"/>
      <c r="H3776" s="12"/>
      <c r="I3776" s="12"/>
      <c r="J3776" s="12"/>
      <c r="K3776" s="12"/>
      <c r="L3776" s="12"/>
      <c r="M3776" s="12"/>
      <c r="N3776" s="12"/>
      <c r="O3776" s="12"/>
      <c r="P3776" s="12"/>
      <c r="Q3776" s="12"/>
      <c r="R3776" s="12"/>
      <c r="S3776" s="12"/>
      <c r="T3776" s="12"/>
      <c r="U3776" s="12"/>
      <c r="V3776" s="12"/>
      <c r="W3776" s="12"/>
      <c r="X3776" s="12"/>
      <c r="Y3776" s="12"/>
      <c r="Z3776" s="12"/>
      <c r="AA3776" s="12"/>
      <c r="AB3776" s="12"/>
      <c r="AC3776" s="12"/>
      <c r="AD3776" s="12"/>
      <c r="AE3776" s="12"/>
      <c r="AF3776" s="12"/>
      <c r="AG3776" s="12"/>
      <c r="AH3776" s="12"/>
      <c r="AI3776" s="12"/>
      <c r="AJ3776" s="12"/>
      <c r="AK3776" s="12"/>
      <c r="AL3776" s="12"/>
      <c r="AM3776" s="12"/>
      <c r="AN3776" s="12"/>
      <c r="AO3776" s="12"/>
    </row>
    <row r="3777" spans="1:41" x14ac:dyDescent="0.2">
      <c r="A3777" s="5">
        <v>51091609</v>
      </c>
      <c r="B3777" s="6" t="s">
        <v>231</v>
      </c>
      <c r="C3777" s="12"/>
      <c r="D3777" s="12"/>
      <c r="E3777" s="12"/>
      <c r="F3777" s="12"/>
      <c r="G3777" s="12"/>
      <c r="H3777" s="12"/>
      <c r="I3777" s="12"/>
      <c r="J3777" s="12"/>
      <c r="K3777" s="12"/>
      <c r="L3777" s="12"/>
      <c r="M3777" s="12"/>
      <c r="N3777" s="12"/>
      <c r="O3777" s="12"/>
      <c r="P3777" s="12"/>
      <c r="Q3777" s="12"/>
      <c r="R3777" s="12"/>
      <c r="S3777" s="12"/>
      <c r="T3777" s="12"/>
      <c r="U3777" s="12"/>
      <c r="V3777" s="12"/>
      <c r="W3777" s="12"/>
      <c r="X3777" s="12"/>
      <c r="Y3777" s="12"/>
      <c r="Z3777" s="12"/>
      <c r="AA3777" s="12"/>
      <c r="AB3777" s="12"/>
      <c r="AC3777" s="12"/>
      <c r="AD3777" s="12"/>
      <c r="AE3777" s="12"/>
      <c r="AF3777" s="12"/>
      <c r="AG3777" s="12"/>
      <c r="AH3777" s="12"/>
      <c r="AI3777" s="12"/>
      <c r="AJ3777" s="12"/>
      <c r="AK3777" s="12"/>
      <c r="AL3777" s="12"/>
      <c r="AM3777" s="12"/>
      <c r="AN3777" s="12"/>
      <c r="AO3777" s="12"/>
    </row>
    <row r="3778" spans="1:41" ht="14.25" x14ac:dyDescent="0.2">
      <c r="A3778" s="2">
        <v>510917</v>
      </c>
      <c r="B3778" s="3" t="s">
        <v>919</v>
      </c>
      <c r="C3778" s="9"/>
      <c r="D3778" s="9"/>
      <c r="E3778" s="9"/>
      <c r="F3778" s="9"/>
      <c r="G3778" s="9"/>
      <c r="H3778" s="9"/>
      <c r="I3778" s="9"/>
      <c r="J3778" s="9"/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9"/>
      <c r="AB3778" s="9"/>
      <c r="AC3778" s="9"/>
      <c r="AD3778" s="9"/>
      <c r="AE3778" s="9"/>
      <c r="AF3778" s="9"/>
      <c r="AG3778" s="9"/>
      <c r="AH3778" s="9"/>
      <c r="AI3778" s="9"/>
      <c r="AJ3778" s="9"/>
      <c r="AK3778" s="9"/>
      <c r="AL3778" s="9"/>
      <c r="AM3778" s="9"/>
      <c r="AN3778" s="9"/>
      <c r="AO3778" s="9"/>
    </row>
    <row r="3779" spans="1:41" ht="14.25" x14ac:dyDescent="0.2">
      <c r="A3779" s="2">
        <v>51091701</v>
      </c>
      <c r="B3779" s="3" t="s">
        <v>233</v>
      </c>
      <c r="C3779" s="9"/>
      <c r="D3779" s="9"/>
      <c r="E3779" s="9"/>
      <c r="F3779" s="9"/>
      <c r="G3779" s="9"/>
      <c r="H3779" s="9"/>
      <c r="I3779" s="9"/>
      <c r="J3779" s="9"/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9"/>
      <c r="AD3779" s="9"/>
      <c r="AE3779" s="9"/>
      <c r="AF3779" s="9"/>
      <c r="AG3779" s="9"/>
      <c r="AH3779" s="9"/>
      <c r="AI3779" s="9"/>
      <c r="AJ3779" s="9"/>
      <c r="AK3779" s="9"/>
      <c r="AL3779" s="9"/>
      <c r="AM3779" s="9"/>
      <c r="AN3779" s="9"/>
      <c r="AO3779" s="9"/>
    </row>
    <row r="3780" spans="1:41" ht="14.25" x14ac:dyDescent="0.2">
      <c r="A3780" s="2">
        <v>5109170101</v>
      </c>
      <c r="B3780" s="3" t="s">
        <v>234</v>
      </c>
      <c r="C3780" s="9"/>
      <c r="D3780" s="9"/>
      <c r="E3780" s="9"/>
      <c r="F3780" s="9"/>
      <c r="G3780" s="9"/>
      <c r="H3780" s="9"/>
      <c r="I3780" s="9"/>
      <c r="J3780" s="9"/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9"/>
      <c r="AE3780" s="9"/>
      <c r="AF3780" s="9"/>
      <c r="AG3780" s="9"/>
      <c r="AH3780" s="9"/>
      <c r="AI3780" s="9"/>
      <c r="AJ3780" s="9"/>
      <c r="AK3780" s="9"/>
      <c r="AL3780" s="9"/>
      <c r="AM3780" s="9"/>
      <c r="AN3780" s="9"/>
      <c r="AO3780" s="9"/>
    </row>
    <row r="3781" spans="1:41" x14ac:dyDescent="0.2">
      <c r="A3781" s="5">
        <v>5109170102</v>
      </c>
      <c r="B3781" s="6" t="s">
        <v>920</v>
      </c>
      <c r="C3781" s="12"/>
      <c r="D3781" s="12"/>
      <c r="E3781" s="12"/>
      <c r="F3781" s="12"/>
      <c r="G3781" s="12"/>
      <c r="H3781" s="12"/>
      <c r="I3781" s="12"/>
      <c r="J3781" s="12"/>
      <c r="K3781" s="12"/>
      <c r="L3781" s="12"/>
      <c r="M3781" s="12"/>
      <c r="N3781" s="12"/>
      <c r="O3781" s="12"/>
      <c r="P3781" s="12"/>
      <c r="Q3781" s="12"/>
      <c r="R3781" s="12"/>
      <c r="S3781" s="12"/>
      <c r="T3781" s="12"/>
      <c r="U3781" s="12"/>
      <c r="V3781" s="12"/>
      <c r="W3781" s="12"/>
      <c r="X3781" s="12"/>
      <c r="Y3781" s="12"/>
      <c r="Z3781" s="12"/>
      <c r="AA3781" s="12"/>
      <c r="AB3781" s="12"/>
      <c r="AC3781" s="12"/>
      <c r="AD3781" s="12"/>
      <c r="AE3781" s="12"/>
      <c r="AF3781" s="12"/>
      <c r="AG3781" s="12"/>
      <c r="AH3781" s="12"/>
      <c r="AI3781" s="12"/>
      <c r="AJ3781" s="12"/>
      <c r="AK3781" s="12"/>
      <c r="AL3781" s="12"/>
      <c r="AM3781" s="12"/>
      <c r="AN3781" s="12"/>
      <c r="AO3781" s="12"/>
    </row>
    <row r="3782" spans="1:41" x14ac:dyDescent="0.2">
      <c r="A3782" s="5">
        <v>5109170103</v>
      </c>
      <c r="B3782" s="6" t="s">
        <v>229</v>
      </c>
      <c r="C3782" s="12"/>
      <c r="D3782" s="12"/>
      <c r="E3782" s="12"/>
      <c r="F3782" s="12"/>
      <c r="G3782" s="12"/>
      <c r="H3782" s="12"/>
      <c r="I3782" s="12"/>
      <c r="J3782" s="12"/>
      <c r="K3782" s="12"/>
      <c r="L3782" s="12"/>
      <c r="M3782" s="12"/>
      <c r="N3782" s="12"/>
      <c r="O3782" s="12"/>
      <c r="P3782" s="12"/>
      <c r="Q3782" s="12"/>
      <c r="R3782" s="12"/>
      <c r="S3782" s="12"/>
      <c r="T3782" s="12"/>
      <c r="U3782" s="12"/>
      <c r="V3782" s="12"/>
      <c r="W3782" s="12"/>
      <c r="X3782" s="12"/>
      <c r="Y3782" s="12"/>
      <c r="Z3782" s="12"/>
      <c r="AA3782" s="12"/>
      <c r="AB3782" s="12"/>
      <c r="AC3782" s="12"/>
      <c r="AD3782" s="12"/>
      <c r="AE3782" s="12"/>
      <c r="AF3782" s="12"/>
      <c r="AG3782" s="12"/>
      <c r="AH3782" s="12"/>
      <c r="AI3782" s="12"/>
      <c r="AJ3782" s="12"/>
      <c r="AK3782" s="12"/>
      <c r="AL3782" s="12"/>
      <c r="AM3782" s="12"/>
      <c r="AN3782" s="12"/>
      <c r="AO3782" s="12"/>
    </row>
    <row r="3783" spans="1:41" x14ac:dyDescent="0.2">
      <c r="A3783" s="5">
        <v>5109170105</v>
      </c>
      <c r="B3783" s="6" t="s">
        <v>230</v>
      </c>
      <c r="C3783" s="12"/>
      <c r="D3783" s="12"/>
      <c r="E3783" s="12"/>
      <c r="F3783" s="12"/>
      <c r="G3783" s="12"/>
      <c r="H3783" s="12"/>
      <c r="I3783" s="12"/>
      <c r="J3783" s="12"/>
      <c r="K3783" s="12"/>
      <c r="L3783" s="12"/>
      <c r="M3783" s="12"/>
      <c r="N3783" s="12"/>
      <c r="O3783" s="12"/>
      <c r="P3783" s="12"/>
      <c r="Q3783" s="12"/>
      <c r="R3783" s="12"/>
      <c r="S3783" s="12"/>
      <c r="T3783" s="12"/>
      <c r="U3783" s="12"/>
      <c r="V3783" s="12"/>
      <c r="W3783" s="12"/>
      <c r="X3783" s="12"/>
      <c r="Y3783" s="12"/>
      <c r="Z3783" s="12"/>
      <c r="AA3783" s="12"/>
      <c r="AB3783" s="12"/>
      <c r="AC3783" s="12"/>
      <c r="AD3783" s="12"/>
      <c r="AE3783" s="12"/>
      <c r="AF3783" s="12"/>
      <c r="AG3783" s="12"/>
      <c r="AH3783" s="12"/>
      <c r="AI3783" s="12"/>
      <c r="AJ3783" s="12"/>
      <c r="AK3783" s="12"/>
      <c r="AL3783" s="12"/>
      <c r="AM3783" s="12"/>
      <c r="AN3783" s="12"/>
      <c r="AO3783" s="12"/>
    </row>
    <row r="3784" spans="1:41" x14ac:dyDescent="0.2">
      <c r="A3784" s="5">
        <v>5109170106</v>
      </c>
      <c r="B3784" s="6" t="s">
        <v>504</v>
      </c>
      <c r="C3784" s="12"/>
      <c r="D3784" s="12"/>
      <c r="E3784" s="12"/>
      <c r="F3784" s="12"/>
      <c r="G3784" s="12"/>
      <c r="H3784" s="12"/>
      <c r="I3784" s="12"/>
      <c r="J3784" s="12"/>
      <c r="K3784" s="12"/>
      <c r="L3784" s="12"/>
      <c r="M3784" s="12"/>
      <c r="N3784" s="12"/>
      <c r="O3784" s="12"/>
      <c r="P3784" s="12"/>
      <c r="Q3784" s="12"/>
      <c r="R3784" s="12"/>
      <c r="S3784" s="12"/>
      <c r="T3784" s="12"/>
      <c r="U3784" s="12"/>
      <c r="V3784" s="12"/>
      <c r="W3784" s="12"/>
      <c r="X3784" s="12"/>
      <c r="Y3784" s="12"/>
      <c r="Z3784" s="12"/>
      <c r="AA3784" s="12"/>
      <c r="AB3784" s="12"/>
      <c r="AC3784" s="12"/>
      <c r="AD3784" s="12"/>
      <c r="AE3784" s="12"/>
      <c r="AF3784" s="12"/>
      <c r="AG3784" s="12"/>
      <c r="AH3784" s="12"/>
      <c r="AI3784" s="12"/>
      <c r="AJ3784" s="12"/>
      <c r="AK3784" s="12"/>
      <c r="AL3784" s="12"/>
      <c r="AM3784" s="12"/>
      <c r="AN3784" s="12"/>
      <c r="AO3784" s="12"/>
    </row>
    <row r="3785" spans="1:41" x14ac:dyDescent="0.2">
      <c r="A3785" s="5">
        <v>5109170109</v>
      </c>
      <c r="B3785" s="6" t="s">
        <v>231</v>
      </c>
      <c r="C3785" s="12"/>
      <c r="D3785" s="12"/>
      <c r="E3785" s="12"/>
      <c r="F3785" s="12"/>
      <c r="G3785" s="12"/>
      <c r="H3785" s="12"/>
      <c r="I3785" s="12"/>
      <c r="J3785" s="12"/>
      <c r="K3785" s="12"/>
      <c r="L3785" s="12"/>
      <c r="M3785" s="12"/>
      <c r="N3785" s="12"/>
      <c r="O3785" s="12"/>
      <c r="P3785" s="12"/>
      <c r="Q3785" s="12"/>
      <c r="R3785" s="12"/>
      <c r="S3785" s="12"/>
      <c r="T3785" s="12"/>
      <c r="U3785" s="12"/>
      <c r="V3785" s="12"/>
      <c r="W3785" s="12"/>
      <c r="X3785" s="12"/>
      <c r="Y3785" s="12"/>
      <c r="Z3785" s="12"/>
      <c r="AA3785" s="12"/>
      <c r="AB3785" s="12"/>
      <c r="AC3785" s="12"/>
      <c r="AD3785" s="12"/>
      <c r="AE3785" s="12"/>
      <c r="AF3785" s="12"/>
      <c r="AG3785" s="12"/>
      <c r="AH3785" s="12"/>
      <c r="AI3785" s="12"/>
      <c r="AJ3785" s="12"/>
      <c r="AK3785" s="12"/>
      <c r="AL3785" s="12"/>
      <c r="AM3785" s="12"/>
      <c r="AN3785" s="12"/>
      <c r="AO3785" s="12"/>
    </row>
    <row r="3786" spans="1:41" ht="14.25" x14ac:dyDescent="0.2">
      <c r="A3786" s="2">
        <v>51091702</v>
      </c>
      <c r="B3786" s="3" t="s">
        <v>235</v>
      </c>
      <c r="C3786" s="9"/>
      <c r="D3786" s="9"/>
      <c r="E3786" s="9"/>
      <c r="F3786" s="9"/>
      <c r="G3786" s="9"/>
      <c r="H3786" s="9"/>
      <c r="I3786" s="9"/>
      <c r="J3786" s="9"/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9"/>
      <c r="AF3786" s="9"/>
      <c r="AG3786" s="9"/>
      <c r="AH3786" s="9"/>
      <c r="AI3786" s="9"/>
      <c r="AJ3786" s="9"/>
      <c r="AK3786" s="9"/>
      <c r="AL3786" s="9"/>
      <c r="AM3786" s="9"/>
      <c r="AN3786" s="9"/>
      <c r="AO3786" s="9"/>
    </row>
    <row r="3787" spans="1:41" ht="14.25" x14ac:dyDescent="0.2">
      <c r="A3787" s="2">
        <v>5109170201</v>
      </c>
      <c r="B3787" s="3" t="s">
        <v>234</v>
      </c>
      <c r="C3787" s="9"/>
      <c r="D3787" s="9"/>
      <c r="E3787" s="9"/>
      <c r="F3787" s="9"/>
      <c r="G3787" s="9"/>
      <c r="H3787" s="9"/>
      <c r="I3787" s="9"/>
      <c r="J3787" s="9"/>
      <c r="K3787" s="9"/>
      <c r="L3787" s="9"/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  <c r="AK3787" s="9"/>
      <c r="AL3787" s="9"/>
      <c r="AM3787" s="9"/>
      <c r="AN3787" s="9"/>
      <c r="AO3787" s="9"/>
    </row>
    <row r="3788" spans="1:41" x14ac:dyDescent="0.2">
      <c r="A3788" s="5">
        <v>5109170202</v>
      </c>
      <c r="B3788" s="6" t="s">
        <v>920</v>
      </c>
      <c r="C3788" s="12"/>
      <c r="D3788" s="12"/>
      <c r="E3788" s="12"/>
      <c r="F3788" s="12"/>
      <c r="G3788" s="12"/>
      <c r="H3788" s="12"/>
      <c r="I3788" s="12"/>
      <c r="J3788" s="12"/>
      <c r="K3788" s="12"/>
      <c r="L3788" s="12"/>
      <c r="M3788" s="12"/>
      <c r="N3788" s="12"/>
      <c r="O3788" s="12"/>
      <c r="P3788" s="12"/>
      <c r="Q3788" s="12"/>
      <c r="R3788" s="12"/>
      <c r="S3788" s="12"/>
      <c r="T3788" s="12"/>
      <c r="U3788" s="12"/>
      <c r="V3788" s="12"/>
      <c r="W3788" s="12"/>
      <c r="X3788" s="12"/>
      <c r="Y3788" s="12"/>
      <c r="Z3788" s="12"/>
      <c r="AA3788" s="12"/>
      <c r="AB3788" s="12"/>
      <c r="AC3788" s="12"/>
      <c r="AD3788" s="12"/>
      <c r="AE3788" s="12"/>
      <c r="AF3788" s="12"/>
      <c r="AG3788" s="12"/>
      <c r="AH3788" s="12"/>
      <c r="AI3788" s="12"/>
      <c r="AJ3788" s="12"/>
      <c r="AK3788" s="12"/>
      <c r="AL3788" s="12"/>
      <c r="AM3788" s="12"/>
      <c r="AN3788" s="12"/>
      <c r="AO3788" s="12"/>
    </row>
    <row r="3789" spans="1:41" x14ac:dyDescent="0.2">
      <c r="A3789" s="5">
        <v>5109170203</v>
      </c>
      <c r="B3789" s="6" t="s">
        <v>229</v>
      </c>
      <c r="C3789" s="12"/>
      <c r="D3789" s="12"/>
      <c r="E3789" s="12"/>
      <c r="F3789" s="12"/>
      <c r="G3789" s="12"/>
      <c r="H3789" s="12"/>
      <c r="I3789" s="12"/>
      <c r="J3789" s="12"/>
      <c r="K3789" s="12"/>
      <c r="L3789" s="12"/>
      <c r="M3789" s="12"/>
      <c r="N3789" s="12"/>
      <c r="O3789" s="12"/>
      <c r="P3789" s="12"/>
      <c r="Q3789" s="12"/>
      <c r="R3789" s="12"/>
      <c r="S3789" s="12"/>
      <c r="T3789" s="12"/>
      <c r="U3789" s="12"/>
      <c r="V3789" s="12"/>
      <c r="W3789" s="12"/>
      <c r="X3789" s="12"/>
      <c r="Y3789" s="12"/>
      <c r="Z3789" s="12"/>
      <c r="AA3789" s="12"/>
      <c r="AB3789" s="12"/>
      <c r="AC3789" s="12"/>
      <c r="AD3789" s="12"/>
      <c r="AE3789" s="12"/>
      <c r="AF3789" s="12"/>
      <c r="AG3789" s="12"/>
      <c r="AH3789" s="12"/>
      <c r="AI3789" s="12"/>
      <c r="AJ3789" s="12"/>
      <c r="AK3789" s="12"/>
      <c r="AL3789" s="12"/>
      <c r="AM3789" s="12"/>
      <c r="AN3789" s="12"/>
      <c r="AO3789" s="12"/>
    </row>
    <row r="3790" spans="1:41" x14ac:dyDescent="0.2">
      <c r="A3790" s="5">
        <v>5109170205</v>
      </c>
      <c r="B3790" s="6" t="s">
        <v>230</v>
      </c>
      <c r="C3790" s="12"/>
      <c r="D3790" s="12"/>
      <c r="E3790" s="12"/>
      <c r="F3790" s="12"/>
      <c r="G3790" s="12"/>
      <c r="H3790" s="12"/>
      <c r="I3790" s="12"/>
      <c r="J3790" s="12"/>
      <c r="K3790" s="12"/>
      <c r="L3790" s="12"/>
      <c r="M3790" s="12"/>
      <c r="N3790" s="12"/>
      <c r="O3790" s="12"/>
      <c r="P3790" s="12"/>
      <c r="Q3790" s="12"/>
      <c r="R3790" s="12"/>
      <c r="S3790" s="12"/>
      <c r="T3790" s="12"/>
      <c r="U3790" s="12"/>
      <c r="V3790" s="12"/>
      <c r="W3790" s="12"/>
      <c r="X3790" s="12"/>
      <c r="Y3790" s="12"/>
      <c r="Z3790" s="12"/>
      <c r="AA3790" s="12"/>
      <c r="AB3790" s="12"/>
      <c r="AC3790" s="12"/>
      <c r="AD3790" s="12"/>
      <c r="AE3790" s="12"/>
      <c r="AF3790" s="12"/>
      <c r="AG3790" s="12"/>
      <c r="AH3790" s="12"/>
      <c r="AI3790" s="12"/>
      <c r="AJ3790" s="12"/>
      <c r="AK3790" s="12"/>
      <c r="AL3790" s="12"/>
      <c r="AM3790" s="12"/>
      <c r="AN3790" s="12"/>
      <c r="AO3790" s="12"/>
    </row>
    <row r="3791" spans="1:41" x14ac:dyDescent="0.2">
      <c r="A3791" s="5">
        <v>5109170206</v>
      </c>
      <c r="B3791" s="6" t="s">
        <v>504</v>
      </c>
      <c r="C3791" s="12"/>
      <c r="D3791" s="12"/>
      <c r="E3791" s="12"/>
      <c r="F3791" s="12"/>
      <c r="G3791" s="12"/>
      <c r="H3791" s="12"/>
      <c r="I3791" s="12"/>
      <c r="J3791" s="12"/>
      <c r="K3791" s="12"/>
      <c r="L3791" s="12"/>
      <c r="M3791" s="12"/>
      <c r="N3791" s="12"/>
      <c r="O3791" s="12"/>
      <c r="P3791" s="12"/>
      <c r="Q3791" s="12"/>
      <c r="R3791" s="12"/>
      <c r="S3791" s="12"/>
      <c r="T3791" s="12"/>
      <c r="U3791" s="12"/>
      <c r="V3791" s="12"/>
      <c r="W3791" s="12"/>
      <c r="X3791" s="12"/>
      <c r="Y3791" s="12"/>
      <c r="Z3791" s="12"/>
      <c r="AA3791" s="12"/>
      <c r="AB3791" s="12"/>
      <c r="AC3791" s="12"/>
      <c r="AD3791" s="12"/>
      <c r="AE3791" s="12"/>
      <c r="AF3791" s="12"/>
      <c r="AG3791" s="12"/>
      <c r="AH3791" s="12"/>
      <c r="AI3791" s="12"/>
      <c r="AJ3791" s="12"/>
      <c r="AK3791" s="12"/>
      <c r="AL3791" s="12"/>
      <c r="AM3791" s="12"/>
      <c r="AN3791" s="12"/>
      <c r="AO3791" s="12"/>
    </row>
    <row r="3792" spans="1:41" x14ac:dyDescent="0.2">
      <c r="A3792" s="5">
        <v>5109170209</v>
      </c>
      <c r="B3792" s="6" t="s">
        <v>231</v>
      </c>
      <c r="C3792" s="12"/>
      <c r="D3792" s="12"/>
      <c r="E3792" s="12"/>
      <c r="F3792" s="12"/>
      <c r="G3792" s="12"/>
      <c r="H3792" s="12"/>
      <c r="I3792" s="12"/>
      <c r="J3792" s="12"/>
      <c r="K3792" s="12"/>
      <c r="L3792" s="12"/>
      <c r="M3792" s="12"/>
      <c r="N3792" s="12"/>
      <c r="O3792" s="12"/>
      <c r="P3792" s="12"/>
      <c r="Q3792" s="12"/>
      <c r="R3792" s="12"/>
      <c r="S3792" s="12"/>
      <c r="T3792" s="12"/>
      <c r="U3792" s="12"/>
      <c r="V3792" s="12"/>
      <c r="W3792" s="12"/>
      <c r="X3792" s="12"/>
      <c r="Y3792" s="12"/>
      <c r="Z3792" s="12"/>
      <c r="AA3792" s="12"/>
      <c r="AB3792" s="12"/>
      <c r="AC3792" s="12"/>
      <c r="AD3792" s="12"/>
      <c r="AE3792" s="12"/>
      <c r="AF3792" s="12"/>
      <c r="AG3792" s="12"/>
      <c r="AH3792" s="12"/>
      <c r="AI3792" s="12"/>
      <c r="AJ3792" s="12"/>
      <c r="AK3792" s="12"/>
      <c r="AL3792" s="12"/>
      <c r="AM3792" s="12"/>
      <c r="AN3792" s="12"/>
      <c r="AO3792" s="12"/>
    </row>
    <row r="3793" spans="1:41" x14ac:dyDescent="0.2">
      <c r="A3793" s="5">
        <v>510918</v>
      </c>
      <c r="B3793" s="6" t="s">
        <v>921</v>
      </c>
      <c r="C3793" s="12"/>
      <c r="D3793" s="12"/>
      <c r="E3793" s="12"/>
      <c r="F3793" s="12"/>
      <c r="G3793" s="12"/>
      <c r="H3793" s="12"/>
      <c r="I3793" s="12"/>
      <c r="J3793" s="12"/>
      <c r="K3793" s="12"/>
      <c r="L3793" s="12"/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2"/>
      <c r="X3793" s="12"/>
      <c r="Y3793" s="12"/>
      <c r="Z3793" s="12"/>
      <c r="AA3793" s="12"/>
      <c r="AB3793" s="12"/>
      <c r="AC3793" s="12"/>
      <c r="AD3793" s="12"/>
      <c r="AE3793" s="12"/>
      <c r="AF3793" s="12"/>
      <c r="AG3793" s="12"/>
      <c r="AH3793" s="12"/>
      <c r="AI3793" s="12"/>
      <c r="AJ3793" s="12"/>
      <c r="AK3793" s="12"/>
      <c r="AL3793" s="12"/>
      <c r="AM3793" s="12"/>
      <c r="AN3793" s="12"/>
      <c r="AO3793" s="12"/>
    </row>
    <row r="3794" spans="1:41" x14ac:dyDescent="0.2">
      <c r="A3794" s="5">
        <v>510919</v>
      </c>
      <c r="B3794" s="6" t="s">
        <v>715</v>
      </c>
      <c r="C3794" s="12"/>
      <c r="D3794" s="12"/>
      <c r="E3794" s="12"/>
      <c r="F3794" s="12"/>
      <c r="G3794" s="12"/>
      <c r="H3794" s="12"/>
      <c r="I3794" s="12"/>
      <c r="J3794" s="12"/>
      <c r="K3794" s="12"/>
      <c r="L3794" s="12"/>
      <c r="M3794" s="12"/>
      <c r="N3794" s="12"/>
      <c r="O3794" s="12"/>
      <c r="P3794" s="12"/>
      <c r="Q3794" s="12"/>
      <c r="R3794" s="12"/>
      <c r="S3794" s="12"/>
      <c r="T3794" s="12"/>
      <c r="U3794" s="12"/>
      <c r="V3794" s="12"/>
      <c r="W3794" s="12"/>
      <c r="X3794" s="12"/>
      <c r="Y3794" s="12"/>
      <c r="Z3794" s="12"/>
      <c r="AA3794" s="12"/>
      <c r="AB3794" s="12"/>
      <c r="AC3794" s="12"/>
      <c r="AD3794" s="12"/>
      <c r="AE3794" s="12"/>
      <c r="AF3794" s="12"/>
      <c r="AG3794" s="12"/>
      <c r="AH3794" s="12"/>
      <c r="AI3794" s="12"/>
      <c r="AJ3794" s="12"/>
      <c r="AK3794" s="12"/>
      <c r="AL3794" s="12"/>
      <c r="AM3794" s="12"/>
      <c r="AN3794" s="12"/>
      <c r="AO3794" s="12"/>
    </row>
    <row r="3795" spans="1:41" x14ac:dyDescent="0.2">
      <c r="A3795" s="5">
        <v>510924</v>
      </c>
      <c r="B3795" s="6" t="s">
        <v>712</v>
      </c>
      <c r="C3795" s="12"/>
      <c r="D3795" s="12"/>
      <c r="E3795" s="12"/>
      <c r="F3795" s="12"/>
      <c r="G3795" s="12"/>
      <c r="H3795" s="12"/>
      <c r="I3795" s="12"/>
      <c r="J3795" s="12"/>
      <c r="K3795" s="12"/>
      <c r="L3795" s="12"/>
      <c r="M3795" s="12"/>
      <c r="N3795" s="12"/>
      <c r="O3795" s="12"/>
      <c r="P3795" s="12"/>
      <c r="Q3795" s="12"/>
      <c r="R3795" s="12"/>
      <c r="S3795" s="12"/>
      <c r="T3795" s="12"/>
      <c r="U3795" s="12"/>
      <c r="V3795" s="12"/>
      <c r="W3795" s="12"/>
      <c r="X3795" s="12"/>
      <c r="Y3795" s="12"/>
      <c r="Z3795" s="12"/>
      <c r="AA3795" s="12"/>
      <c r="AB3795" s="12"/>
      <c r="AC3795" s="12"/>
      <c r="AD3795" s="12"/>
      <c r="AE3795" s="12"/>
      <c r="AF3795" s="12"/>
      <c r="AG3795" s="12"/>
      <c r="AH3795" s="12"/>
      <c r="AI3795" s="12"/>
      <c r="AJ3795" s="12"/>
      <c r="AK3795" s="12"/>
      <c r="AL3795" s="12"/>
      <c r="AM3795" s="12"/>
      <c r="AN3795" s="12"/>
      <c r="AO3795" s="12"/>
    </row>
    <row r="3796" spans="1:41" x14ac:dyDescent="0.2">
      <c r="A3796" s="5">
        <v>51092401</v>
      </c>
      <c r="B3796" s="6" t="s">
        <v>713</v>
      </c>
      <c r="C3796" s="12"/>
      <c r="D3796" s="12"/>
      <c r="E3796" s="12"/>
      <c r="F3796" s="12"/>
      <c r="G3796" s="12"/>
      <c r="H3796" s="12"/>
      <c r="I3796" s="12"/>
      <c r="J3796" s="12"/>
      <c r="K3796" s="12"/>
      <c r="L3796" s="12"/>
      <c r="M3796" s="12"/>
      <c r="N3796" s="12"/>
      <c r="O3796" s="12"/>
      <c r="P3796" s="12"/>
      <c r="Q3796" s="12"/>
      <c r="R3796" s="12"/>
      <c r="S3796" s="12"/>
      <c r="T3796" s="12"/>
      <c r="U3796" s="12"/>
      <c r="V3796" s="12"/>
      <c r="W3796" s="12"/>
      <c r="X3796" s="12"/>
      <c r="Y3796" s="12"/>
      <c r="Z3796" s="12"/>
      <c r="AA3796" s="12"/>
      <c r="AB3796" s="12"/>
      <c r="AC3796" s="12"/>
      <c r="AD3796" s="12"/>
      <c r="AE3796" s="12"/>
      <c r="AF3796" s="12"/>
      <c r="AG3796" s="12"/>
      <c r="AH3796" s="12"/>
      <c r="AI3796" s="12"/>
      <c r="AJ3796" s="12"/>
      <c r="AK3796" s="12"/>
      <c r="AL3796" s="12"/>
      <c r="AM3796" s="12"/>
      <c r="AN3796" s="12"/>
      <c r="AO3796" s="12"/>
    </row>
    <row r="3797" spans="1:41" x14ac:dyDescent="0.2">
      <c r="A3797" s="5">
        <v>5109240101</v>
      </c>
      <c r="B3797" s="6" t="s">
        <v>714</v>
      </c>
      <c r="C3797" s="12"/>
      <c r="D3797" s="12"/>
      <c r="E3797" s="12"/>
      <c r="F3797" s="12"/>
      <c r="G3797" s="12"/>
      <c r="H3797" s="12"/>
      <c r="I3797" s="12"/>
      <c r="J3797" s="12"/>
      <c r="K3797" s="12"/>
      <c r="L3797" s="12"/>
      <c r="M3797" s="12"/>
      <c r="N3797" s="12"/>
      <c r="O3797" s="12"/>
      <c r="P3797" s="12"/>
      <c r="Q3797" s="12"/>
      <c r="R3797" s="12"/>
      <c r="S3797" s="12"/>
      <c r="T3797" s="12"/>
      <c r="U3797" s="12"/>
      <c r="V3797" s="12"/>
      <c r="W3797" s="12"/>
      <c r="X3797" s="12"/>
      <c r="Y3797" s="12"/>
      <c r="Z3797" s="12"/>
      <c r="AA3797" s="12"/>
      <c r="AB3797" s="12"/>
      <c r="AC3797" s="12"/>
      <c r="AD3797" s="12"/>
      <c r="AE3797" s="12"/>
      <c r="AF3797" s="12"/>
      <c r="AG3797" s="12"/>
      <c r="AH3797" s="12"/>
      <c r="AI3797" s="12"/>
      <c r="AJ3797" s="12"/>
      <c r="AK3797" s="12"/>
      <c r="AL3797" s="12"/>
      <c r="AM3797" s="12"/>
      <c r="AN3797" s="12"/>
      <c r="AO3797" s="12"/>
    </row>
    <row r="3798" spans="1:41" x14ac:dyDescent="0.2">
      <c r="A3798" s="5">
        <v>5109240102</v>
      </c>
      <c r="B3798" s="6" t="s">
        <v>715</v>
      </c>
      <c r="C3798" s="12"/>
      <c r="D3798" s="12"/>
      <c r="E3798" s="12"/>
      <c r="F3798" s="12"/>
      <c r="G3798" s="12"/>
      <c r="H3798" s="12"/>
      <c r="I3798" s="12"/>
      <c r="J3798" s="12"/>
      <c r="K3798" s="12"/>
      <c r="L3798" s="12"/>
      <c r="M3798" s="12"/>
      <c r="N3798" s="12"/>
      <c r="O3798" s="12"/>
      <c r="P3798" s="12"/>
      <c r="Q3798" s="12"/>
      <c r="R3798" s="12"/>
      <c r="S3798" s="12"/>
      <c r="T3798" s="12"/>
      <c r="U3798" s="12"/>
      <c r="V3798" s="12"/>
      <c r="W3798" s="12"/>
      <c r="X3798" s="12"/>
      <c r="Y3798" s="12"/>
      <c r="Z3798" s="12"/>
      <c r="AA3798" s="12"/>
      <c r="AB3798" s="12"/>
      <c r="AC3798" s="12"/>
      <c r="AD3798" s="12"/>
      <c r="AE3798" s="12"/>
      <c r="AF3798" s="12"/>
      <c r="AG3798" s="12"/>
      <c r="AH3798" s="12"/>
      <c r="AI3798" s="12"/>
      <c r="AJ3798" s="12"/>
      <c r="AK3798" s="12"/>
      <c r="AL3798" s="12"/>
      <c r="AM3798" s="12"/>
      <c r="AN3798" s="12"/>
      <c r="AO3798" s="12"/>
    </row>
    <row r="3799" spans="1:41" ht="14.25" x14ac:dyDescent="0.2">
      <c r="A3799" s="2">
        <v>510925</v>
      </c>
      <c r="B3799" s="3" t="s">
        <v>922</v>
      </c>
      <c r="C3799" s="9"/>
      <c r="D3799" s="9"/>
      <c r="E3799" s="9"/>
      <c r="F3799" s="9"/>
      <c r="G3799" s="9"/>
      <c r="H3799" s="9"/>
      <c r="I3799" s="9"/>
      <c r="J3799" s="9"/>
      <c r="K3799" s="9"/>
      <c r="L3799" s="9"/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  <c r="AB3799" s="9"/>
      <c r="AC3799" s="9"/>
      <c r="AD3799" s="9"/>
      <c r="AE3799" s="9"/>
      <c r="AF3799" s="9"/>
      <c r="AG3799" s="9"/>
      <c r="AH3799" s="9"/>
      <c r="AI3799" s="9"/>
      <c r="AJ3799" s="9"/>
      <c r="AK3799" s="9"/>
      <c r="AL3799" s="9"/>
      <c r="AM3799" s="9"/>
      <c r="AN3799" s="9"/>
      <c r="AO3799" s="9"/>
    </row>
    <row r="3800" spans="1:41" ht="14.25" x14ac:dyDescent="0.2">
      <c r="A3800" s="2">
        <v>510926</v>
      </c>
      <c r="B3800" s="3" t="s">
        <v>923</v>
      </c>
      <c r="C3800" s="9"/>
      <c r="D3800" s="9"/>
      <c r="E3800" s="9"/>
      <c r="F3800" s="9"/>
      <c r="G3800" s="9"/>
      <c r="H3800" s="9"/>
      <c r="I3800" s="9"/>
      <c r="J3800" s="9"/>
      <c r="K3800" s="9"/>
      <c r="L3800" s="9"/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9"/>
      <c r="AE3800" s="9"/>
      <c r="AF3800" s="9"/>
      <c r="AG3800" s="9"/>
      <c r="AH3800" s="9"/>
      <c r="AI3800" s="9"/>
      <c r="AJ3800" s="9"/>
      <c r="AK3800" s="9"/>
      <c r="AL3800" s="9"/>
      <c r="AM3800" s="9"/>
      <c r="AN3800" s="9"/>
      <c r="AO3800" s="9"/>
    </row>
    <row r="3801" spans="1:41" ht="14.25" x14ac:dyDescent="0.2">
      <c r="A3801" s="2">
        <v>510927</v>
      </c>
      <c r="B3801" s="3" t="s">
        <v>924</v>
      </c>
      <c r="C3801" s="9"/>
      <c r="D3801" s="9"/>
      <c r="E3801" s="9"/>
      <c r="F3801" s="9"/>
      <c r="G3801" s="9"/>
      <c r="H3801" s="9"/>
      <c r="I3801" s="9"/>
      <c r="J3801" s="9"/>
      <c r="K3801" s="9"/>
      <c r="L3801" s="9"/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  <c r="AB3801" s="9"/>
      <c r="AC3801" s="9"/>
      <c r="AD3801" s="9"/>
      <c r="AE3801" s="9"/>
      <c r="AF3801" s="9"/>
      <c r="AG3801" s="9"/>
      <c r="AH3801" s="9"/>
      <c r="AI3801" s="9"/>
      <c r="AJ3801" s="9"/>
      <c r="AK3801" s="9"/>
      <c r="AL3801" s="9"/>
      <c r="AM3801" s="9"/>
      <c r="AN3801" s="9"/>
      <c r="AO3801" s="9"/>
    </row>
    <row r="3802" spans="1:41" ht="14.25" x14ac:dyDescent="0.2">
      <c r="A3802" s="2">
        <v>510928</v>
      </c>
      <c r="B3802" s="3" t="s">
        <v>925</v>
      </c>
      <c r="C3802" s="9"/>
      <c r="D3802" s="9"/>
      <c r="E3802" s="9"/>
      <c r="F3802" s="9"/>
      <c r="G3802" s="9"/>
      <c r="H3802" s="9"/>
      <c r="I3802" s="9"/>
      <c r="J3802" s="9"/>
      <c r="K3802" s="9"/>
      <c r="L3802" s="9"/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9"/>
      <c r="AC3802" s="9"/>
      <c r="AD3802" s="9"/>
      <c r="AE3802" s="9"/>
      <c r="AF3802" s="9"/>
      <c r="AG3802" s="9"/>
      <c r="AH3802" s="9"/>
      <c r="AI3802" s="9"/>
      <c r="AJ3802" s="9"/>
      <c r="AK3802" s="9"/>
      <c r="AL3802" s="9"/>
      <c r="AM3802" s="9"/>
      <c r="AN3802" s="9"/>
      <c r="AO3802" s="9"/>
    </row>
    <row r="3803" spans="1:41" ht="14.25" x14ac:dyDescent="0.2">
      <c r="A3803" s="2">
        <v>51092801</v>
      </c>
      <c r="B3803" s="3" t="s">
        <v>263</v>
      </c>
      <c r="C3803" s="9"/>
      <c r="D3803" s="9"/>
      <c r="E3803" s="9"/>
      <c r="F3803" s="9"/>
      <c r="G3803" s="9"/>
      <c r="H3803" s="9"/>
      <c r="I3803" s="9"/>
      <c r="J3803" s="9"/>
      <c r="K3803" s="9"/>
      <c r="L3803" s="9"/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9"/>
      <c r="AF3803" s="9"/>
      <c r="AG3803" s="9"/>
      <c r="AH3803" s="9"/>
      <c r="AI3803" s="9"/>
      <c r="AJ3803" s="9"/>
      <c r="AK3803" s="9"/>
      <c r="AL3803" s="9"/>
      <c r="AM3803" s="9"/>
      <c r="AN3803" s="9"/>
      <c r="AO3803" s="9"/>
    </row>
    <row r="3804" spans="1:41" ht="14.25" x14ac:dyDescent="0.2">
      <c r="A3804" s="2">
        <v>51092802</v>
      </c>
      <c r="B3804" s="3" t="s">
        <v>264</v>
      </c>
      <c r="C3804" s="9"/>
      <c r="D3804" s="9"/>
      <c r="E3804" s="9"/>
      <c r="F3804" s="9"/>
      <c r="G3804" s="9"/>
      <c r="H3804" s="9"/>
      <c r="I3804" s="9"/>
      <c r="J3804" s="9"/>
      <c r="K3804" s="9"/>
      <c r="L3804" s="9"/>
      <c r="M3804" s="9"/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9"/>
      <c r="AE3804" s="9"/>
      <c r="AF3804" s="9"/>
      <c r="AG3804" s="9"/>
      <c r="AH3804" s="9"/>
      <c r="AI3804" s="9"/>
      <c r="AJ3804" s="9"/>
      <c r="AK3804" s="9"/>
      <c r="AL3804" s="9"/>
      <c r="AM3804" s="9"/>
      <c r="AN3804" s="9"/>
      <c r="AO3804" s="9"/>
    </row>
    <row r="3805" spans="1:41" ht="14.25" x14ac:dyDescent="0.2">
      <c r="A3805" s="2">
        <v>51092803</v>
      </c>
      <c r="B3805" s="3" t="s">
        <v>265</v>
      </c>
      <c r="C3805" s="9"/>
      <c r="D3805" s="9"/>
      <c r="E3805" s="9"/>
      <c r="F3805" s="9"/>
      <c r="G3805" s="9"/>
      <c r="H3805" s="9"/>
      <c r="I3805" s="9"/>
      <c r="J3805" s="9"/>
      <c r="K3805" s="9"/>
      <c r="L3805" s="9"/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9"/>
      <c r="AG3805" s="9"/>
      <c r="AH3805" s="9"/>
      <c r="AI3805" s="9"/>
      <c r="AJ3805" s="9"/>
      <c r="AK3805" s="9"/>
      <c r="AL3805" s="9"/>
      <c r="AM3805" s="9"/>
      <c r="AN3805" s="9"/>
      <c r="AO3805" s="9"/>
    </row>
    <row r="3806" spans="1:41" ht="14.25" x14ac:dyDescent="0.2">
      <c r="A3806" s="2">
        <v>510999</v>
      </c>
      <c r="B3806" s="3" t="s">
        <v>59</v>
      </c>
      <c r="C3806" s="9"/>
      <c r="D3806" s="9"/>
      <c r="E3806" s="9"/>
      <c r="F3806" s="9"/>
      <c r="G3806" s="9"/>
      <c r="H3806" s="9"/>
      <c r="I3806" s="9"/>
      <c r="J3806" s="9"/>
      <c r="K3806" s="9"/>
      <c r="L3806" s="9"/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9"/>
      <c r="AF3806" s="9"/>
      <c r="AG3806" s="9"/>
      <c r="AH3806" s="9"/>
      <c r="AI3806" s="9"/>
      <c r="AJ3806" s="9"/>
      <c r="AK3806" s="9"/>
      <c r="AL3806" s="9"/>
      <c r="AM3806" s="9"/>
      <c r="AN3806" s="9"/>
      <c r="AO3806" s="9"/>
    </row>
    <row r="3807" spans="1:41" ht="14.25" x14ac:dyDescent="0.2">
      <c r="A3807" s="2">
        <v>52</v>
      </c>
      <c r="B3807" s="3" t="s">
        <v>926</v>
      </c>
      <c r="C3807" s="20">
        <f>+C3812</f>
        <v>-759.43999999999994</v>
      </c>
      <c r="D3807" s="20">
        <f t="shared" ref="D3807:AO3807" si="99">+D3812</f>
        <v>-1323.02</v>
      </c>
      <c r="E3807" s="20">
        <f t="shared" si="99"/>
        <v>-3146.75</v>
      </c>
      <c r="F3807" s="20">
        <f t="shared" si="99"/>
        <v>-3477.55</v>
      </c>
      <c r="G3807" s="20">
        <f t="shared" si="99"/>
        <v>-3750.97</v>
      </c>
      <c r="H3807" s="20">
        <f t="shared" si="99"/>
        <v>-10147.64</v>
      </c>
      <c r="I3807" s="20">
        <f t="shared" si="99"/>
        <v>-10706.56</v>
      </c>
      <c r="J3807" s="20">
        <f t="shared" si="99"/>
        <v>-19628.559999999998</v>
      </c>
      <c r="K3807" s="20">
        <f t="shared" si="99"/>
        <v>-21271.739999999998</v>
      </c>
      <c r="L3807" s="20">
        <f t="shared" si="99"/>
        <v>-23492.739999999998</v>
      </c>
      <c r="M3807" s="20">
        <f t="shared" si="99"/>
        <v>-25005.75</v>
      </c>
      <c r="N3807" s="20">
        <f t="shared" si="99"/>
        <v>-26154.75</v>
      </c>
      <c r="O3807" s="20">
        <f t="shared" si="99"/>
        <v>-2714.04</v>
      </c>
      <c r="P3807" s="20">
        <f t="shared" si="99"/>
        <v>-6773.09</v>
      </c>
      <c r="Q3807" s="20">
        <f t="shared" si="99"/>
        <v>-11113.75</v>
      </c>
      <c r="R3807" s="20">
        <f t="shared" si="99"/>
        <v>-12228.060000000001</v>
      </c>
      <c r="S3807" s="20">
        <f t="shared" si="99"/>
        <v>-13589.65</v>
      </c>
      <c r="T3807" s="20">
        <f t="shared" si="99"/>
        <v>-14838.65</v>
      </c>
      <c r="U3807" s="20">
        <f t="shared" si="99"/>
        <v>-23275.64</v>
      </c>
      <c r="V3807" s="20">
        <f t="shared" si="99"/>
        <v>-24121.64</v>
      </c>
      <c r="W3807" s="20">
        <f t="shared" si="99"/>
        <v>-26070.639999999999</v>
      </c>
      <c r="X3807" s="20">
        <f t="shared" si="99"/>
        <v>-28425.64</v>
      </c>
      <c r="Y3807" s="20">
        <f t="shared" si="99"/>
        <v>-29965.64</v>
      </c>
      <c r="Z3807" s="20">
        <f t="shared" si="99"/>
        <v>-31295.64</v>
      </c>
      <c r="AA3807" s="20">
        <f t="shared" si="99"/>
        <v>-1035</v>
      </c>
      <c r="AB3807" s="20">
        <f t="shared" si="99"/>
        <v>-3841.14</v>
      </c>
      <c r="AC3807" s="20">
        <f t="shared" si="99"/>
        <v>-8230.17</v>
      </c>
      <c r="AD3807" s="20">
        <f t="shared" si="99"/>
        <v>-10913.17</v>
      </c>
      <c r="AE3807" s="20">
        <f t="shared" si="99"/>
        <v>-13428.17</v>
      </c>
      <c r="AF3807" s="20">
        <f t="shared" si="99"/>
        <v>-16054.65</v>
      </c>
      <c r="AG3807" s="20">
        <f t="shared" si="99"/>
        <v>-17544.75</v>
      </c>
      <c r="AH3807" s="20">
        <f t="shared" si="99"/>
        <v>-18090.09</v>
      </c>
      <c r="AI3807" s="20">
        <f t="shared" si="99"/>
        <v>-18690.72</v>
      </c>
      <c r="AJ3807" s="20">
        <f t="shared" si="99"/>
        <v>-19040.760000000002</v>
      </c>
      <c r="AK3807" s="20">
        <f t="shared" si="99"/>
        <v>-20035.760000000002</v>
      </c>
      <c r="AL3807" s="20">
        <f t="shared" si="99"/>
        <v>-21060.760000000002</v>
      </c>
      <c r="AM3807" s="20">
        <f t="shared" si="99"/>
        <v>-1810.24</v>
      </c>
      <c r="AN3807" s="20">
        <f t="shared" si="99"/>
        <v>-4775.6499999999996</v>
      </c>
      <c r="AO3807" s="20">
        <f t="shared" si="99"/>
        <v>-7170.8899999999994</v>
      </c>
    </row>
    <row r="3808" spans="1:41" ht="14.25" x14ac:dyDescent="0.2">
      <c r="A3808" s="2">
        <v>5201</v>
      </c>
      <c r="B3808" s="3" t="s">
        <v>927</v>
      </c>
      <c r="C3808" s="9"/>
      <c r="D3808" s="9"/>
      <c r="E3808" s="9"/>
      <c r="F3808" s="9"/>
      <c r="G3808" s="9"/>
      <c r="H3808" s="9"/>
      <c r="I3808" s="9"/>
      <c r="J3808" s="9"/>
      <c r="K3808" s="9"/>
      <c r="L3808" s="9"/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9"/>
      <c r="AF3808" s="9"/>
      <c r="AG3808" s="9"/>
      <c r="AH3808" s="9"/>
      <c r="AI3808" s="9"/>
      <c r="AJ3808" s="9"/>
      <c r="AK3808" s="9"/>
      <c r="AL3808" s="9"/>
      <c r="AM3808" s="9"/>
      <c r="AN3808" s="9"/>
      <c r="AO3808" s="9"/>
    </row>
    <row r="3809" spans="1:41" ht="14.25" x14ac:dyDescent="0.2">
      <c r="A3809" s="2">
        <v>520101</v>
      </c>
      <c r="B3809" s="3" t="s">
        <v>720</v>
      </c>
      <c r="C3809" s="9"/>
      <c r="D3809" s="9"/>
      <c r="E3809" s="9"/>
      <c r="F3809" s="9"/>
      <c r="G3809" s="9"/>
      <c r="H3809" s="9"/>
      <c r="I3809" s="9"/>
      <c r="J3809" s="9"/>
      <c r="K3809" s="9"/>
      <c r="L3809" s="9"/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9"/>
      <c r="AD3809" s="9"/>
      <c r="AE3809" s="9"/>
      <c r="AF3809" s="9"/>
      <c r="AG3809" s="9"/>
      <c r="AH3809" s="9"/>
      <c r="AI3809" s="9"/>
      <c r="AJ3809" s="9"/>
      <c r="AK3809" s="9"/>
      <c r="AL3809" s="9"/>
      <c r="AM3809" s="9"/>
      <c r="AN3809" s="9"/>
      <c r="AO3809" s="9"/>
    </row>
    <row r="3810" spans="1:41" ht="14.25" x14ac:dyDescent="0.2">
      <c r="A3810" s="2">
        <v>520102</v>
      </c>
      <c r="B3810" s="3" t="s">
        <v>928</v>
      </c>
      <c r="C3810" s="9"/>
      <c r="D3810" s="9"/>
      <c r="E3810" s="9"/>
      <c r="F3810" s="9"/>
      <c r="G3810" s="9"/>
      <c r="H3810" s="9"/>
      <c r="I3810" s="9"/>
      <c r="J3810" s="9"/>
      <c r="K3810" s="9"/>
      <c r="L3810" s="9"/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9"/>
      <c r="AF3810" s="9"/>
      <c r="AG3810" s="9"/>
      <c r="AH3810" s="9"/>
      <c r="AI3810" s="9"/>
      <c r="AJ3810" s="9"/>
      <c r="AK3810" s="9"/>
      <c r="AL3810" s="9"/>
      <c r="AM3810" s="9"/>
      <c r="AN3810" s="9"/>
      <c r="AO3810" s="9"/>
    </row>
    <row r="3811" spans="1:41" ht="28.5" x14ac:dyDescent="0.2">
      <c r="A3811" s="2">
        <v>520105</v>
      </c>
      <c r="B3811" s="4" t="s">
        <v>929</v>
      </c>
      <c r="C3811" s="11"/>
      <c r="D3811" s="11"/>
      <c r="E3811" s="11"/>
      <c r="F3811" s="11"/>
      <c r="G3811" s="11"/>
      <c r="H3811" s="11"/>
      <c r="I3811" s="11"/>
      <c r="J3811" s="11"/>
      <c r="K3811" s="11"/>
      <c r="L3811" s="11"/>
      <c r="M3811" s="11"/>
      <c r="N3811" s="11"/>
      <c r="O3811" s="11"/>
      <c r="P3811" s="11"/>
      <c r="Q3811" s="11"/>
      <c r="R3811" s="11"/>
      <c r="S3811" s="11"/>
      <c r="T3811" s="11"/>
      <c r="U3811" s="11"/>
      <c r="V3811" s="11"/>
      <c r="W3811" s="11"/>
      <c r="X3811" s="11"/>
      <c r="Y3811" s="11"/>
      <c r="Z3811" s="11"/>
      <c r="AA3811" s="11"/>
      <c r="AB3811" s="11"/>
      <c r="AC3811" s="11"/>
      <c r="AD3811" s="11"/>
      <c r="AE3811" s="11"/>
      <c r="AF3811" s="11"/>
      <c r="AG3811" s="11"/>
      <c r="AH3811" s="11"/>
      <c r="AI3811" s="11"/>
      <c r="AJ3811" s="11"/>
      <c r="AK3811" s="11"/>
      <c r="AL3811" s="11"/>
      <c r="AM3811" s="11"/>
      <c r="AN3811" s="11"/>
      <c r="AO3811" s="11"/>
    </row>
    <row r="3812" spans="1:41" ht="14.25" x14ac:dyDescent="0.2">
      <c r="A3812" s="2">
        <v>5202</v>
      </c>
      <c r="B3812" s="3" t="s">
        <v>930</v>
      </c>
      <c r="C3812" s="20">
        <f>+C3832+C3833+C3834+C3835+C3836+C3837</f>
        <v>-759.43999999999994</v>
      </c>
      <c r="D3812" s="20">
        <f t="shared" ref="D3812:AO3812" si="100">+D3832+D3833+D3834+D3835+D3836+D3837</f>
        <v>-1323.02</v>
      </c>
      <c r="E3812" s="20">
        <f t="shared" si="100"/>
        <v>-3146.75</v>
      </c>
      <c r="F3812" s="20">
        <f t="shared" si="100"/>
        <v>-3477.55</v>
      </c>
      <c r="G3812" s="20">
        <f t="shared" si="100"/>
        <v>-3750.97</v>
      </c>
      <c r="H3812" s="20">
        <f t="shared" si="100"/>
        <v>-10147.64</v>
      </c>
      <c r="I3812" s="20">
        <f t="shared" si="100"/>
        <v>-10706.56</v>
      </c>
      <c r="J3812" s="20">
        <f t="shared" si="100"/>
        <v>-19628.559999999998</v>
      </c>
      <c r="K3812" s="20">
        <f t="shared" si="100"/>
        <v>-21271.739999999998</v>
      </c>
      <c r="L3812" s="20">
        <f t="shared" si="100"/>
        <v>-23492.739999999998</v>
      </c>
      <c r="M3812" s="20">
        <f t="shared" si="100"/>
        <v>-25005.75</v>
      </c>
      <c r="N3812" s="20">
        <f t="shared" si="100"/>
        <v>-26154.75</v>
      </c>
      <c r="O3812" s="20">
        <f t="shared" si="100"/>
        <v>-2714.04</v>
      </c>
      <c r="P3812" s="20">
        <f t="shared" si="100"/>
        <v>-6773.09</v>
      </c>
      <c r="Q3812" s="20">
        <f t="shared" si="100"/>
        <v>-11113.75</v>
      </c>
      <c r="R3812" s="20">
        <f t="shared" si="100"/>
        <v>-12228.060000000001</v>
      </c>
      <c r="S3812" s="20">
        <f t="shared" si="100"/>
        <v>-13589.65</v>
      </c>
      <c r="T3812" s="20">
        <f t="shared" si="100"/>
        <v>-14838.65</v>
      </c>
      <c r="U3812" s="20">
        <f t="shared" si="100"/>
        <v>-23275.64</v>
      </c>
      <c r="V3812" s="20">
        <f t="shared" si="100"/>
        <v>-24121.64</v>
      </c>
      <c r="W3812" s="20">
        <f t="shared" si="100"/>
        <v>-26070.639999999999</v>
      </c>
      <c r="X3812" s="20">
        <f t="shared" si="100"/>
        <v>-28425.64</v>
      </c>
      <c r="Y3812" s="20">
        <f t="shared" si="100"/>
        <v>-29965.64</v>
      </c>
      <c r="Z3812" s="20">
        <f t="shared" si="100"/>
        <v>-31295.64</v>
      </c>
      <c r="AA3812" s="20">
        <f t="shared" si="100"/>
        <v>-1035</v>
      </c>
      <c r="AB3812" s="20">
        <f t="shared" si="100"/>
        <v>-3841.14</v>
      </c>
      <c r="AC3812" s="20">
        <f t="shared" si="100"/>
        <v>-8230.17</v>
      </c>
      <c r="AD3812" s="20">
        <f t="shared" si="100"/>
        <v>-10913.17</v>
      </c>
      <c r="AE3812" s="20">
        <f t="shared" si="100"/>
        <v>-13428.17</v>
      </c>
      <c r="AF3812" s="20">
        <f t="shared" si="100"/>
        <v>-16054.65</v>
      </c>
      <c r="AG3812" s="20">
        <f t="shared" si="100"/>
        <v>-17544.75</v>
      </c>
      <c r="AH3812" s="20">
        <f t="shared" si="100"/>
        <v>-18090.09</v>
      </c>
      <c r="AI3812" s="20">
        <f t="shared" si="100"/>
        <v>-18690.72</v>
      </c>
      <c r="AJ3812" s="20">
        <f t="shared" si="100"/>
        <v>-19040.760000000002</v>
      </c>
      <c r="AK3812" s="20">
        <f t="shared" si="100"/>
        <v>-20035.760000000002</v>
      </c>
      <c r="AL3812" s="20">
        <f t="shared" si="100"/>
        <v>-21060.760000000002</v>
      </c>
      <c r="AM3812" s="20">
        <f t="shared" si="100"/>
        <v>-1810.24</v>
      </c>
      <c r="AN3812" s="20">
        <f t="shared" si="100"/>
        <v>-4775.6499999999996</v>
      </c>
      <c r="AO3812" s="20">
        <f t="shared" si="100"/>
        <v>-7170.8899999999994</v>
      </c>
    </row>
    <row r="3813" spans="1:41" ht="14.25" x14ac:dyDescent="0.2">
      <c r="A3813" s="2">
        <v>520201</v>
      </c>
      <c r="B3813" s="3" t="s">
        <v>931</v>
      </c>
      <c r="C3813" s="9"/>
      <c r="D3813" s="9"/>
      <c r="E3813" s="9"/>
      <c r="F3813" s="9"/>
      <c r="G3813" s="9"/>
      <c r="H3813" s="9"/>
      <c r="I3813" s="9"/>
      <c r="J3813" s="9"/>
      <c r="K3813" s="9"/>
      <c r="L3813" s="9"/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9"/>
      <c r="AL3813" s="9"/>
      <c r="AM3813" s="9"/>
      <c r="AN3813" s="9"/>
      <c r="AO3813" s="9"/>
    </row>
    <row r="3814" spans="1:41" ht="14.25" x14ac:dyDescent="0.2">
      <c r="A3814" s="2">
        <v>520202</v>
      </c>
      <c r="B3814" s="3" t="s">
        <v>725</v>
      </c>
      <c r="C3814" s="9"/>
      <c r="D3814" s="9"/>
      <c r="E3814" s="9"/>
      <c r="F3814" s="9"/>
      <c r="G3814" s="9"/>
      <c r="H3814" s="9"/>
      <c r="I3814" s="9"/>
      <c r="J3814" s="9"/>
      <c r="K3814" s="9"/>
      <c r="L3814" s="9"/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9"/>
      <c r="AL3814" s="9"/>
      <c r="AM3814" s="9"/>
      <c r="AN3814" s="9"/>
      <c r="AO3814" s="9"/>
    </row>
    <row r="3815" spans="1:41" ht="14.25" x14ac:dyDescent="0.2">
      <c r="A3815" s="2">
        <v>520203</v>
      </c>
      <c r="B3815" s="3" t="s">
        <v>932</v>
      </c>
      <c r="C3815" s="9"/>
      <c r="D3815" s="9"/>
      <c r="E3815" s="9"/>
      <c r="F3815" s="9"/>
      <c r="G3815" s="9"/>
      <c r="H3815" s="9"/>
      <c r="I3815" s="9"/>
      <c r="J3815" s="9"/>
      <c r="K3815" s="9"/>
      <c r="L3815" s="9"/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9"/>
      <c r="AL3815" s="9"/>
      <c r="AM3815" s="9"/>
      <c r="AN3815" s="9"/>
      <c r="AO3815" s="9"/>
    </row>
    <row r="3816" spans="1:41" x14ac:dyDescent="0.2">
      <c r="A3816" s="5">
        <v>520204</v>
      </c>
      <c r="B3816" s="6" t="s">
        <v>727</v>
      </c>
      <c r="C3816" s="12"/>
      <c r="D3816" s="12"/>
      <c r="E3816" s="12"/>
      <c r="F3816" s="12"/>
      <c r="G3816" s="12"/>
      <c r="H3816" s="12"/>
      <c r="I3816" s="12"/>
      <c r="J3816" s="12"/>
      <c r="K3816" s="12"/>
      <c r="L3816" s="12"/>
      <c r="M3816" s="12"/>
      <c r="N3816" s="12"/>
      <c r="O3816" s="12"/>
      <c r="P3816" s="12"/>
      <c r="Q3816" s="12"/>
      <c r="R3816" s="12"/>
      <c r="S3816" s="12"/>
      <c r="T3816" s="12"/>
      <c r="U3816" s="12"/>
      <c r="V3816" s="12"/>
      <c r="W3816" s="12"/>
      <c r="X3816" s="12"/>
      <c r="Y3816" s="12"/>
      <c r="Z3816" s="12"/>
      <c r="AA3816" s="12"/>
      <c r="AB3816" s="12"/>
      <c r="AC3816" s="12"/>
      <c r="AD3816" s="12"/>
      <c r="AE3816" s="12"/>
      <c r="AF3816" s="12"/>
      <c r="AG3816" s="12"/>
      <c r="AH3816" s="12"/>
      <c r="AI3816" s="12"/>
      <c r="AJ3816" s="12"/>
      <c r="AK3816" s="12"/>
      <c r="AL3816" s="12"/>
      <c r="AM3816" s="12"/>
      <c r="AN3816" s="12"/>
      <c r="AO3816" s="12"/>
    </row>
    <row r="3817" spans="1:41" x14ac:dyDescent="0.2">
      <c r="A3817" s="5">
        <v>520207</v>
      </c>
      <c r="B3817" s="6" t="s">
        <v>729</v>
      </c>
      <c r="C3817" s="12"/>
      <c r="D3817" s="12"/>
      <c r="E3817" s="12"/>
      <c r="F3817" s="12"/>
      <c r="G3817" s="12"/>
      <c r="H3817" s="12"/>
      <c r="I3817" s="12"/>
      <c r="J3817" s="12"/>
      <c r="K3817" s="12"/>
      <c r="L3817" s="12"/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  <c r="X3817" s="12"/>
      <c r="Y3817" s="12"/>
      <c r="Z3817" s="12"/>
      <c r="AA3817" s="12"/>
      <c r="AB3817" s="12"/>
      <c r="AC3817" s="12"/>
      <c r="AD3817" s="12"/>
      <c r="AE3817" s="12"/>
      <c r="AF3817" s="12"/>
      <c r="AG3817" s="12"/>
      <c r="AH3817" s="12"/>
      <c r="AI3817" s="12"/>
      <c r="AJ3817" s="12"/>
      <c r="AK3817" s="12"/>
      <c r="AL3817" s="12"/>
      <c r="AM3817" s="12"/>
      <c r="AN3817" s="12"/>
      <c r="AO3817" s="12"/>
    </row>
    <row r="3818" spans="1:41" x14ac:dyDescent="0.2">
      <c r="A3818" s="5">
        <v>520208</v>
      </c>
      <c r="B3818" s="6" t="s">
        <v>730</v>
      </c>
      <c r="C3818" s="12"/>
      <c r="D3818" s="12"/>
      <c r="E3818" s="12"/>
      <c r="F3818" s="12"/>
      <c r="G3818" s="12"/>
      <c r="H3818" s="12"/>
      <c r="I3818" s="12"/>
      <c r="J3818" s="12"/>
      <c r="K3818" s="12"/>
      <c r="L3818" s="12"/>
      <c r="M3818" s="12"/>
      <c r="N3818" s="12"/>
      <c r="O3818" s="12"/>
      <c r="P3818" s="12"/>
      <c r="Q3818" s="12"/>
      <c r="R3818" s="12"/>
      <c r="S3818" s="12"/>
      <c r="T3818" s="12"/>
      <c r="U3818" s="12"/>
      <c r="V3818" s="12"/>
      <c r="W3818" s="12"/>
      <c r="X3818" s="12"/>
      <c r="Y3818" s="12"/>
      <c r="Z3818" s="12"/>
      <c r="AA3818" s="12"/>
      <c r="AB3818" s="12"/>
      <c r="AC3818" s="12"/>
      <c r="AD3818" s="12"/>
      <c r="AE3818" s="12"/>
      <c r="AF3818" s="12"/>
      <c r="AG3818" s="12"/>
      <c r="AH3818" s="12"/>
      <c r="AI3818" s="12"/>
      <c r="AJ3818" s="12"/>
      <c r="AK3818" s="12"/>
      <c r="AL3818" s="12"/>
      <c r="AM3818" s="12"/>
      <c r="AN3818" s="12"/>
      <c r="AO3818" s="12"/>
    </row>
    <row r="3819" spans="1:41" x14ac:dyDescent="0.2">
      <c r="A3819" s="5">
        <v>520209</v>
      </c>
      <c r="B3819" s="6" t="s">
        <v>414</v>
      </c>
      <c r="C3819" s="12"/>
      <c r="D3819" s="12"/>
      <c r="E3819" s="12"/>
      <c r="F3819" s="12"/>
      <c r="G3819" s="12"/>
      <c r="H3819" s="12"/>
      <c r="I3819" s="12"/>
      <c r="J3819" s="12"/>
      <c r="K3819" s="12"/>
      <c r="L3819" s="12"/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2"/>
      <c r="Z3819" s="12"/>
      <c r="AA3819" s="12"/>
      <c r="AB3819" s="12"/>
      <c r="AC3819" s="12"/>
      <c r="AD3819" s="12"/>
      <c r="AE3819" s="12"/>
      <c r="AF3819" s="12"/>
      <c r="AG3819" s="12"/>
      <c r="AH3819" s="12"/>
      <c r="AI3819" s="12"/>
      <c r="AJ3819" s="12"/>
      <c r="AK3819" s="12"/>
      <c r="AL3819" s="12"/>
      <c r="AM3819" s="12"/>
      <c r="AN3819" s="12"/>
      <c r="AO3819" s="12"/>
    </row>
    <row r="3820" spans="1:41" x14ac:dyDescent="0.2">
      <c r="A3820" s="5">
        <v>520210</v>
      </c>
      <c r="B3820" s="6" t="s">
        <v>413</v>
      </c>
      <c r="C3820" s="12"/>
      <c r="D3820" s="12"/>
      <c r="E3820" s="12"/>
      <c r="F3820" s="12"/>
      <c r="G3820" s="12"/>
      <c r="H3820" s="12"/>
      <c r="I3820" s="12"/>
      <c r="J3820" s="12"/>
      <c r="K3820" s="12"/>
      <c r="L3820" s="12"/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  <c r="X3820" s="12"/>
      <c r="Y3820" s="12"/>
      <c r="Z3820" s="12"/>
      <c r="AA3820" s="12"/>
      <c r="AB3820" s="12"/>
      <c r="AC3820" s="12"/>
      <c r="AD3820" s="12"/>
      <c r="AE3820" s="12"/>
      <c r="AF3820" s="12"/>
      <c r="AG3820" s="12"/>
      <c r="AH3820" s="12"/>
      <c r="AI3820" s="12"/>
      <c r="AJ3820" s="12"/>
      <c r="AK3820" s="12"/>
      <c r="AL3820" s="12"/>
      <c r="AM3820" s="12"/>
      <c r="AN3820" s="12"/>
      <c r="AO3820" s="12"/>
    </row>
    <row r="3821" spans="1:41" x14ac:dyDescent="0.2">
      <c r="A3821" s="5">
        <v>520211</v>
      </c>
      <c r="B3821" s="6" t="s">
        <v>416</v>
      </c>
      <c r="C3821" s="12"/>
      <c r="D3821" s="12"/>
      <c r="E3821" s="12"/>
      <c r="F3821" s="12"/>
      <c r="G3821" s="12"/>
      <c r="H3821" s="12"/>
      <c r="I3821" s="12"/>
      <c r="J3821" s="12"/>
      <c r="K3821" s="12"/>
      <c r="L3821" s="12"/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  <c r="X3821" s="12"/>
      <c r="Y3821" s="12"/>
      <c r="Z3821" s="12"/>
      <c r="AA3821" s="12"/>
      <c r="AB3821" s="12"/>
      <c r="AC3821" s="12"/>
      <c r="AD3821" s="12"/>
      <c r="AE3821" s="12"/>
      <c r="AF3821" s="12"/>
      <c r="AG3821" s="12"/>
      <c r="AH3821" s="12"/>
      <c r="AI3821" s="12"/>
      <c r="AJ3821" s="12"/>
      <c r="AK3821" s="12"/>
      <c r="AL3821" s="12"/>
      <c r="AM3821" s="12"/>
      <c r="AN3821" s="12"/>
      <c r="AO3821" s="12"/>
    </row>
    <row r="3822" spans="1:41" x14ac:dyDescent="0.2">
      <c r="A3822" s="5">
        <v>520212</v>
      </c>
      <c r="B3822" s="6" t="s">
        <v>933</v>
      </c>
      <c r="C3822" s="12"/>
      <c r="D3822" s="12"/>
      <c r="E3822" s="12"/>
      <c r="F3822" s="12"/>
      <c r="G3822" s="12"/>
      <c r="H3822" s="12"/>
      <c r="I3822" s="12"/>
      <c r="J3822" s="12"/>
      <c r="K3822" s="12"/>
      <c r="L3822" s="12"/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  <c r="X3822" s="12"/>
      <c r="Y3822" s="12"/>
      <c r="Z3822" s="12"/>
      <c r="AA3822" s="12"/>
      <c r="AB3822" s="12"/>
      <c r="AC3822" s="12"/>
      <c r="AD3822" s="12"/>
      <c r="AE3822" s="12"/>
      <c r="AF3822" s="12"/>
      <c r="AG3822" s="12"/>
      <c r="AH3822" s="12"/>
      <c r="AI3822" s="12"/>
      <c r="AJ3822" s="12"/>
      <c r="AK3822" s="12"/>
      <c r="AL3822" s="12"/>
      <c r="AM3822" s="12"/>
      <c r="AN3822" s="12"/>
      <c r="AO3822" s="12"/>
    </row>
    <row r="3823" spans="1:41" x14ac:dyDescent="0.2">
      <c r="A3823" s="5">
        <v>520213</v>
      </c>
      <c r="B3823" s="6" t="s">
        <v>735</v>
      </c>
      <c r="C3823" s="12"/>
      <c r="D3823" s="12"/>
      <c r="E3823" s="12"/>
      <c r="F3823" s="12"/>
      <c r="G3823" s="12"/>
      <c r="H3823" s="12"/>
      <c r="I3823" s="12"/>
      <c r="J3823" s="12"/>
      <c r="K3823" s="12"/>
      <c r="L3823" s="12"/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2"/>
      <c r="Z3823" s="12"/>
      <c r="AA3823" s="12"/>
      <c r="AB3823" s="12"/>
      <c r="AC3823" s="12"/>
      <c r="AD3823" s="12"/>
      <c r="AE3823" s="12"/>
      <c r="AF3823" s="12"/>
      <c r="AG3823" s="12"/>
      <c r="AH3823" s="12"/>
      <c r="AI3823" s="12"/>
      <c r="AJ3823" s="12"/>
      <c r="AK3823" s="12"/>
      <c r="AL3823" s="12"/>
      <c r="AM3823" s="12"/>
      <c r="AN3823" s="12"/>
      <c r="AO3823" s="12"/>
    </row>
    <row r="3824" spans="1:41" ht="14.25" x14ac:dyDescent="0.2">
      <c r="A3824" s="2">
        <v>520214</v>
      </c>
      <c r="B3824" s="3" t="s">
        <v>934</v>
      </c>
      <c r="C3824" s="9"/>
      <c r="D3824" s="9"/>
      <c r="E3824" s="9"/>
      <c r="F3824" s="9"/>
      <c r="G3824" s="9"/>
      <c r="H3824" s="9"/>
      <c r="I3824" s="9"/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9"/>
      <c r="AL3824" s="9"/>
      <c r="AM3824" s="9"/>
      <c r="AN3824" s="9"/>
      <c r="AO3824" s="9"/>
    </row>
    <row r="3825" spans="1:41" ht="14.25" x14ac:dyDescent="0.2">
      <c r="A3825" s="2">
        <v>520215</v>
      </c>
      <c r="B3825" s="3" t="s">
        <v>935</v>
      </c>
      <c r="C3825" s="9"/>
      <c r="D3825" s="9"/>
      <c r="E3825" s="9"/>
      <c r="F3825" s="9"/>
      <c r="G3825" s="9"/>
      <c r="H3825" s="9"/>
      <c r="I3825" s="9"/>
      <c r="J3825" s="9"/>
      <c r="K3825" s="9"/>
      <c r="L3825" s="9"/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9"/>
      <c r="AL3825" s="9"/>
      <c r="AM3825" s="9"/>
      <c r="AN3825" s="9"/>
      <c r="AO3825" s="9"/>
    </row>
    <row r="3826" spans="1:41" ht="14.25" x14ac:dyDescent="0.2">
      <c r="A3826" s="2">
        <v>520216</v>
      </c>
      <c r="B3826" s="3" t="s">
        <v>936</v>
      </c>
      <c r="C3826" s="9"/>
      <c r="D3826" s="9"/>
      <c r="E3826" s="9"/>
      <c r="F3826" s="9"/>
      <c r="G3826" s="9"/>
      <c r="H3826" s="9"/>
      <c r="I3826" s="9"/>
      <c r="J3826" s="9"/>
      <c r="K3826" s="9"/>
      <c r="L3826" s="9"/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9"/>
      <c r="AF3826" s="9"/>
      <c r="AG3826" s="9"/>
      <c r="AH3826" s="9"/>
      <c r="AI3826" s="9"/>
      <c r="AJ3826" s="9"/>
      <c r="AK3826" s="9"/>
      <c r="AL3826" s="9"/>
      <c r="AM3826" s="9"/>
      <c r="AN3826" s="9"/>
      <c r="AO3826" s="9"/>
    </row>
    <row r="3827" spans="1:41" ht="14.25" x14ac:dyDescent="0.2">
      <c r="A3827" s="2">
        <v>520217</v>
      </c>
      <c r="B3827" s="3" t="s">
        <v>937</v>
      </c>
      <c r="C3827" s="9"/>
      <c r="D3827" s="9"/>
      <c r="E3827" s="9"/>
      <c r="F3827" s="9"/>
      <c r="G3827" s="9"/>
      <c r="H3827" s="9"/>
      <c r="I3827" s="9"/>
      <c r="J3827" s="9"/>
      <c r="K3827" s="9"/>
      <c r="L3827" s="9"/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  <c r="AE3827" s="9"/>
      <c r="AF3827" s="9"/>
      <c r="AG3827" s="9"/>
      <c r="AH3827" s="9"/>
      <c r="AI3827" s="9"/>
      <c r="AJ3827" s="9"/>
      <c r="AK3827" s="9"/>
      <c r="AL3827" s="9"/>
      <c r="AM3827" s="9"/>
      <c r="AN3827" s="9"/>
      <c r="AO3827" s="9"/>
    </row>
    <row r="3828" spans="1:41" ht="14.25" x14ac:dyDescent="0.2">
      <c r="A3828" s="2">
        <v>520218</v>
      </c>
      <c r="B3828" s="3" t="s">
        <v>732</v>
      </c>
      <c r="C3828" s="9"/>
      <c r="D3828" s="9"/>
      <c r="E3828" s="9"/>
      <c r="F3828" s="9"/>
      <c r="G3828" s="9"/>
      <c r="H3828" s="9"/>
      <c r="I3828" s="9"/>
      <c r="J3828" s="9"/>
      <c r="K3828" s="9"/>
      <c r="L3828" s="9"/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9"/>
      <c r="AE3828" s="9"/>
      <c r="AF3828" s="9"/>
      <c r="AG3828" s="9"/>
      <c r="AH3828" s="9"/>
      <c r="AI3828" s="9"/>
      <c r="AJ3828" s="9"/>
      <c r="AK3828" s="9"/>
      <c r="AL3828" s="9"/>
      <c r="AM3828" s="9"/>
      <c r="AN3828" s="9"/>
      <c r="AO3828" s="9"/>
    </row>
    <row r="3829" spans="1:41" ht="14.25" x14ac:dyDescent="0.2">
      <c r="A3829" s="2">
        <v>520221</v>
      </c>
      <c r="B3829" s="3" t="s">
        <v>733</v>
      </c>
      <c r="C3829" s="9"/>
      <c r="D3829" s="9"/>
      <c r="E3829" s="9"/>
      <c r="F3829" s="9"/>
      <c r="G3829" s="9"/>
      <c r="H3829" s="9"/>
      <c r="I3829" s="9"/>
      <c r="J3829" s="9"/>
      <c r="K3829" s="9"/>
      <c r="L3829" s="9"/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9"/>
      <c r="AD3829" s="9"/>
      <c r="AE3829" s="9"/>
      <c r="AF3829" s="9"/>
      <c r="AG3829" s="9"/>
      <c r="AH3829" s="9"/>
      <c r="AI3829" s="9"/>
      <c r="AJ3829" s="9"/>
      <c r="AK3829" s="9"/>
      <c r="AL3829" s="9"/>
      <c r="AM3829" s="9"/>
      <c r="AN3829" s="9"/>
      <c r="AO3829" s="9"/>
    </row>
    <row r="3830" spans="1:41" ht="14.25" x14ac:dyDescent="0.2">
      <c r="A3830" s="2">
        <v>520229</v>
      </c>
      <c r="B3830" s="3" t="s">
        <v>938</v>
      </c>
      <c r="C3830" s="9"/>
      <c r="D3830" s="9"/>
      <c r="E3830" s="9"/>
      <c r="F3830" s="9"/>
      <c r="G3830" s="9"/>
      <c r="H3830" s="9"/>
      <c r="I3830" s="9"/>
      <c r="J3830" s="9"/>
      <c r="K3830" s="9"/>
      <c r="L3830" s="9"/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9"/>
      <c r="AC3830" s="9"/>
      <c r="AD3830" s="9"/>
      <c r="AE3830" s="9"/>
      <c r="AF3830" s="9"/>
      <c r="AG3830" s="9"/>
      <c r="AH3830" s="9"/>
      <c r="AI3830" s="9"/>
      <c r="AJ3830" s="9"/>
      <c r="AK3830" s="9"/>
      <c r="AL3830" s="9"/>
      <c r="AM3830" s="9"/>
      <c r="AN3830" s="9"/>
      <c r="AO3830" s="9"/>
    </row>
    <row r="3831" spans="1:41" s="15" customFormat="1" ht="14.25" x14ac:dyDescent="0.2">
      <c r="A3831" s="18" t="s">
        <v>2087</v>
      </c>
      <c r="B3831" s="19" t="s">
        <v>2088</v>
      </c>
      <c r="C3831" s="20"/>
      <c r="D3831" s="20"/>
      <c r="E3831" s="20"/>
      <c r="F3831" s="20"/>
      <c r="G3831" s="20"/>
      <c r="H3831" s="20"/>
      <c r="I3831" s="20"/>
      <c r="J3831" s="20"/>
      <c r="K3831" s="20"/>
      <c r="L3831" s="20"/>
      <c r="M3831" s="20"/>
      <c r="N3831" s="20"/>
      <c r="O3831" s="20"/>
      <c r="P3831" s="20"/>
      <c r="Q3831" s="20"/>
      <c r="R3831" s="20"/>
      <c r="S3831" s="20"/>
      <c r="T3831" s="20"/>
      <c r="U3831" s="20">
        <v>20</v>
      </c>
      <c r="V3831" s="20">
        <v>20</v>
      </c>
      <c r="W3831" s="20">
        <v>0</v>
      </c>
      <c r="X3831" s="20"/>
      <c r="Y3831" s="20">
        <v>20</v>
      </c>
      <c r="Z3831" s="20">
        <v>20</v>
      </c>
      <c r="AA3831" s="20"/>
      <c r="AB3831" s="20"/>
      <c r="AC3831" s="20"/>
      <c r="AD3831" s="20"/>
      <c r="AE3831" s="20"/>
      <c r="AF3831" s="20"/>
      <c r="AG3831" s="20"/>
      <c r="AH3831" s="20">
        <v>20</v>
      </c>
      <c r="AI3831" s="20">
        <v>0</v>
      </c>
      <c r="AJ3831" s="20"/>
      <c r="AK3831" s="20"/>
      <c r="AL3831" s="20"/>
      <c r="AM3831" s="20"/>
      <c r="AN3831" s="20"/>
      <c r="AO3831" s="20"/>
    </row>
    <row r="3832" spans="1:41" s="15" customFormat="1" ht="14.25" x14ac:dyDescent="0.2">
      <c r="A3832" s="18" t="s">
        <v>2089</v>
      </c>
      <c r="B3832" s="19" t="s">
        <v>2090</v>
      </c>
      <c r="C3832" s="20">
        <v>-100</v>
      </c>
      <c r="D3832" s="20">
        <v>-100</v>
      </c>
      <c r="E3832" s="20">
        <v>-150</v>
      </c>
      <c r="F3832" s="20">
        <v>-150</v>
      </c>
      <c r="G3832" s="20">
        <v>-150</v>
      </c>
      <c r="H3832" s="20">
        <v>-200</v>
      </c>
      <c r="I3832" s="20">
        <v>-400</v>
      </c>
      <c r="J3832" s="20">
        <v>-400</v>
      </c>
      <c r="K3832" s="20">
        <v>-500</v>
      </c>
      <c r="L3832" s="20">
        <v>-600</v>
      </c>
      <c r="M3832" s="20">
        <v>-650</v>
      </c>
      <c r="N3832" s="20">
        <v>-650</v>
      </c>
      <c r="O3832" s="20"/>
      <c r="P3832" s="20"/>
      <c r="Q3832" s="20"/>
      <c r="R3832" s="20"/>
      <c r="S3832" s="20"/>
      <c r="T3832" s="20"/>
      <c r="U3832" s="20"/>
      <c r="V3832" s="20"/>
      <c r="W3832" s="20">
        <v>-50</v>
      </c>
      <c r="X3832" s="20">
        <v>-150</v>
      </c>
      <c r="Y3832" s="20">
        <v>-200</v>
      </c>
      <c r="Z3832" s="20">
        <v>-250</v>
      </c>
      <c r="AA3832" s="20"/>
      <c r="AB3832" s="20">
        <v>-50</v>
      </c>
      <c r="AC3832" s="20">
        <v>-100</v>
      </c>
      <c r="AD3832" s="20">
        <v>-100</v>
      </c>
      <c r="AE3832" s="20">
        <v>-100</v>
      </c>
      <c r="AF3832" s="20">
        <v>-300</v>
      </c>
      <c r="AG3832" s="20">
        <v>-300</v>
      </c>
      <c r="AH3832" s="20">
        <v>-300</v>
      </c>
      <c r="AI3832" s="20">
        <v>-300</v>
      </c>
      <c r="AJ3832" s="20">
        <v>-400</v>
      </c>
      <c r="AK3832" s="20">
        <v>-500</v>
      </c>
      <c r="AL3832" s="20">
        <v>-600</v>
      </c>
      <c r="AM3832" s="20"/>
      <c r="AN3832" s="20">
        <v>-50</v>
      </c>
      <c r="AO3832" s="20">
        <v>-50</v>
      </c>
    </row>
    <row r="3833" spans="1:41" s="15" customFormat="1" ht="14.25" x14ac:dyDescent="0.2">
      <c r="A3833" s="18" t="s">
        <v>2091</v>
      </c>
      <c r="B3833" s="19" t="s">
        <v>2092</v>
      </c>
      <c r="C3833" s="20">
        <v>-0.13</v>
      </c>
      <c r="D3833" s="20">
        <v>-2.56</v>
      </c>
      <c r="E3833" s="20">
        <v>-1105.29</v>
      </c>
      <c r="F3833" s="20">
        <v>-1121.0899999999999</v>
      </c>
      <c r="G3833" s="20">
        <v>-1121.33</v>
      </c>
      <c r="H3833" s="20">
        <v>-7146</v>
      </c>
      <c r="I3833" s="20">
        <v>-7220.92</v>
      </c>
      <c r="J3833" s="20">
        <v>-7220.92</v>
      </c>
      <c r="K3833" s="20">
        <v>-7232.85</v>
      </c>
      <c r="L3833" s="20">
        <v>-7232.85</v>
      </c>
      <c r="M3833" s="20">
        <v>-7232.86</v>
      </c>
      <c r="N3833" s="20">
        <v>-7232.86</v>
      </c>
      <c r="O3833" s="20"/>
      <c r="P3833" s="20">
        <v>-2160.71</v>
      </c>
      <c r="Q3833" s="20">
        <v>-5260.71</v>
      </c>
      <c r="R3833" s="20">
        <v>-6300.71</v>
      </c>
      <c r="S3833" s="20">
        <v>-7580.71</v>
      </c>
      <c r="T3833" s="20">
        <v>-8660.7099999999991</v>
      </c>
      <c r="U3833" s="20">
        <v>-16998.7</v>
      </c>
      <c r="V3833" s="20">
        <v>-17558.7</v>
      </c>
      <c r="W3833" s="20">
        <v>-17878.7</v>
      </c>
      <c r="X3833" s="20">
        <v>-18078.7</v>
      </c>
      <c r="Y3833" s="20">
        <v>-18258.7</v>
      </c>
      <c r="Z3833" s="20">
        <v>-18298.7</v>
      </c>
      <c r="AA3833" s="20">
        <v>-260</v>
      </c>
      <c r="AB3833" s="20">
        <v>-2000</v>
      </c>
      <c r="AC3833" s="20">
        <v>-5384</v>
      </c>
      <c r="AD3833" s="20">
        <v>-6843</v>
      </c>
      <c r="AE3833" s="20">
        <v>-8083</v>
      </c>
      <c r="AF3833" s="20">
        <v>-9203</v>
      </c>
      <c r="AG3833" s="20">
        <v>-9983</v>
      </c>
      <c r="AH3833" s="20">
        <v>-10403</v>
      </c>
      <c r="AI3833" s="20">
        <v>-11003</v>
      </c>
      <c r="AJ3833" s="20">
        <v>-11203</v>
      </c>
      <c r="AK3833" s="20">
        <v>-11503</v>
      </c>
      <c r="AL3833" s="20">
        <v>-11683</v>
      </c>
      <c r="AM3833" s="20">
        <v>-160</v>
      </c>
      <c r="AN3833" s="20">
        <v>-1300</v>
      </c>
      <c r="AO3833" s="20">
        <v>-2020</v>
      </c>
    </row>
    <row r="3834" spans="1:41" s="15" customFormat="1" ht="14.25" x14ac:dyDescent="0.2">
      <c r="A3834" s="18" t="s">
        <v>2093</v>
      </c>
      <c r="B3834" s="19" t="s">
        <v>2094</v>
      </c>
      <c r="C3834" s="20">
        <v>-557</v>
      </c>
      <c r="D3834" s="20">
        <v>-1118</v>
      </c>
      <c r="E3834" s="20">
        <v>-1689</v>
      </c>
      <c r="F3834" s="20">
        <v>-2004</v>
      </c>
      <c r="G3834" s="20">
        <v>-2275</v>
      </c>
      <c r="H3834" s="20">
        <v>-2497</v>
      </c>
      <c r="I3834" s="20">
        <v>-2681</v>
      </c>
      <c r="J3834" s="20">
        <v>-2893</v>
      </c>
      <c r="K3834" s="20">
        <v>-3084</v>
      </c>
      <c r="L3834" s="20">
        <v>-3280</v>
      </c>
      <c r="M3834" s="20">
        <v>-3453</v>
      </c>
      <c r="N3834" s="20">
        <v>-3652</v>
      </c>
      <c r="O3834" s="20">
        <v>-356</v>
      </c>
      <c r="P3834" s="20">
        <v>-574</v>
      </c>
      <c r="Q3834" s="20">
        <v>-667</v>
      </c>
      <c r="R3834" s="20">
        <v>-741</v>
      </c>
      <c r="S3834" s="20">
        <v>-772</v>
      </c>
      <c r="T3834" s="20">
        <v>-841</v>
      </c>
      <c r="U3834" s="20">
        <v>-940</v>
      </c>
      <c r="V3834" s="20">
        <v>-1041</v>
      </c>
      <c r="W3834" s="20">
        <v>-1070</v>
      </c>
      <c r="X3834" s="20">
        <v>-1070</v>
      </c>
      <c r="Y3834" s="20">
        <v>-1070</v>
      </c>
      <c r="Z3834" s="20">
        <v>-1070</v>
      </c>
      <c r="AA3834" s="20">
        <v>-115</v>
      </c>
      <c r="AB3834" s="20">
        <v>-246</v>
      </c>
      <c r="AC3834" s="20">
        <v>-336</v>
      </c>
      <c r="AD3834" s="20">
        <v>-455</v>
      </c>
      <c r="AE3834" s="20">
        <v>-575</v>
      </c>
      <c r="AF3834" s="20">
        <v>-610</v>
      </c>
      <c r="AG3834" s="20">
        <v>-610</v>
      </c>
      <c r="AH3834" s="20">
        <v>-610</v>
      </c>
      <c r="AI3834" s="20">
        <v>-610</v>
      </c>
      <c r="AJ3834" s="20">
        <v>-610</v>
      </c>
      <c r="AK3834" s="20">
        <v>-610</v>
      </c>
      <c r="AL3834" s="20">
        <v>-610</v>
      </c>
      <c r="AM3834" s="20"/>
      <c r="AN3834" s="20"/>
      <c r="AO3834" s="20"/>
    </row>
    <row r="3835" spans="1:41" s="15" customFormat="1" ht="14.25" x14ac:dyDescent="0.2">
      <c r="A3835" s="18" t="s">
        <v>2095</v>
      </c>
      <c r="B3835" s="19" t="s">
        <v>2096</v>
      </c>
      <c r="C3835" s="20">
        <v>-100</v>
      </c>
      <c r="D3835" s="20">
        <v>-100</v>
      </c>
      <c r="E3835" s="20">
        <v>-200</v>
      </c>
      <c r="F3835" s="20">
        <v>-200</v>
      </c>
      <c r="G3835" s="20">
        <v>-200</v>
      </c>
      <c r="H3835" s="20">
        <v>-300</v>
      </c>
      <c r="I3835" s="20">
        <v>-400</v>
      </c>
      <c r="J3835" s="20">
        <v>-400</v>
      </c>
      <c r="K3835" s="20">
        <v>-400</v>
      </c>
      <c r="L3835" s="20">
        <v>-450</v>
      </c>
      <c r="M3835" s="20">
        <v>-500</v>
      </c>
      <c r="N3835" s="20">
        <v>-500</v>
      </c>
      <c r="O3835" s="20">
        <v>-50</v>
      </c>
      <c r="P3835" s="20">
        <v>-250</v>
      </c>
      <c r="Q3835" s="20">
        <v>-250</v>
      </c>
      <c r="R3835" s="20">
        <v>-250</v>
      </c>
      <c r="S3835" s="20">
        <v>-300</v>
      </c>
      <c r="T3835" s="20">
        <v>-400</v>
      </c>
      <c r="U3835" s="20">
        <v>-400</v>
      </c>
      <c r="V3835" s="20">
        <v>-400</v>
      </c>
      <c r="W3835" s="20">
        <v>-400</v>
      </c>
      <c r="X3835" s="20">
        <v>-450</v>
      </c>
      <c r="Y3835" s="20">
        <v>-450</v>
      </c>
      <c r="Z3835" s="20">
        <v>-450</v>
      </c>
      <c r="AA3835" s="20"/>
      <c r="AB3835" s="20"/>
      <c r="AC3835" s="20">
        <v>-50</v>
      </c>
      <c r="AD3835" s="20">
        <v>-50</v>
      </c>
      <c r="AE3835" s="20">
        <v>-50</v>
      </c>
      <c r="AF3835" s="20">
        <v>-100</v>
      </c>
      <c r="AG3835" s="20">
        <v>-200</v>
      </c>
      <c r="AH3835" s="20">
        <v>-200</v>
      </c>
      <c r="AI3835" s="20">
        <v>-200</v>
      </c>
      <c r="AJ3835" s="20">
        <v>-250</v>
      </c>
      <c r="AK3835" s="20">
        <v>-250</v>
      </c>
      <c r="AL3835" s="20">
        <v>-400</v>
      </c>
      <c r="AM3835" s="20"/>
      <c r="AN3835" s="20"/>
      <c r="AO3835" s="20">
        <v>-50</v>
      </c>
    </row>
    <row r="3836" spans="1:41" s="15" customFormat="1" ht="14.25" x14ac:dyDescent="0.2">
      <c r="A3836" s="18" t="s">
        <v>2097</v>
      </c>
      <c r="B3836" s="19" t="s">
        <v>2098</v>
      </c>
      <c r="C3836" s="20">
        <v>-2.31</v>
      </c>
      <c r="D3836" s="20">
        <v>-2.46</v>
      </c>
      <c r="E3836" s="20">
        <v>-2.46</v>
      </c>
      <c r="F3836" s="20">
        <v>-2.46</v>
      </c>
      <c r="G3836" s="20">
        <v>-4.6399999999999997</v>
      </c>
      <c r="H3836" s="20">
        <v>-4.6399999999999997</v>
      </c>
      <c r="I3836" s="20">
        <v>-4.6399999999999997</v>
      </c>
      <c r="J3836" s="20">
        <v>-4.6399999999999997</v>
      </c>
      <c r="K3836" s="20">
        <v>-4.8899999999999997</v>
      </c>
      <c r="L3836" s="20">
        <v>-4.8899999999999997</v>
      </c>
      <c r="M3836" s="20">
        <v>-4.8899999999999997</v>
      </c>
      <c r="N3836" s="20">
        <v>-4.8899999999999997</v>
      </c>
      <c r="O3836" s="20">
        <v>-3.04</v>
      </c>
      <c r="P3836" s="20">
        <v>-48.38</v>
      </c>
      <c r="Q3836" s="20">
        <v>-51.04</v>
      </c>
      <c r="R3836" s="20">
        <v>-51.35</v>
      </c>
      <c r="S3836" s="20">
        <v>-51.94</v>
      </c>
      <c r="T3836" s="20">
        <v>-51.94</v>
      </c>
      <c r="U3836" s="20">
        <v>-51.94</v>
      </c>
      <c r="V3836" s="20">
        <v>-51.94</v>
      </c>
      <c r="W3836" s="20">
        <v>-51.94</v>
      </c>
      <c r="X3836" s="20">
        <v>-51.94</v>
      </c>
      <c r="Y3836" s="20">
        <v>-51.94</v>
      </c>
      <c r="Z3836" s="20">
        <v>-51.94</v>
      </c>
      <c r="AA3836" s="20"/>
      <c r="AB3836" s="20">
        <v>-0.14000000000000001</v>
      </c>
      <c r="AC3836" s="20">
        <v>-0.17</v>
      </c>
      <c r="AD3836" s="20">
        <v>-0.17</v>
      </c>
      <c r="AE3836" s="20">
        <v>-0.17</v>
      </c>
      <c r="AF3836" s="20">
        <v>-1.65</v>
      </c>
      <c r="AG3836" s="20">
        <v>-1.75</v>
      </c>
      <c r="AH3836" s="20">
        <v>-2.09</v>
      </c>
      <c r="AI3836" s="20">
        <v>-2.72</v>
      </c>
      <c r="AJ3836" s="20">
        <v>-2.76</v>
      </c>
      <c r="AK3836" s="20">
        <v>-2.76</v>
      </c>
      <c r="AL3836" s="20">
        <v>-2.76</v>
      </c>
      <c r="AM3836" s="20">
        <v>-0.24</v>
      </c>
      <c r="AN3836" s="20">
        <v>-0.65</v>
      </c>
      <c r="AO3836" s="20">
        <v>-0.89</v>
      </c>
    </row>
    <row r="3837" spans="1:41" s="15" customFormat="1" ht="14.25" x14ac:dyDescent="0.2">
      <c r="A3837" s="18" t="s">
        <v>2099</v>
      </c>
      <c r="B3837" s="19" t="s">
        <v>2100</v>
      </c>
      <c r="C3837" s="20"/>
      <c r="D3837" s="20"/>
      <c r="E3837" s="20"/>
      <c r="F3837" s="20"/>
      <c r="G3837" s="20"/>
      <c r="H3837" s="20"/>
      <c r="I3837" s="20"/>
      <c r="J3837" s="20">
        <v>-8710</v>
      </c>
      <c r="K3837" s="20">
        <v>-10050</v>
      </c>
      <c r="L3837" s="20">
        <v>-11925</v>
      </c>
      <c r="M3837" s="20">
        <v>-13165</v>
      </c>
      <c r="N3837" s="20">
        <v>-14115</v>
      </c>
      <c r="O3837" s="20">
        <v>-2305</v>
      </c>
      <c r="P3837" s="20">
        <v>-3740</v>
      </c>
      <c r="Q3837" s="20">
        <v>-4885</v>
      </c>
      <c r="R3837" s="20">
        <v>-4885</v>
      </c>
      <c r="S3837" s="20">
        <v>-4885</v>
      </c>
      <c r="T3837" s="20">
        <v>-4885</v>
      </c>
      <c r="U3837" s="20">
        <v>-4885</v>
      </c>
      <c r="V3837" s="20">
        <v>-5070</v>
      </c>
      <c r="W3837" s="20">
        <v>-6620</v>
      </c>
      <c r="X3837" s="20">
        <v>-8625</v>
      </c>
      <c r="Y3837" s="20">
        <v>-9935</v>
      </c>
      <c r="Z3837" s="20">
        <v>-11175</v>
      </c>
      <c r="AA3837" s="20">
        <v>-660</v>
      </c>
      <c r="AB3837" s="20">
        <v>-1545</v>
      </c>
      <c r="AC3837" s="20">
        <v>-2360</v>
      </c>
      <c r="AD3837" s="20">
        <v>-3465</v>
      </c>
      <c r="AE3837" s="20">
        <v>-4620</v>
      </c>
      <c r="AF3837" s="20">
        <v>-5840</v>
      </c>
      <c r="AG3837" s="20">
        <v>-6450</v>
      </c>
      <c r="AH3837" s="20">
        <v>-6575</v>
      </c>
      <c r="AI3837" s="20">
        <v>-6575</v>
      </c>
      <c r="AJ3837" s="20">
        <v>-6575</v>
      </c>
      <c r="AK3837" s="20">
        <v>-7170</v>
      </c>
      <c r="AL3837" s="20">
        <v>-7765</v>
      </c>
      <c r="AM3837" s="20">
        <v>-1650</v>
      </c>
      <c r="AN3837" s="20">
        <v>-3425</v>
      </c>
      <c r="AO3837" s="20">
        <v>-5050</v>
      </c>
    </row>
    <row r="3838" spans="1:41" ht="14.25" x14ac:dyDescent="0.2">
      <c r="A3838" s="2">
        <v>5203</v>
      </c>
      <c r="B3838" s="3" t="s">
        <v>939</v>
      </c>
      <c r="C3838" s="9"/>
      <c r="D3838" s="9"/>
      <c r="E3838" s="9"/>
      <c r="F3838" s="9"/>
      <c r="G3838" s="9"/>
      <c r="H3838" s="9"/>
      <c r="I3838" s="9"/>
      <c r="J3838" s="9"/>
      <c r="K3838" s="9"/>
      <c r="L3838" s="9"/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9"/>
      <c r="AF3838" s="9"/>
      <c r="AG3838" s="9"/>
      <c r="AH3838" s="9"/>
      <c r="AI3838" s="9"/>
      <c r="AJ3838" s="9"/>
      <c r="AK3838" s="9"/>
      <c r="AL3838" s="9"/>
      <c r="AM3838" s="9"/>
      <c r="AN3838" s="9"/>
      <c r="AO3838" s="9"/>
    </row>
    <row r="3839" spans="1:41" ht="14.25" x14ac:dyDescent="0.2">
      <c r="A3839" s="2">
        <v>520301</v>
      </c>
      <c r="B3839" s="3" t="s">
        <v>940</v>
      </c>
      <c r="C3839" s="9"/>
      <c r="D3839" s="9"/>
      <c r="E3839" s="9"/>
      <c r="F3839" s="9"/>
      <c r="G3839" s="9"/>
      <c r="H3839" s="9"/>
      <c r="I3839" s="9"/>
      <c r="J3839" s="9"/>
      <c r="K3839" s="9"/>
      <c r="L3839" s="9"/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9"/>
      <c r="AE3839" s="9"/>
      <c r="AF3839" s="9"/>
      <c r="AG3839" s="9"/>
      <c r="AH3839" s="9"/>
      <c r="AI3839" s="9"/>
      <c r="AJ3839" s="9"/>
      <c r="AK3839" s="9"/>
      <c r="AL3839" s="9"/>
      <c r="AM3839" s="9"/>
      <c r="AN3839" s="9"/>
      <c r="AO3839" s="9"/>
    </row>
    <row r="3840" spans="1:41" ht="14.25" x14ac:dyDescent="0.2">
      <c r="A3840" s="2">
        <v>520302</v>
      </c>
      <c r="B3840" s="3" t="s">
        <v>941</v>
      </c>
      <c r="C3840" s="9"/>
      <c r="D3840" s="9"/>
      <c r="E3840" s="9"/>
      <c r="F3840" s="9"/>
      <c r="G3840" s="9"/>
      <c r="H3840" s="9"/>
      <c r="I3840" s="9"/>
      <c r="J3840" s="9"/>
      <c r="K3840" s="9"/>
      <c r="L3840" s="9"/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9"/>
      <c r="AH3840" s="9"/>
      <c r="AI3840" s="9"/>
      <c r="AJ3840" s="9"/>
      <c r="AK3840" s="9"/>
      <c r="AL3840" s="9"/>
      <c r="AM3840" s="9"/>
      <c r="AN3840" s="9"/>
      <c r="AO3840" s="9"/>
    </row>
    <row r="3841" spans="1:41" ht="28.5" x14ac:dyDescent="0.2">
      <c r="A3841" s="2">
        <v>53</v>
      </c>
      <c r="B3841" s="3" t="s">
        <v>942</v>
      </c>
      <c r="C3841" s="9"/>
      <c r="D3841" s="9"/>
      <c r="E3841" s="9"/>
      <c r="F3841" s="9"/>
      <c r="G3841" s="9"/>
      <c r="H3841" s="9"/>
      <c r="I3841" s="9"/>
      <c r="J3841" s="9"/>
      <c r="K3841" s="9"/>
      <c r="L3841" s="9"/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  <c r="AE3841" s="9"/>
      <c r="AF3841" s="9"/>
      <c r="AG3841" s="9"/>
      <c r="AH3841" s="9"/>
      <c r="AI3841" s="9"/>
      <c r="AJ3841" s="9"/>
      <c r="AK3841" s="9"/>
      <c r="AL3841" s="9"/>
      <c r="AM3841" s="9"/>
      <c r="AN3841" s="9"/>
      <c r="AO3841" s="9"/>
    </row>
    <row r="3842" spans="1:41" ht="14.25" x14ac:dyDescent="0.2">
      <c r="A3842" s="2">
        <v>5301</v>
      </c>
      <c r="B3842" s="3" t="s">
        <v>943</v>
      </c>
      <c r="C3842" s="9"/>
      <c r="D3842" s="9"/>
      <c r="E3842" s="9"/>
      <c r="F3842" s="9"/>
      <c r="G3842" s="9"/>
      <c r="H3842" s="9"/>
      <c r="I3842" s="9"/>
      <c r="J3842" s="9"/>
      <c r="K3842" s="9"/>
      <c r="L3842" s="9"/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9"/>
      <c r="AF3842" s="9"/>
      <c r="AG3842" s="9"/>
      <c r="AH3842" s="9"/>
      <c r="AI3842" s="9"/>
      <c r="AJ3842" s="9"/>
      <c r="AK3842" s="9"/>
      <c r="AL3842" s="9"/>
      <c r="AM3842" s="9"/>
      <c r="AN3842" s="9"/>
      <c r="AO3842" s="9"/>
    </row>
    <row r="3843" spans="1:41" ht="28.5" x14ac:dyDescent="0.2">
      <c r="A3843" s="2">
        <v>530104</v>
      </c>
      <c r="B3843" s="4" t="s">
        <v>944</v>
      </c>
      <c r="C3843" s="11"/>
      <c r="D3843" s="11"/>
      <c r="E3843" s="11"/>
      <c r="F3843" s="11"/>
      <c r="G3843" s="11"/>
      <c r="H3843" s="11"/>
      <c r="I3843" s="11"/>
      <c r="J3843" s="11"/>
      <c r="K3843" s="11"/>
      <c r="L3843" s="11"/>
      <c r="M3843" s="11"/>
      <c r="N3843" s="11"/>
      <c r="O3843" s="11"/>
      <c r="P3843" s="11"/>
      <c r="Q3843" s="11"/>
      <c r="R3843" s="11"/>
      <c r="S3843" s="11"/>
      <c r="T3843" s="11"/>
      <c r="U3843" s="11"/>
      <c r="V3843" s="11"/>
      <c r="W3843" s="11"/>
      <c r="X3843" s="11"/>
      <c r="Y3843" s="11"/>
      <c r="Z3843" s="11"/>
      <c r="AA3843" s="11"/>
      <c r="AB3843" s="11"/>
      <c r="AC3843" s="11"/>
      <c r="AD3843" s="11"/>
      <c r="AE3843" s="11"/>
      <c r="AF3843" s="11"/>
      <c r="AG3843" s="11"/>
      <c r="AH3843" s="11"/>
      <c r="AI3843" s="11"/>
      <c r="AJ3843" s="11"/>
      <c r="AK3843" s="11"/>
      <c r="AL3843" s="11"/>
      <c r="AM3843" s="11"/>
      <c r="AN3843" s="11"/>
      <c r="AO3843" s="11"/>
    </row>
    <row r="3844" spans="1:41" ht="14.25" x14ac:dyDescent="0.2">
      <c r="A3844" s="2">
        <v>530105</v>
      </c>
      <c r="B3844" s="3" t="s">
        <v>945</v>
      </c>
      <c r="C3844" s="9"/>
      <c r="D3844" s="9"/>
      <c r="E3844" s="9"/>
      <c r="F3844" s="9"/>
      <c r="G3844" s="9"/>
      <c r="H3844" s="9"/>
      <c r="I3844" s="9"/>
      <c r="J3844" s="9"/>
      <c r="K3844" s="9"/>
      <c r="L3844" s="9"/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9"/>
      <c r="AC3844" s="9"/>
      <c r="AD3844" s="9"/>
      <c r="AE3844" s="9"/>
      <c r="AF3844" s="9"/>
      <c r="AG3844" s="9"/>
      <c r="AH3844" s="9"/>
      <c r="AI3844" s="9"/>
      <c r="AJ3844" s="9"/>
      <c r="AK3844" s="9"/>
      <c r="AL3844" s="9"/>
      <c r="AM3844" s="9"/>
      <c r="AN3844" s="9"/>
      <c r="AO3844" s="9"/>
    </row>
    <row r="3845" spans="1:41" ht="14.25" x14ac:dyDescent="0.2">
      <c r="A3845" s="2">
        <v>530107</v>
      </c>
      <c r="B3845" s="3" t="s">
        <v>743</v>
      </c>
      <c r="C3845" s="9"/>
      <c r="D3845" s="9"/>
      <c r="E3845" s="9"/>
      <c r="F3845" s="9"/>
      <c r="G3845" s="9"/>
      <c r="H3845" s="9"/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9"/>
      <c r="AC3845" s="9"/>
      <c r="AD3845" s="9"/>
      <c r="AE3845" s="9"/>
      <c r="AF3845" s="9"/>
      <c r="AG3845" s="9"/>
      <c r="AH3845" s="9"/>
      <c r="AI3845" s="9"/>
      <c r="AJ3845" s="9"/>
      <c r="AK3845" s="9"/>
      <c r="AL3845" s="9"/>
      <c r="AM3845" s="9"/>
      <c r="AN3845" s="9"/>
      <c r="AO3845" s="9"/>
    </row>
    <row r="3846" spans="1:41" ht="28.5" x14ac:dyDescent="0.2">
      <c r="A3846" s="2">
        <v>5302</v>
      </c>
      <c r="B3846" s="4" t="s">
        <v>946</v>
      </c>
      <c r="C3846" s="11"/>
      <c r="D3846" s="11"/>
      <c r="E3846" s="11"/>
      <c r="F3846" s="11"/>
      <c r="G3846" s="11"/>
      <c r="H3846" s="11"/>
      <c r="I3846" s="11"/>
      <c r="J3846" s="11"/>
      <c r="K3846" s="11"/>
      <c r="L3846" s="11"/>
      <c r="M3846" s="11"/>
      <c r="N3846" s="11"/>
      <c r="O3846" s="11"/>
      <c r="P3846" s="11"/>
      <c r="Q3846" s="11"/>
      <c r="R3846" s="11"/>
      <c r="S3846" s="11"/>
      <c r="T3846" s="11"/>
      <c r="U3846" s="11"/>
      <c r="V3846" s="11"/>
      <c r="W3846" s="11"/>
      <c r="X3846" s="11"/>
      <c r="Y3846" s="11"/>
      <c r="Z3846" s="11"/>
      <c r="AA3846" s="11"/>
      <c r="AB3846" s="11"/>
      <c r="AC3846" s="11"/>
      <c r="AD3846" s="11"/>
      <c r="AE3846" s="11"/>
      <c r="AF3846" s="11"/>
      <c r="AG3846" s="11"/>
      <c r="AH3846" s="11"/>
      <c r="AI3846" s="11"/>
      <c r="AJ3846" s="11"/>
      <c r="AK3846" s="11"/>
      <c r="AL3846" s="11"/>
      <c r="AM3846" s="11"/>
      <c r="AN3846" s="11"/>
      <c r="AO3846" s="11"/>
    </row>
    <row r="3847" spans="1:41" ht="14.25" x14ac:dyDescent="0.2">
      <c r="A3847" s="2">
        <v>530201</v>
      </c>
      <c r="B3847" s="3" t="s">
        <v>298</v>
      </c>
      <c r="C3847" s="9"/>
      <c r="D3847" s="9"/>
      <c r="E3847" s="9"/>
      <c r="F3847" s="9"/>
      <c r="G3847" s="9"/>
      <c r="H3847" s="9"/>
      <c r="I3847" s="9"/>
      <c r="J3847" s="9"/>
      <c r="K3847" s="9"/>
      <c r="L3847" s="9"/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9"/>
      <c r="AH3847" s="9"/>
      <c r="AI3847" s="9"/>
      <c r="AJ3847" s="9"/>
      <c r="AK3847" s="9"/>
      <c r="AL3847" s="9"/>
      <c r="AM3847" s="9"/>
      <c r="AN3847" s="9"/>
      <c r="AO3847" s="9"/>
    </row>
    <row r="3848" spans="1:41" ht="14.25" x14ac:dyDescent="0.2">
      <c r="A3848" s="2">
        <v>530202</v>
      </c>
      <c r="B3848" s="3" t="s">
        <v>947</v>
      </c>
      <c r="C3848" s="9"/>
      <c r="D3848" s="9"/>
      <c r="E3848" s="9"/>
      <c r="F3848" s="9"/>
      <c r="G3848" s="9"/>
      <c r="H3848" s="9"/>
      <c r="I3848" s="9"/>
      <c r="J3848" s="9"/>
      <c r="K3848" s="9"/>
      <c r="L3848" s="9"/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9"/>
      <c r="AG3848" s="9"/>
      <c r="AH3848" s="9"/>
      <c r="AI3848" s="9"/>
      <c r="AJ3848" s="9"/>
      <c r="AK3848" s="9"/>
      <c r="AL3848" s="9"/>
      <c r="AM3848" s="9"/>
      <c r="AN3848" s="9"/>
      <c r="AO3848" s="9"/>
    </row>
    <row r="3849" spans="1:41" s="15" customFormat="1" ht="14.25" x14ac:dyDescent="0.2">
      <c r="A3849" s="18" t="s">
        <v>2101</v>
      </c>
      <c r="B3849" s="19" t="s">
        <v>2102</v>
      </c>
      <c r="C3849" s="20"/>
      <c r="D3849" s="20"/>
      <c r="E3849" s="20"/>
      <c r="F3849" s="20"/>
      <c r="G3849" s="20"/>
      <c r="H3849" s="20"/>
      <c r="I3849" s="20"/>
      <c r="J3849" s="20"/>
      <c r="K3849" s="20"/>
      <c r="L3849" s="20"/>
      <c r="M3849" s="20"/>
      <c r="N3849" s="20"/>
      <c r="O3849" s="20">
        <v>-1624.88</v>
      </c>
      <c r="P3849" s="20">
        <v>-1624.88</v>
      </c>
      <c r="Q3849" s="20">
        <v>-1624.88</v>
      </c>
      <c r="R3849" s="20">
        <v>-1624.88</v>
      </c>
      <c r="S3849" s="20">
        <v>-1624.88</v>
      </c>
      <c r="T3849" s="20">
        <v>-1624.88</v>
      </c>
      <c r="U3849" s="20">
        <v>-1624.88</v>
      </c>
      <c r="V3849" s="20">
        <v>-1624.88</v>
      </c>
      <c r="W3849" s="20">
        <v>-1624.88</v>
      </c>
      <c r="X3849" s="20">
        <v>-1624.88</v>
      </c>
      <c r="Y3849" s="20">
        <v>-1624.88</v>
      </c>
      <c r="Z3849" s="20">
        <v>-1624.88</v>
      </c>
      <c r="AA3849" s="20"/>
      <c r="AB3849" s="20"/>
      <c r="AC3849" s="20"/>
      <c r="AD3849" s="20"/>
      <c r="AE3849" s="20"/>
      <c r="AF3849" s="20"/>
      <c r="AG3849" s="20"/>
      <c r="AH3849" s="20"/>
      <c r="AI3849" s="20"/>
      <c r="AJ3849" s="20"/>
      <c r="AK3849" s="20"/>
      <c r="AL3849" s="20"/>
      <c r="AM3849" s="20"/>
      <c r="AN3849" s="20"/>
      <c r="AO3849" s="20"/>
    </row>
    <row r="3850" spans="1:41" ht="14.25" x14ac:dyDescent="0.2">
      <c r="A3850" s="2">
        <v>530203</v>
      </c>
      <c r="B3850" s="3" t="s">
        <v>310</v>
      </c>
      <c r="C3850" s="9"/>
      <c r="D3850" s="9"/>
      <c r="E3850" s="9"/>
      <c r="F3850" s="9"/>
      <c r="G3850" s="9"/>
      <c r="H3850" s="9"/>
      <c r="I3850" s="9"/>
      <c r="J3850" s="9"/>
      <c r="K3850" s="9"/>
      <c r="L3850" s="9"/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9"/>
      <c r="AD3850" s="9"/>
      <c r="AE3850" s="9"/>
      <c r="AF3850" s="9"/>
      <c r="AG3850" s="9"/>
      <c r="AH3850" s="9"/>
      <c r="AI3850" s="9"/>
      <c r="AJ3850" s="9"/>
      <c r="AK3850" s="9"/>
      <c r="AL3850" s="9"/>
      <c r="AM3850" s="9"/>
      <c r="AN3850" s="9"/>
      <c r="AO3850" s="9"/>
    </row>
    <row r="3851" spans="1:41" s="15" customFormat="1" ht="14.25" x14ac:dyDescent="0.2">
      <c r="A3851" s="18" t="s">
        <v>2103</v>
      </c>
      <c r="B3851" s="19" t="s">
        <v>2104</v>
      </c>
      <c r="C3851" s="20">
        <v>-39843.68</v>
      </c>
      <c r="D3851" s="20">
        <v>-39843.68</v>
      </c>
      <c r="E3851" s="20">
        <v>-39843.68</v>
      </c>
      <c r="F3851" s="20">
        <v>-39843.68</v>
      </c>
      <c r="G3851" s="20">
        <v>-39843.68</v>
      </c>
      <c r="H3851" s="20">
        <v>-39843.68</v>
      </c>
      <c r="I3851" s="20">
        <v>-39843.68</v>
      </c>
      <c r="J3851" s="20">
        <v>-39843.68</v>
      </c>
      <c r="K3851" s="20">
        <v>-39843.68</v>
      </c>
      <c r="L3851" s="20">
        <v>-39843.68</v>
      </c>
      <c r="M3851" s="20">
        <v>-39843.68</v>
      </c>
      <c r="N3851" s="20">
        <v>-39843.68</v>
      </c>
      <c r="O3851" s="20"/>
      <c r="P3851" s="20"/>
      <c r="Q3851" s="20"/>
      <c r="R3851" s="20"/>
      <c r="S3851" s="20"/>
      <c r="T3851" s="20"/>
      <c r="U3851" s="20"/>
      <c r="V3851" s="20"/>
      <c r="W3851" s="20"/>
      <c r="X3851" s="20"/>
      <c r="Y3851" s="20"/>
      <c r="Z3851" s="20"/>
      <c r="AA3851" s="20"/>
      <c r="AB3851" s="20"/>
      <c r="AC3851" s="20"/>
      <c r="AD3851" s="20"/>
      <c r="AE3851" s="20"/>
      <c r="AF3851" s="20"/>
      <c r="AG3851" s="20"/>
      <c r="AH3851" s="20"/>
      <c r="AI3851" s="20"/>
      <c r="AJ3851" s="20"/>
      <c r="AK3851" s="20"/>
      <c r="AL3851" s="20"/>
      <c r="AM3851" s="20"/>
      <c r="AN3851" s="20"/>
      <c r="AO3851" s="20"/>
    </row>
    <row r="3852" spans="1:41" s="15" customFormat="1" ht="14.25" x14ac:dyDescent="0.2">
      <c r="A3852" s="18" t="s">
        <v>2105</v>
      </c>
      <c r="B3852" s="19" t="s">
        <v>2104</v>
      </c>
      <c r="C3852" s="20"/>
      <c r="D3852" s="20"/>
      <c r="E3852" s="20"/>
      <c r="F3852" s="20"/>
      <c r="G3852" s="20"/>
      <c r="H3852" s="20"/>
      <c r="I3852" s="20"/>
      <c r="J3852" s="20"/>
      <c r="K3852" s="20"/>
      <c r="L3852" s="20"/>
      <c r="M3852" s="20"/>
      <c r="N3852" s="20"/>
      <c r="O3852" s="20">
        <v>-14219.16</v>
      </c>
      <c r="P3852" s="20">
        <v>-14219.16</v>
      </c>
      <c r="Q3852" s="20">
        <v>-14219.16</v>
      </c>
      <c r="R3852" s="20">
        <v>-14219.16</v>
      </c>
      <c r="S3852" s="20">
        <v>-14219.16</v>
      </c>
      <c r="T3852" s="20">
        <v>-14219.16</v>
      </c>
      <c r="U3852" s="20">
        <v>-14219.16</v>
      </c>
      <c r="V3852" s="20">
        <v>-14219.16</v>
      </c>
      <c r="W3852" s="20">
        <v>-14219.16</v>
      </c>
      <c r="X3852" s="20">
        <v>-14219.16</v>
      </c>
      <c r="Y3852" s="20">
        <v>-14219.16</v>
      </c>
      <c r="Z3852" s="20">
        <v>-14219.16</v>
      </c>
      <c r="AA3852" s="20"/>
      <c r="AB3852" s="20"/>
      <c r="AC3852" s="20"/>
      <c r="AD3852" s="20"/>
      <c r="AE3852" s="20"/>
      <c r="AF3852" s="20"/>
      <c r="AG3852" s="20"/>
      <c r="AH3852" s="20"/>
      <c r="AI3852" s="20"/>
      <c r="AJ3852" s="20"/>
      <c r="AK3852" s="20"/>
      <c r="AL3852" s="20"/>
      <c r="AM3852" s="20"/>
      <c r="AN3852" s="20"/>
      <c r="AO3852" s="20"/>
    </row>
    <row r="3853" spans="1:41" ht="14.25" x14ac:dyDescent="0.2">
      <c r="A3853" s="2">
        <v>530204</v>
      </c>
      <c r="B3853" s="3" t="s">
        <v>311</v>
      </c>
      <c r="C3853" s="9"/>
      <c r="D3853" s="9"/>
      <c r="E3853" s="9"/>
      <c r="F3853" s="9"/>
      <c r="G3853" s="9"/>
      <c r="H3853" s="9"/>
      <c r="I3853" s="9"/>
      <c r="J3853" s="9"/>
      <c r="K3853" s="9"/>
      <c r="L3853" s="9"/>
      <c r="M3853" s="9"/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  <c r="AE3853" s="9"/>
      <c r="AF3853" s="9"/>
      <c r="AG3853" s="9"/>
      <c r="AH3853" s="9"/>
      <c r="AI3853" s="9"/>
      <c r="AJ3853" s="9"/>
      <c r="AK3853" s="9"/>
      <c r="AL3853" s="9"/>
      <c r="AM3853" s="9"/>
      <c r="AN3853" s="9"/>
      <c r="AO3853" s="9"/>
    </row>
    <row r="3854" spans="1:41" ht="14.25" x14ac:dyDescent="0.2">
      <c r="A3854" s="2">
        <v>530205</v>
      </c>
      <c r="B3854" s="3" t="s">
        <v>948</v>
      </c>
      <c r="C3854" s="9"/>
      <c r="D3854" s="9"/>
      <c r="E3854" s="9"/>
      <c r="F3854" s="9"/>
      <c r="G3854" s="9"/>
      <c r="H3854" s="9"/>
      <c r="I3854" s="9"/>
      <c r="J3854" s="9"/>
      <c r="K3854" s="9"/>
      <c r="L3854" s="9"/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9"/>
      <c r="AG3854" s="9"/>
      <c r="AH3854" s="9"/>
      <c r="AI3854" s="9"/>
      <c r="AJ3854" s="9"/>
      <c r="AK3854" s="9"/>
      <c r="AL3854" s="9"/>
      <c r="AM3854" s="9"/>
      <c r="AN3854" s="9"/>
      <c r="AO3854" s="9"/>
    </row>
    <row r="3855" spans="1:41" ht="14.25" x14ac:dyDescent="0.2">
      <c r="A3855" s="2">
        <v>530207</v>
      </c>
      <c r="B3855" s="3" t="s">
        <v>949</v>
      </c>
      <c r="C3855" s="9"/>
      <c r="D3855" s="9"/>
      <c r="E3855" s="9"/>
      <c r="F3855" s="9"/>
      <c r="G3855" s="9"/>
      <c r="H3855" s="9"/>
      <c r="I3855" s="9"/>
      <c r="J3855" s="9"/>
      <c r="K3855" s="9"/>
      <c r="L3855" s="9"/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  <c r="AB3855" s="9"/>
      <c r="AC3855" s="9"/>
      <c r="AD3855" s="9"/>
      <c r="AE3855" s="9"/>
      <c r="AF3855" s="9"/>
      <c r="AG3855" s="9"/>
      <c r="AH3855" s="9"/>
      <c r="AI3855" s="9"/>
      <c r="AJ3855" s="9"/>
      <c r="AK3855" s="9"/>
      <c r="AL3855" s="9"/>
      <c r="AM3855" s="9"/>
      <c r="AN3855" s="9"/>
      <c r="AO3855" s="9"/>
    </row>
    <row r="3856" spans="1:41" ht="14.25" x14ac:dyDescent="0.2">
      <c r="A3856" s="2">
        <v>5303</v>
      </c>
      <c r="B3856" s="3" t="s">
        <v>950</v>
      </c>
      <c r="C3856" s="9"/>
      <c r="D3856" s="9"/>
      <c r="E3856" s="9"/>
      <c r="F3856" s="9"/>
      <c r="G3856" s="9"/>
      <c r="H3856" s="9"/>
      <c r="I3856" s="9"/>
      <c r="J3856" s="9"/>
      <c r="K3856" s="9"/>
      <c r="L3856" s="9"/>
      <c r="M3856" s="9"/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9"/>
      <c r="AF3856" s="9"/>
      <c r="AG3856" s="9"/>
      <c r="AH3856" s="9"/>
      <c r="AI3856" s="9"/>
      <c r="AJ3856" s="9"/>
      <c r="AK3856" s="9"/>
      <c r="AL3856" s="9"/>
      <c r="AM3856" s="9"/>
      <c r="AN3856" s="9"/>
      <c r="AO3856" s="9"/>
    </row>
    <row r="3857" spans="1:41" ht="14.25" x14ac:dyDescent="0.2">
      <c r="A3857" s="2">
        <v>530303</v>
      </c>
      <c r="B3857" s="3" t="s">
        <v>382</v>
      </c>
      <c r="C3857" s="9"/>
      <c r="D3857" s="9"/>
      <c r="E3857" s="9"/>
      <c r="F3857" s="9"/>
      <c r="G3857" s="9"/>
      <c r="H3857" s="9"/>
      <c r="I3857" s="9"/>
      <c r="J3857" s="9"/>
      <c r="K3857" s="9"/>
      <c r="L3857" s="9"/>
      <c r="M3857" s="9"/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  <c r="AE3857" s="9"/>
      <c r="AF3857" s="9"/>
      <c r="AG3857" s="9"/>
      <c r="AH3857" s="9"/>
      <c r="AI3857" s="9"/>
      <c r="AJ3857" s="9"/>
      <c r="AK3857" s="9"/>
      <c r="AL3857" s="9"/>
      <c r="AM3857" s="9"/>
      <c r="AN3857" s="9"/>
      <c r="AO3857" s="9"/>
    </row>
    <row r="3858" spans="1:41" ht="14.25" x14ac:dyDescent="0.2">
      <c r="A3858" s="2">
        <v>530304</v>
      </c>
      <c r="B3858" s="3" t="s">
        <v>951</v>
      </c>
      <c r="C3858" s="9"/>
      <c r="D3858" s="9"/>
      <c r="E3858" s="9"/>
      <c r="F3858" s="9"/>
      <c r="G3858" s="9"/>
      <c r="H3858" s="9"/>
      <c r="I3858" s="9"/>
      <c r="J3858" s="9"/>
      <c r="K3858" s="9"/>
      <c r="L3858" s="9"/>
      <c r="M3858" s="9"/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  <c r="AB3858" s="9"/>
      <c r="AC3858" s="9"/>
      <c r="AD3858" s="9"/>
      <c r="AE3858" s="9"/>
      <c r="AF3858" s="9"/>
      <c r="AG3858" s="9"/>
      <c r="AH3858" s="9"/>
      <c r="AI3858" s="9"/>
      <c r="AJ3858" s="9"/>
      <c r="AK3858" s="9"/>
      <c r="AL3858" s="9"/>
      <c r="AM3858" s="9"/>
      <c r="AN3858" s="9"/>
      <c r="AO3858" s="9"/>
    </row>
    <row r="3859" spans="1:41" ht="14.25" x14ac:dyDescent="0.2">
      <c r="A3859" s="2">
        <v>54</v>
      </c>
      <c r="B3859" s="3" t="s">
        <v>952</v>
      </c>
      <c r="C3859" s="20">
        <f>+C3860+C3864</f>
        <v>-7709.41</v>
      </c>
      <c r="D3859" s="20">
        <f t="shared" ref="D3859:AO3859" si="101">+D3860+D3864</f>
        <v>-13546.81</v>
      </c>
      <c r="E3859" s="20">
        <f t="shared" si="101"/>
        <v>-23485.22</v>
      </c>
      <c r="F3859" s="20">
        <f t="shared" si="101"/>
        <v>-32408.34</v>
      </c>
      <c r="G3859" s="20">
        <f t="shared" si="101"/>
        <v>-41106.65</v>
      </c>
      <c r="H3859" s="20">
        <f t="shared" si="101"/>
        <v>-43211.45</v>
      </c>
      <c r="I3859" s="20">
        <f t="shared" si="101"/>
        <v>-50899.72</v>
      </c>
      <c r="J3859" s="20">
        <f t="shared" si="101"/>
        <v>-56667.86</v>
      </c>
      <c r="K3859" s="20">
        <f t="shared" si="101"/>
        <v>-60584.18</v>
      </c>
      <c r="L3859" s="20">
        <f t="shared" si="101"/>
        <v>-87798.36</v>
      </c>
      <c r="M3859" s="20">
        <f t="shared" si="101"/>
        <v>-94257.08</v>
      </c>
      <c r="N3859" s="20">
        <f t="shared" si="101"/>
        <v>-98931.23</v>
      </c>
      <c r="O3859" s="20">
        <f t="shared" si="101"/>
        <v>-110791.19</v>
      </c>
      <c r="P3859" s="20">
        <f t="shared" si="101"/>
        <v>-302971.40999999997</v>
      </c>
      <c r="Q3859" s="20">
        <f t="shared" si="101"/>
        <v>-12977.79</v>
      </c>
      <c r="R3859" s="20">
        <f t="shared" si="101"/>
        <v>-13857.26</v>
      </c>
      <c r="S3859" s="20">
        <f t="shared" si="101"/>
        <v>-26459.65</v>
      </c>
      <c r="T3859" s="20">
        <f t="shared" si="101"/>
        <v>-42005.26</v>
      </c>
      <c r="U3859" s="20">
        <f t="shared" si="101"/>
        <v>-51058.58</v>
      </c>
      <c r="V3859" s="20">
        <f t="shared" si="101"/>
        <v>-54771.16</v>
      </c>
      <c r="W3859" s="20">
        <f t="shared" si="101"/>
        <v>-42005.26</v>
      </c>
      <c r="X3859" s="20">
        <f t="shared" si="101"/>
        <v>-51721.96</v>
      </c>
      <c r="Y3859" s="20">
        <f t="shared" si="101"/>
        <v>-60290.58</v>
      </c>
      <c r="Z3859" s="20">
        <f t="shared" si="101"/>
        <v>-42005.26</v>
      </c>
      <c r="AA3859" s="20">
        <f t="shared" si="101"/>
        <v>-7603.16</v>
      </c>
      <c r="AB3859" s="20">
        <f t="shared" si="101"/>
        <v>-16701.330000000002</v>
      </c>
      <c r="AC3859" s="20">
        <f t="shared" si="101"/>
        <v>0</v>
      </c>
      <c r="AD3859" s="20">
        <f t="shared" si="101"/>
        <v>-16018.84</v>
      </c>
      <c r="AE3859" s="20">
        <f t="shared" si="101"/>
        <v>-25820.059999999998</v>
      </c>
      <c r="AF3859" s="20">
        <f t="shared" si="101"/>
        <v>0</v>
      </c>
      <c r="AG3859" s="20">
        <f t="shared" si="101"/>
        <v>-8146.71</v>
      </c>
      <c r="AH3859" s="20">
        <f t="shared" si="101"/>
        <v>-23837.34</v>
      </c>
      <c r="AI3859" s="20">
        <f t="shared" si="101"/>
        <v>0</v>
      </c>
      <c r="AJ3859" s="20">
        <f t="shared" si="101"/>
        <v>-9144.11</v>
      </c>
      <c r="AK3859" s="20">
        <f t="shared" si="101"/>
        <v>-14192.59</v>
      </c>
      <c r="AL3859" s="20">
        <f t="shared" si="101"/>
        <v>0</v>
      </c>
      <c r="AM3859" s="20">
        <f t="shared" si="101"/>
        <v>-6588.5</v>
      </c>
      <c r="AN3859" s="20">
        <f t="shared" si="101"/>
        <v>-14948.36</v>
      </c>
      <c r="AO3859" s="20">
        <f t="shared" si="101"/>
        <v>0</v>
      </c>
    </row>
    <row r="3860" spans="1:41" ht="14.25" x14ac:dyDescent="0.2">
      <c r="A3860" s="2">
        <v>5404</v>
      </c>
      <c r="B3860" s="3" t="s">
        <v>953</v>
      </c>
      <c r="C3860" s="20">
        <f>+C3862</f>
        <v>0</v>
      </c>
      <c r="D3860" s="20">
        <f t="shared" ref="D3860:AO3860" si="102">+D3862</f>
        <v>0</v>
      </c>
      <c r="E3860" s="20">
        <f t="shared" si="102"/>
        <v>-35</v>
      </c>
      <c r="F3860" s="20">
        <f t="shared" si="102"/>
        <v>-35</v>
      </c>
      <c r="G3860" s="20">
        <f t="shared" si="102"/>
        <v>-35</v>
      </c>
      <c r="H3860" s="20">
        <f t="shared" si="102"/>
        <v>-35</v>
      </c>
      <c r="I3860" s="20">
        <f t="shared" si="102"/>
        <v>-35</v>
      </c>
      <c r="J3860" s="20">
        <f t="shared" si="102"/>
        <v>-35</v>
      </c>
      <c r="K3860" s="20">
        <f t="shared" si="102"/>
        <v>-35</v>
      </c>
      <c r="L3860" s="20">
        <f t="shared" si="102"/>
        <v>-35</v>
      </c>
      <c r="M3860" s="20">
        <f t="shared" si="102"/>
        <v>-452.45</v>
      </c>
      <c r="N3860" s="20">
        <f t="shared" si="102"/>
        <v>-452.45</v>
      </c>
      <c r="O3860" s="20">
        <f t="shared" si="102"/>
        <v>-105721.24</v>
      </c>
      <c r="P3860" s="20">
        <f t="shared" si="102"/>
        <v>-293931.8</v>
      </c>
      <c r="Q3860" s="20">
        <f t="shared" si="102"/>
        <v>0</v>
      </c>
      <c r="R3860" s="20">
        <f t="shared" si="102"/>
        <v>0</v>
      </c>
      <c r="S3860" s="20">
        <f t="shared" si="102"/>
        <v>0</v>
      </c>
      <c r="T3860" s="20">
        <f t="shared" si="102"/>
        <v>0</v>
      </c>
      <c r="U3860" s="20">
        <f t="shared" si="102"/>
        <v>-614.19000000000005</v>
      </c>
      <c r="V3860" s="20">
        <f t="shared" si="102"/>
        <v>-614.19000000000005</v>
      </c>
      <c r="W3860" s="20">
        <f t="shared" si="102"/>
        <v>0</v>
      </c>
      <c r="X3860" s="20">
        <f t="shared" si="102"/>
        <v>0</v>
      </c>
      <c r="Y3860" s="20">
        <f t="shared" si="102"/>
        <v>0</v>
      </c>
      <c r="Z3860" s="20">
        <f t="shared" si="102"/>
        <v>0</v>
      </c>
      <c r="AA3860" s="20">
        <f t="shared" si="102"/>
        <v>-290</v>
      </c>
      <c r="AB3860" s="20">
        <f t="shared" si="102"/>
        <v>-290</v>
      </c>
      <c r="AC3860" s="20">
        <f t="shared" si="102"/>
        <v>0</v>
      </c>
      <c r="AD3860" s="20">
        <f t="shared" si="102"/>
        <v>0</v>
      </c>
      <c r="AE3860" s="20">
        <f t="shared" si="102"/>
        <v>-262.10000000000002</v>
      </c>
      <c r="AF3860" s="20">
        <f t="shared" si="102"/>
        <v>0</v>
      </c>
      <c r="AG3860" s="20">
        <f t="shared" si="102"/>
        <v>0</v>
      </c>
      <c r="AH3860" s="20">
        <f t="shared" si="102"/>
        <v>-3.11</v>
      </c>
      <c r="AI3860" s="20">
        <f t="shared" si="102"/>
        <v>0</v>
      </c>
      <c r="AJ3860" s="20">
        <f t="shared" si="102"/>
        <v>0</v>
      </c>
      <c r="AK3860" s="20">
        <f t="shared" si="102"/>
        <v>0</v>
      </c>
      <c r="AL3860" s="20">
        <f t="shared" si="102"/>
        <v>0</v>
      </c>
      <c r="AM3860" s="20">
        <f t="shared" si="102"/>
        <v>-1134.6300000000001</v>
      </c>
      <c r="AN3860" s="20">
        <f t="shared" si="102"/>
        <v>-3079.09</v>
      </c>
      <c r="AO3860" s="20">
        <f t="shared" si="102"/>
        <v>0</v>
      </c>
    </row>
    <row r="3861" spans="1:41" ht="14.25" x14ac:dyDescent="0.2">
      <c r="A3861" s="2">
        <v>540401</v>
      </c>
      <c r="B3861" s="3" t="s">
        <v>954</v>
      </c>
      <c r="C3861" s="9"/>
      <c r="D3861" s="9"/>
      <c r="E3861" s="9"/>
      <c r="F3861" s="9"/>
      <c r="G3861" s="9"/>
      <c r="H3861" s="9"/>
      <c r="I3861" s="9"/>
      <c r="J3861" s="9"/>
      <c r="K3861" s="9"/>
      <c r="L3861" s="9"/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9"/>
      <c r="AF3861" s="9"/>
      <c r="AG3861" s="9"/>
      <c r="AH3861" s="9"/>
      <c r="AI3861" s="9"/>
      <c r="AJ3861" s="9"/>
      <c r="AK3861" s="9"/>
      <c r="AL3861" s="9"/>
      <c r="AM3861" s="9"/>
      <c r="AN3861" s="9"/>
      <c r="AO3861" s="9"/>
    </row>
    <row r="3862" spans="1:41" s="15" customFormat="1" ht="14.25" x14ac:dyDescent="0.2">
      <c r="A3862" s="18" t="s">
        <v>2106</v>
      </c>
      <c r="B3862" s="19" t="s">
        <v>2107</v>
      </c>
      <c r="C3862" s="20"/>
      <c r="D3862" s="20"/>
      <c r="E3862" s="20">
        <v>-35</v>
      </c>
      <c r="F3862" s="20">
        <v>-35</v>
      </c>
      <c r="G3862" s="20">
        <v>-35</v>
      </c>
      <c r="H3862" s="20">
        <v>-35</v>
      </c>
      <c r="I3862" s="20">
        <v>-35</v>
      </c>
      <c r="J3862" s="20">
        <v>-35</v>
      </c>
      <c r="K3862" s="20">
        <v>-35</v>
      </c>
      <c r="L3862" s="20">
        <v>-35</v>
      </c>
      <c r="M3862" s="20">
        <v>-452.45</v>
      </c>
      <c r="N3862" s="20">
        <v>-452.45</v>
      </c>
      <c r="O3862" s="20">
        <v>-105721.24</v>
      </c>
      <c r="P3862" s="20">
        <v>-293931.8</v>
      </c>
      <c r="Q3862" s="20">
        <v>0</v>
      </c>
      <c r="R3862" s="20"/>
      <c r="S3862" s="20"/>
      <c r="T3862" s="20"/>
      <c r="U3862" s="20">
        <v>-614.19000000000005</v>
      </c>
      <c r="V3862" s="20">
        <v>-614.19000000000005</v>
      </c>
      <c r="W3862" s="20">
        <v>0</v>
      </c>
      <c r="X3862" s="20"/>
      <c r="Y3862" s="20"/>
      <c r="Z3862" s="20"/>
      <c r="AA3862" s="20">
        <v>-290</v>
      </c>
      <c r="AB3862" s="20">
        <v>-290</v>
      </c>
      <c r="AC3862" s="20">
        <v>0</v>
      </c>
      <c r="AD3862" s="20"/>
      <c r="AE3862" s="20">
        <v>-262.10000000000002</v>
      </c>
      <c r="AF3862" s="20">
        <v>0</v>
      </c>
      <c r="AG3862" s="20"/>
      <c r="AH3862" s="20">
        <v>-3.11</v>
      </c>
      <c r="AI3862" s="20">
        <v>0</v>
      </c>
      <c r="AJ3862" s="20"/>
      <c r="AK3862" s="20"/>
      <c r="AL3862" s="20"/>
      <c r="AM3862" s="20">
        <v>-1134.6300000000001</v>
      </c>
      <c r="AN3862" s="20">
        <v>-3079.09</v>
      </c>
      <c r="AO3862" s="20">
        <v>0</v>
      </c>
    </row>
    <row r="3863" spans="1:41" ht="14.25" x14ac:dyDescent="0.2">
      <c r="A3863" s="2">
        <v>540402</v>
      </c>
      <c r="B3863" s="3" t="s">
        <v>582</v>
      </c>
      <c r="C3863" s="20"/>
      <c r="D3863" s="9"/>
      <c r="E3863" s="9"/>
      <c r="F3863" s="9"/>
      <c r="G3863" s="9"/>
      <c r="H3863" s="9"/>
      <c r="I3863" s="9"/>
      <c r="J3863" s="9"/>
      <c r="K3863" s="9"/>
      <c r="L3863" s="9"/>
      <c r="M3863" s="9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9"/>
      <c r="AF3863" s="9"/>
      <c r="AG3863" s="9"/>
      <c r="AH3863" s="9"/>
      <c r="AI3863" s="9"/>
      <c r="AJ3863" s="9"/>
      <c r="AK3863" s="9"/>
      <c r="AL3863" s="9"/>
      <c r="AM3863" s="9"/>
      <c r="AN3863" s="9"/>
      <c r="AO3863" s="9"/>
    </row>
    <row r="3864" spans="1:41" ht="14.25" x14ac:dyDescent="0.2">
      <c r="A3864" s="2">
        <v>5405</v>
      </c>
      <c r="B3864" s="3" t="s">
        <v>955</v>
      </c>
      <c r="C3864" s="20">
        <f>+C3865</f>
        <v>-7709.41</v>
      </c>
      <c r="D3864" s="20">
        <f t="shared" ref="D3864:AO3864" si="103">+D3865</f>
        <v>-13546.81</v>
      </c>
      <c r="E3864" s="20">
        <f t="shared" si="103"/>
        <v>-23450.22</v>
      </c>
      <c r="F3864" s="20">
        <f t="shared" si="103"/>
        <v>-32373.34</v>
      </c>
      <c r="G3864" s="20">
        <f t="shared" si="103"/>
        <v>-41071.65</v>
      </c>
      <c r="H3864" s="20">
        <f t="shared" si="103"/>
        <v>-43176.45</v>
      </c>
      <c r="I3864" s="20">
        <f t="shared" si="103"/>
        <v>-50864.72</v>
      </c>
      <c r="J3864" s="20">
        <f t="shared" si="103"/>
        <v>-56632.86</v>
      </c>
      <c r="K3864" s="20">
        <f t="shared" si="103"/>
        <v>-60549.18</v>
      </c>
      <c r="L3864" s="20">
        <f t="shared" si="103"/>
        <v>-87763.36</v>
      </c>
      <c r="M3864" s="20">
        <f t="shared" si="103"/>
        <v>-93804.63</v>
      </c>
      <c r="N3864" s="20">
        <f t="shared" si="103"/>
        <v>-98478.78</v>
      </c>
      <c r="O3864" s="20">
        <f t="shared" si="103"/>
        <v>-5069.95</v>
      </c>
      <c r="P3864" s="20">
        <f t="shared" si="103"/>
        <v>-9039.61</v>
      </c>
      <c r="Q3864" s="20">
        <f t="shared" si="103"/>
        <v>-12977.79</v>
      </c>
      <c r="R3864" s="20">
        <f t="shared" si="103"/>
        <v>-13857.26</v>
      </c>
      <c r="S3864" s="20">
        <f t="shared" si="103"/>
        <v>-26459.65</v>
      </c>
      <c r="T3864" s="20">
        <f t="shared" si="103"/>
        <v>-42005.26</v>
      </c>
      <c r="U3864" s="20">
        <f t="shared" si="103"/>
        <v>-50444.39</v>
      </c>
      <c r="V3864" s="20">
        <f t="shared" si="103"/>
        <v>-54156.97</v>
      </c>
      <c r="W3864" s="20">
        <f t="shared" si="103"/>
        <v>-42005.26</v>
      </c>
      <c r="X3864" s="20">
        <f t="shared" si="103"/>
        <v>-51721.96</v>
      </c>
      <c r="Y3864" s="20">
        <f t="shared" si="103"/>
        <v>-60290.58</v>
      </c>
      <c r="Z3864" s="20">
        <f t="shared" si="103"/>
        <v>-42005.26</v>
      </c>
      <c r="AA3864" s="20">
        <f t="shared" si="103"/>
        <v>-7313.16</v>
      </c>
      <c r="AB3864" s="20">
        <f t="shared" si="103"/>
        <v>-16411.330000000002</v>
      </c>
      <c r="AC3864" s="20">
        <f t="shared" si="103"/>
        <v>0</v>
      </c>
      <c r="AD3864" s="20">
        <f t="shared" si="103"/>
        <v>-16018.84</v>
      </c>
      <c r="AE3864" s="20">
        <f t="shared" si="103"/>
        <v>-25557.96</v>
      </c>
      <c r="AF3864" s="20">
        <f t="shared" si="103"/>
        <v>0</v>
      </c>
      <c r="AG3864" s="20">
        <f t="shared" si="103"/>
        <v>-8146.71</v>
      </c>
      <c r="AH3864" s="20">
        <f t="shared" si="103"/>
        <v>-23834.23</v>
      </c>
      <c r="AI3864" s="20">
        <f t="shared" si="103"/>
        <v>0</v>
      </c>
      <c r="AJ3864" s="20">
        <f t="shared" si="103"/>
        <v>-9144.11</v>
      </c>
      <c r="AK3864" s="20">
        <f t="shared" si="103"/>
        <v>-14192.59</v>
      </c>
      <c r="AL3864" s="20">
        <f t="shared" si="103"/>
        <v>0</v>
      </c>
      <c r="AM3864" s="20">
        <f t="shared" si="103"/>
        <v>-5453.87</v>
      </c>
      <c r="AN3864" s="20">
        <f t="shared" si="103"/>
        <v>-11869.27</v>
      </c>
      <c r="AO3864" s="20">
        <f t="shared" si="103"/>
        <v>0</v>
      </c>
    </row>
    <row r="3865" spans="1:41" s="15" customFormat="1" ht="14.25" x14ac:dyDescent="0.2">
      <c r="A3865" s="18" t="s">
        <v>2108</v>
      </c>
      <c r="B3865" s="19" t="s">
        <v>2109</v>
      </c>
      <c r="C3865" s="20">
        <v>-7709.41</v>
      </c>
      <c r="D3865" s="20">
        <v>-13546.81</v>
      </c>
      <c r="E3865" s="20">
        <v>-23450.22</v>
      </c>
      <c r="F3865" s="20">
        <v>-32373.34</v>
      </c>
      <c r="G3865" s="20">
        <v>-41071.65</v>
      </c>
      <c r="H3865" s="20">
        <v>-43176.45</v>
      </c>
      <c r="I3865" s="20">
        <v>-50864.72</v>
      </c>
      <c r="J3865" s="20">
        <v>-56632.86</v>
      </c>
      <c r="K3865" s="20">
        <v>-60549.18</v>
      </c>
      <c r="L3865" s="20">
        <v>-87763.36</v>
      </c>
      <c r="M3865" s="20">
        <v>-93804.63</v>
      </c>
      <c r="N3865" s="20">
        <v>-98478.78</v>
      </c>
      <c r="O3865" s="20">
        <v>-5069.95</v>
      </c>
      <c r="P3865" s="20">
        <v>-9039.61</v>
      </c>
      <c r="Q3865" s="20">
        <v>-12977.79</v>
      </c>
      <c r="R3865" s="20">
        <v>-13857.26</v>
      </c>
      <c r="S3865" s="20">
        <v>-26459.65</v>
      </c>
      <c r="T3865" s="20">
        <v>-42005.26</v>
      </c>
      <c r="U3865" s="20">
        <v>-50444.39</v>
      </c>
      <c r="V3865" s="20">
        <v>-54156.97</v>
      </c>
      <c r="W3865" s="20">
        <v>-42005.26</v>
      </c>
      <c r="X3865" s="20">
        <v>-51721.96</v>
      </c>
      <c r="Y3865" s="20">
        <v>-60290.58</v>
      </c>
      <c r="Z3865" s="20">
        <v>-42005.26</v>
      </c>
      <c r="AA3865" s="20">
        <v>-7313.16</v>
      </c>
      <c r="AB3865" s="20">
        <v>-16411.330000000002</v>
      </c>
      <c r="AC3865" s="20">
        <v>0</v>
      </c>
      <c r="AD3865" s="20">
        <v>-16018.84</v>
      </c>
      <c r="AE3865" s="20">
        <v>-25557.96</v>
      </c>
      <c r="AF3865" s="20">
        <v>0</v>
      </c>
      <c r="AG3865" s="20">
        <v>-8146.71</v>
      </c>
      <c r="AH3865" s="20">
        <v>-23834.23</v>
      </c>
      <c r="AI3865" s="20">
        <v>0</v>
      </c>
      <c r="AJ3865" s="20">
        <v>-9144.11</v>
      </c>
      <c r="AK3865" s="20">
        <v>-14192.59</v>
      </c>
      <c r="AL3865" s="20">
        <v>0</v>
      </c>
      <c r="AM3865" s="20">
        <v>-5453.87</v>
      </c>
      <c r="AN3865" s="20">
        <v>-11869.27</v>
      </c>
      <c r="AO3865" s="20">
        <v>0</v>
      </c>
    </row>
    <row r="3866" spans="1:41" ht="28.5" x14ac:dyDescent="0.2">
      <c r="A3866" s="2">
        <v>5406</v>
      </c>
      <c r="B3866" s="4" t="s">
        <v>956</v>
      </c>
      <c r="C3866" s="11"/>
      <c r="D3866" s="11"/>
      <c r="E3866" s="11"/>
      <c r="F3866" s="11"/>
      <c r="G3866" s="11"/>
      <c r="H3866" s="11"/>
      <c r="I3866" s="11"/>
      <c r="J3866" s="11"/>
      <c r="K3866" s="11"/>
      <c r="L3866" s="11"/>
      <c r="M3866" s="11"/>
      <c r="N3866" s="11"/>
      <c r="O3866" s="11"/>
      <c r="P3866" s="11"/>
      <c r="Q3866" s="11"/>
      <c r="R3866" s="11"/>
      <c r="S3866" s="11"/>
      <c r="T3866" s="11"/>
      <c r="U3866" s="11"/>
      <c r="V3866" s="11"/>
      <c r="W3866" s="11"/>
      <c r="X3866" s="11"/>
      <c r="Y3866" s="11"/>
      <c r="Z3866" s="11"/>
      <c r="AA3866" s="11"/>
      <c r="AB3866" s="11"/>
      <c r="AC3866" s="11"/>
      <c r="AD3866" s="11"/>
      <c r="AE3866" s="11"/>
      <c r="AF3866" s="11"/>
      <c r="AG3866" s="11"/>
      <c r="AH3866" s="11"/>
      <c r="AI3866" s="11"/>
      <c r="AJ3866" s="11"/>
      <c r="AK3866" s="11"/>
      <c r="AL3866" s="11"/>
      <c r="AM3866" s="11"/>
      <c r="AN3866" s="11"/>
      <c r="AO3866" s="11"/>
    </row>
    <row r="3867" spans="1:41" ht="14.25" x14ac:dyDescent="0.2">
      <c r="A3867" s="2">
        <v>56</v>
      </c>
      <c r="B3867" s="3" t="s">
        <v>957</v>
      </c>
      <c r="C3867" s="9"/>
      <c r="D3867" s="9"/>
      <c r="E3867" s="9"/>
      <c r="F3867" s="9"/>
      <c r="G3867" s="9"/>
      <c r="H3867" s="9"/>
      <c r="I3867" s="9"/>
      <c r="J3867" s="9"/>
      <c r="K3867" s="9"/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  <c r="AB3867" s="9"/>
      <c r="AC3867" s="9"/>
      <c r="AD3867" s="9"/>
      <c r="AE3867" s="9"/>
      <c r="AF3867" s="9"/>
      <c r="AG3867" s="9"/>
      <c r="AH3867" s="9"/>
      <c r="AI3867" s="9"/>
      <c r="AJ3867" s="9"/>
      <c r="AK3867" s="9"/>
      <c r="AL3867" s="9"/>
      <c r="AM3867" s="9"/>
      <c r="AN3867" s="9"/>
      <c r="AO3867" s="9"/>
    </row>
    <row r="3868" spans="1:41" ht="14.25" x14ac:dyDescent="0.2">
      <c r="A3868" s="2">
        <v>5601</v>
      </c>
      <c r="B3868" s="3" t="s">
        <v>958</v>
      </c>
      <c r="C3868" s="9"/>
      <c r="D3868" s="9"/>
      <c r="E3868" s="9"/>
      <c r="F3868" s="9"/>
      <c r="G3868" s="9"/>
      <c r="H3868" s="9"/>
      <c r="I3868" s="9"/>
      <c r="J3868" s="9"/>
      <c r="K3868" s="9"/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9"/>
      <c r="AC3868" s="9"/>
      <c r="AD3868" s="9"/>
      <c r="AE3868" s="9"/>
      <c r="AF3868" s="9"/>
      <c r="AG3868" s="9"/>
      <c r="AH3868" s="9"/>
      <c r="AI3868" s="9"/>
      <c r="AJ3868" s="9"/>
      <c r="AK3868" s="9"/>
      <c r="AL3868" s="9"/>
      <c r="AM3868" s="9"/>
      <c r="AN3868" s="9"/>
      <c r="AO3868" s="9"/>
    </row>
    <row r="3869" spans="1:41" ht="14.25" x14ac:dyDescent="0.2">
      <c r="A3869" s="2">
        <v>5602</v>
      </c>
      <c r="B3869" s="3" t="s">
        <v>959</v>
      </c>
      <c r="C3869" s="9"/>
      <c r="D3869" s="9"/>
      <c r="E3869" s="9"/>
      <c r="F3869" s="9"/>
      <c r="G3869" s="9"/>
      <c r="H3869" s="9"/>
      <c r="I3869" s="9"/>
      <c r="J3869" s="9"/>
      <c r="K3869" s="9"/>
      <c r="L3869" s="9"/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  <c r="AE3869" s="9"/>
      <c r="AF3869" s="9"/>
      <c r="AG3869" s="9"/>
      <c r="AH3869" s="9"/>
      <c r="AI3869" s="9"/>
      <c r="AJ3869" s="9"/>
      <c r="AK3869" s="9"/>
      <c r="AL3869" s="9"/>
      <c r="AM3869" s="9"/>
      <c r="AN3869" s="9"/>
      <c r="AO3869" s="9"/>
    </row>
    <row r="3870" spans="1:41" ht="28.5" x14ac:dyDescent="0.2">
      <c r="A3870" s="2">
        <v>5604</v>
      </c>
      <c r="B3870" s="4" t="s">
        <v>960</v>
      </c>
      <c r="C3870" s="11"/>
      <c r="D3870" s="11"/>
      <c r="E3870" s="11"/>
      <c r="F3870" s="11"/>
      <c r="G3870" s="11"/>
      <c r="H3870" s="11"/>
      <c r="I3870" s="11"/>
      <c r="J3870" s="11"/>
      <c r="K3870" s="11"/>
      <c r="L3870" s="11"/>
      <c r="M3870" s="11"/>
      <c r="N3870" s="11"/>
      <c r="O3870" s="11"/>
      <c r="P3870" s="11"/>
      <c r="Q3870" s="11"/>
      <c r="R3870" s="11"/>
      <c r="S3870" s="11"/>
      <c r="T3870" s="11"/>
      <c r="U3870" s="11"/>
      <c r="V3870" s="11"/>
      <c r="W3870" s="11"/>
      <c r="X3870" s="11"/>
      <c r="Y3870" s="11"/>
      <c r="Z3870" s="11"/>
      <c r="AA3870" s="11"/>
      <c r="AB3870" s="11"/>
      <c r="AC3870" s="11"/>
      <c r="AD3870" s="11"/>
      <c r="AE3870" s="11"/>
      <c r="AF3870" s="11"/>
      <c r="AG3870" s="11"/>
      <c r="AH3870" s="11"/>
      <c r="AI3870" s="11"/>
      <c r="AJ3870" s="11"/>
      <c r="AK3870" s="11"/>
      <c r="AL3870" s="11"/>
      <c r="AM3870" s="11"/>
      <c r="AN3870" s="11"/>
      <c r="AO3870" s="11"/>
    </row>
    <row r="3871" spans="1:41" ht="14.25" x14ac:dyDescent="0.2">
      <c r="A3871" s="2">
        <v>5607</v>
      </c>
      <c r="B3871" s="3" t="s">
        <v>961</v>
      </c>
      <c r="C3871" s="9"/>
      <c r="D3871" s="9"/>
      <c r="E3871" s="9"/>
      <c r="F3871" s="9"/>
      <c r="G3871" s="9"/>
      <c r="H3871" s="9"/>
      <c r="I3871" s="9"/>
      <c r="J3871" s="9"/>
      <c r="K3871" s="9"/>
      <c r="L3871" s="9"/>
      <c r="M3871" s="9"/>
      <c r="N3871" s="9"/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  <c r="AB3871" s="9"/>
      <c r="AC3871" s="9"/>
      <c r="AD3871" s="9"/>
      <c r="AE3871" s="9"/>
      <c r="AF3871" s="9"/>
      <c r="AG3871" s="9"/>
      <c r="AH3871" s="9"/>
      <c r="AI3871" s="9"/>
      <c r="AJ3871" s="9"/>
      <c r="AK3871" s="9"/>
      <c r="AL3871" s="9"/>
      <c r="AM3871" s="9"/>
      <c r="AN3871" s="9"/>
      <c r="AO3871" s="9"/>
    </row>
    <row r="3872" spans="1:41" ht="14.25" x14ac:dyDescent="0.2">
      <c r="A3872" s="2">
        <v>5609</v>
      </c>
      <c r="B3872" s="3" t="s">
        <v>957</v>
      </c>
      <c r="C3872" s="9"/>
      <c r="D3872" s="9"/>
      <c r="E3872" s="9"/>
      <c r="F3872" s="9"/>
      <c r="G3872" s="9"/>
      <c r="H3872" s="9"/>
      <c r="I3872" s="9"/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  <c r="AB3872" s="9"/>
      <c r="AC3872" s="9"/>
      <c r="AD3872" s="9"/>
      <c r="AE3872" s="9"/>
      <c r="AF3872" s="9"/>
      <c r="AG3872" s="9"/>
      <c r="AH3872" s="9"/>
      <c r="AI3872" s="9"/>
      <c r="AJ3872" s="9"/>
      <c r="AK3872" s="9"/>
      <c r="AL3872" s="9"/>
      <c r="AM3872" s="9"/>
      <c r="AN3872" s="9"/>
      <c r="AO3872" s="9"/>
    </row>
    <row r="3873" spans="1:41" s="15" customFormat="1" ht="14.25" x14ac:dyDescent="0.2">
      <c r="A3873" s="18" t="s">
        <v>2110</v>
      </c>
      <c r="B3873" s="19" t="s">
        <v>2111</v>
      </c>
      <c r="C3873" s="20"/>
      <c r="D3873" s="20"/>
      <c r="E3873" s="20"/>
      <c r="F3873" s="20"/>
      <c r="G3873" s="20"/>
      <c r="H3873" s="20"/>
      <c r="I3873" s="20"/>
      <c r="J3873" s="20"/>
      <c r="K3873" s="20"/>
      <c r="L3873" s="20"/>
      <c r="M3873" s="20"/>
      <c r="N3873" s="20">
        <v>-443427.82</v>
      </c>
      <c r="O3873" s="20"/>
      <c r="P3873" s="20"/>
      <c r="Q3873" s="20"/>
      <c r="R3873" s="20"/>
      <c r="S3873" s="20"/>
      <c r="T3873" s="20"/>
      <c r="U3873" s="20"/>
      <c r="V3873" s="20"/>
      <c r="W3873" s="20"/>
      <c r="X3873" s="20"/>
      <c r="Y3873" s="20"/>
      <c r="Z3873" s="20"/>
      <c r="AA3873" s="20"/>
      <c r="AB3873" s="20">
        <v>-0.22</v>
      </c>
      <c r="AC3873" s="20">
        <v>-0.22</v>
      </c>
      <c r="AD3873" s="20">
        <v>-0.22</v>
      </c>
      <c r="AE3873" s="20">
        <v>-0.22</v>
      </c>
      <c r="AF3873" s="20">
        <v>-0.22</v>
      </c>
      <c r="AG3873" s="20">
        <v>-0.22</v>
      </c>
      <c r="AH3873" s="20">
        <v>-0.22</v>
      </c>
      <c r="AI3873" s="20">
        <v>-0.22</v>
      </c>
      <c r="AJ3873" s="20">
        <v>-0.22</v>
      </c>
      <c r="AK3873" s="20">
        <v>-0.22</v>
      </c>
      <c r="AL3873" s="20">
        <v>-0.22</v>
      </c>
      <c r="AM3873" s="20"/>
      <c r="AN3873" s="20"/>
      <c r="AO3873" s="20"/>
    </row>
    <row r="3874" spans="1:41" ht="14.25" x14ac:dyDescent="0.2">
      <c r="A3874" s="2">
        <v>57</v>
      </c>
      <c r="B3874" s="3" t="s">
        <v>962</v>
      </c>
      <c r="C3874" s="20">
        <f>+C3876</f>
        <v>-99038.19</v>
      </c>
      <c r="D3874" s="20">
        <f t="shared" ref="D3874:AO3874" si="104">+D3876</f>
        <v>-177279.91</v>
      </c>
      <c r="E3874" s="20">
        <f t="shared" si="104"/>
        <v>-218150.62999999998</v>
      </c>
      <c r="F3874" s="20">
        <f t="shared" si="104"/>
        <v>-266065.31</v>
      </c>
      <c r="G3874" s="20">
        <f t="shared" si="104"/>
        <v>-323342.45</v>
      </c>
      <c r="H3874" s="20">
        <f t="shared" si="104"/>
        <v>-370124.14</v>
      </c>
      <c r="I3874" s="20">
        <f t="shared" si="104"/>
        <v>-423192.25</v>
      </c>
      <c r="J3874" s="20">
        <f t="shared" si="104"/>
        <v>-488747.77</v>
      </c>
      <c r="K3874" s="20">
        <f t="shared" si="104"/>
        <v>-555707.43999999994</v>
      </c>
      <c r="L3874" s="20">
        <f t="shared" si="104"/>
        <v>-627163.98</v>
      </c>
      <c r="M3874" s="20">
        <f t="shared" si="104"/>
        <v>-694533.19</v>
      </c>
      <c r="N3874" s="20">
        <f t="shared" si="104"/>
        <v>-738822.43</v>
      </c>
      <c r="O3874" s="20">
        <f t="shared" si="104"/>
        <v>-73174.819999999992</v>
      </c>
      <c r="P3874" s="20">
        <f t="shared" si="104"/>
        <v>-141961.95000000001</v>
      </c>
      <c r="Q3874" s="20">
        <f t="shared" si="104"/>
        <v>-192599.45</v>
      </c>
      <c r="R3874" s="20">
        <f t="shared" si="104"/>
        <v>-230999.05</v>
      </c>
      <c r="S3874" s="20">
        <f t="shared" si="104"/>
        <v>-274825.83999999997</v>
      </c>
      <c r="T3874" s="20">
        <f t="shared" si="104"/>
        <v>-318609.15999999997</v>
      </c>
      <c r="U3874" s="20">
        <f t="shared" si="104"/>
        <v>-393851.56999999995</v>
      </c>
      <c r="V3874" s="20">
        <f t="shared" si="104"/>
        <v>-471887.82999999996</v>
      </c>
      <c r="W3874" s="20">
        <f t="shared" si="104"/>
        <v>-533175.01</v>
      </c>
      <c r="X3874" s="20">
        <f t="shared" si="104"/>
        <v>-619420.92999999993</v>
      </c>
      <c r="Y3874" s="20">
        <f t="shared" si="104"/>
        <v>-691721.91999999993</v>
      </c>
      <c r="Z3874" s="20">
        <f t="shared" si="104"/>
        <v>-734968.08</v>
      </c>
      <c r="AA3874" s="20">
        <f t="shared" si="104"/>
        <v>-94639.39</v>
      </c>
      <c r="AB3874" s="20">
        <f t="shared" si="104"/>
        <v>-167916.78</v>
      </c>
      <c r="AC3874" s="20">
        <f t="shared" si="104"/>
        <v>-219452.88999999998</v>
      </c>
      <c r="AD3874" s="20">
        <f t="shared" si="104"/>
        <v>-291021.65000000002</v>
      </c>
      <c r="AE3874" s="20">
        <f t="shared" si="104"/>
        <v>-351449.92</v>
      </c>
      <c r="AF3874" s="20">
        <f t="shared" si="104"/>
        <v>-423615.85</v>
      </c>
      <c r="AG3874" s="20">
        <f t="shared" si="104"/>
        <v>-488445.27</v>
      </c>
      <c r="AH3874" s="20">
        <f t="shared" si="104"/>
        <v>-559856.63</v>
      </c>
      <c r="AI3874" s="20">
        <f t="shared" si="104"/>
        <v>-656512.91</v>
      </c>
      <c r="AJ3874" s="20">
        <f t="shared" si="104"/>
        <v>-771555.5199999999</v>
      </c>
      <c r="AK3874" s="20">
        <f t="shared" si="104"/>
        <v>-857049.3</v>
      </c>
      <c r="AL3874" s="20">
        <f t="shared" si="104"/>
        <v>-915097.75</v>
      </c>
      <c r="AM3874" s="20">
        <f t="shared" si="104"/>
        <v>-73900.69</v>
      </c>
      <c r="AN3874" s="20">
        <f t="shared" si="104"/>
        <v>-133561.69</v>
      </c>
      <c r="AO3874" s="20">
        <f t="shared" si="104"/>
        <v>-168058.91999999998</v>
      </c>
    </row>
    <row r="3875" spans="1:41" ht="14.25" x14ac:dyDescent="0.2">
      <c r="A3875" s="2">
        <v>5701</v>
      </c>
      <c r="B3875" s="3" t="s">
        <v>963</v>
      </c>
      <c r="C3875" s="9"/>
      <c r="D3875" s="9"/>
      <c r="E3875" s="9"/>
      <c r="F3875" s="9"/>
      <c r="G3875" s="9"/>
      <c r="H3875" s="9"/>
      <c r="I3875" s="9"/>
      <c r="J3875" s="9"/>
      <c r="K3875" s="9"/>
      <c r="L3875" s="9"/>
      <c r="M3875" s="9"/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  <c r="AA3875" s="9"/>
      <c r="AB3875" s="9"/>
      <c r="AC3875" s="9"/>
      <c r="AD3875" s="9"/>
      <c r="AE3875" s="9"/>
      <c r="AF3875" s="9"/>
      <c r="AG3875" s="9"/>
      <c r="AH3875" s="9"/>
      <c r="AI3875" s="9"/>
      <c r="AJ3875" s="9"/>
      <c r="AK3875" s="9"/>
      <c r="AL3875" s="9"/>
      <c r="AM3875" s="9"/>
      <c r="AN3875" s="9"/>
      <c r="AO3875" s="9"/>
    </row>
    <row r="3876" spans="1:41" ht="14.25" x14ac:dyDescent="0.2">
      <c r="A3876" s="2">
        <v>5702</v>
      </c>
      <c r="B3876" s="3" t="s">
        <v>964</v>
      </c>
      <c r="C3876" s="20">
        <f>+C3877+C3878+C3879+C3880</f>
        <v>-99038.19</v>
      </c>
      <c r="D3876" s="20">
        <f t="shared" ref="D3876:AO3876" si="105">+D3877+D3878+D3879+D3880</f>
        <v>-177279.91</v>
      </c>
      <c r="E3876" s="20">
        <f t="shared" si="105"/>
        <v>-218150.62999999998</v>
      </c>
      <c r="F3876" s="20">
        <f t="shared" si="105"/>
        <v>-266065.31</v>
      </c>
      <c r="G3876" s="20">
        <f t="shared" si="105"/>
        <v>-323342.45</v>
      </c>
      <c r="H3876" s="20">
        <f t="shared" si="105"/>
        <v>-370124.14</v>
      </c>
      <c r="I3876" s="20">
        <f t="shared" si="105"/>
        <v>-423192.25</v>
      </c>
      <c r="J3876" s="20">
        <f t="shared" si="105"/>
        <v>-488747.77</v>
      </c>
      <c r="K3876" s="20">
        <f t="shared" si="105"/>
        <v>-555707.43999999994</v>
      </c>
      <c r="L3876" s="20">
        <f t="shared" si="105"/>
        <v>-627163.98</v>
      </c>
      <c r="M3876" s="20">
        <f t="shared" si="105"/>
        <v>-694533.19</v>
      </c>
      <c r="N3876" s="20">
        <f t="shared" si="105"/>
        <v>-738822.43</v>
      </c>
      <c r="O3876" s="20">
        <f t="shared" si="105"/>
        <v>-73174.819999999992</v>
      </c>
      <c r="P3876" s="20">
        <f t="shared" si="105"/>
        <v>-141961.95000000001</v>
      </c>
      <c r="Q3876" s="20">
        <f t="shared" si="105"/>
        <v>-192599.45</v>
      </c>
      <c r="R3876" s="20">
        <f t="shared" si="105"/>
        <v>-230999.05</v>
      </c>
      <c r="S3876" s="20">
        <f t="shared" si="105"/>
        <v>-274825.83999999997</v>
      </c>
      <c r="T3876" s="20">
        <f t="shared" si="105"/>
        <v>-318609.15999999997</v>
      </c>
      <c r="U3876" s="20">
        <f t="shared" si="105"/>
        <v>-393851.56999999995</v>
      </c>
      <c r="V3876" s="20">
        <f t="shared" si="105"/>
        <v>-471887.82999999996</v>
      </c>
      <c r="W3876" s="20">
        <f t="shared" si="105"/>
        <v>-533175.01</v>
      </c>
      <c r="X3876" s="20">
        <f t="shared" si="105"/>
        <v>-619420.92999999993</v>
      </c>
      <c r="Y3876" s="20">
        <f t="shared" si="105"/>
        <v>-691721.91999999993</v>
      </c>
      <c r="Z3876" s="20">
        <f t="shared" si="105"/>
        <v>-734968.08</v>
      </c>
      <c r="AA3876" s="20">
        <f t="shared" si="105"/>
        <v>-94639.39</v>
      </c>
      <c r="AB3876" s="20">
        <f t="shared" si="105"/>
        <v>-167916.78</v>
      </c>
      <c r="AC3876" s="20">
        <f t="shared" si="105"/>
        <v>-219452.88999999998</v>
      </c>
      <c r="AD3876" s="20">
        <f t="shared" si="105"/>
        <v>-291021.65000000002</v>
      </c>
      <c r="AE3876" s="20">
        <f t="shared" si="105"/>
        <v>-351449.92</v>
      </c>
      <c r="AF3876" s="20">
        <f t="shared" si="105"/>
        <v>-423615.85</v>
      </c>
      <c r="AG3876" s="20">
        <f t="shared" si="105"/>
        <v>-488445.27</v>
      </c>
      <c r="AH3876" s="20">
        <f t="shared" si="105"/>
        <v>-559856.63</v>
      </c>
      <c r="AI3876" s="20">
        <f t="shared" si="105"/>
        <v>-656512.91</v>
      </c>
      <c r="AJ3876" s="20">
        <f t="shared" si="105"/>
        <v>-771555.5199999999</v>
      </c>
      <c r="AK3876" s="20">
        <f t="shared" si="105"/>
        <v>-857049.3</v>
      </c>
      <c r="AL3876" s="20">
        <f t="shared" si="105"/>
        <v>-915097.75</v>
      </c>
      <c r="AM3876" s="20">
        <f t="shared" si="105"/>
        <v>-73900.69</v>
      </c>
      <c r="AN3876" s="20">
        <f t="shared" si="105"/>
        <v>-133561.69</v>
      </c>
      <c r="AO3876" s="20">
        <f t="shared" si="105"/>
        <v>-168058.91999999998</v>
      </c>
    </row>
    <row r="3877" spans="1:41" s="15" customFormat="1" ht="14.25" x14ac:dyDescent="0.2">
      <c r="A3877" s="18" t="s">
        <v>2112</v>
      </c>
      <c r="B3877" s="19" t="s">
        <v>2113</v>
      </c>
      <c r="C3877" s="20">
        <v>-10404.969999999999</v>
      </c>
      <c r="D3877" s="20">
        <v>-19702.34</v>
      </c>
      <c r="E3877" s="20">
        <v>-33937.199999999997</v>
      </c>
      <c r="F3877" s="20">
        <v>-49864.41</v>
      </c>
      <c r="G3877" s="20">
        <v>-67024.84</v>
      </c>
      <c r="H3877" s="20">
        <v>-84274.52</v>
      </c>
      <c r="I3877" s="20">
        <v>-100918.43</v>
      </c>
      <c r="J3877" s="20">
        <v>-117943.2</v>
      </c>
      <c r="K3877" s="20">
        <v>-133782.20000000001</v>
      </c>
      <c r="L3877" s="20">
        <v>-151997.78</v>
      </c>
      <c r="M3877" s="20">
        <v>-169048.27</v>
      </c>
      <c r="N3877" s="20">
        <v>-187647.8</v>
      </c>
      <c r="O3877" s="20">
        <v>-16866.009999999998</v>
      </c>
      <c r="P3877" s="20">
        <v>-31461.63</v>
      </c>
      <c r="Q3877" s="20">
        <v>-46074.05</v>
      </c>
      <c r="R3877" s="20">
        <v>-62183.38</v>
      </c>
      <c r="S3877" s="20">
        <v>-79112.179999999993</v>
      </c>
      <c r="T3877" s="20">
        <v>-95735.11</v>
      </c>
      <c r="U3877" s="20">
        <v>-108347</v>
      </c>
      <c r="V3877" s="20">
        <v>-121723.2</v>
      </c>
      <c r="W3877" s="20">
        <v>-134657.19</v>
      </c>
      <c r="X3877" s="20">
        <v>-148097.59</v>
      </c>
      <c r="Y3877" s="20">
        <v>-159316.20000000001</v>
      </c>
      <c r="Z3877" s="20">
        <v>-172733.93</v>
      </c>
      <c r="AA3877" s="20">
        <v>-11362.79</v>
      </c>
      <c r="AB3877" s="20">
        <v>-23115.279999999999</v>
      </c>
      <c r="AC3877" s="20">
        <v>-35975.360000000001</v>
      </c>
      <c r="AD3877" s="20">
        <v>-46111.49</v>
      </c>
      <c r="AE3877" s="20">
        <v>-59402.14</v>
      </c>
      <c r="AF3877" s="20">
        <v>-71341.09</v>
      </c>
      <c r="AG3877" s="20">
        <v>-84086.73</v>
      </c>
      <c r="AH3877" s="20">
        <v>-97273.13</v>
      </c>
      <c r="AI3877" s="20">
        <v>-109012.83</v>
      </c>
      <c r="AJ3877" s="20">
        <v>-121948.71</v>
      </c>
      <c r="AK3877" s="20">
        <v>-135278.21</v>
      </c>
      <c r="AL3877" s="20">
        <v>-148745.89000000001</v>
      </c>
      <c r="AM3877" s="20">
        <v>-12905.02</v>
      </c>
      <c r="AN3877" s="20">
        <v>-22732.09</v>
      </c>
      <c r="AO3877" s="20">
        <v>-33768.43</v>
      </c>
    </row>
    <row r="3878" spans="1:41" s="15" customFormat="1" ht="14.25" x14ac:dyDescent="0.2">
      <c r="A3878" s="18" t="s">
        <v>2114</v>
      </c>
      <c r="B3878" s="19" t="s">
        <v>2115</v>
      </c>
      <c r="C3878" s="20"/>
      <c r="D3878" s="20"/>
      <c r="E3878" s="20"/>
      <c r="F3878" s="20"/>
      <c r="G3878" s="20"/>
      <c r="H3878" s="20"/>
      <c r="I3878" s="20"/>
      <c r="J3878" s="20"/>
      <c r="K3878" s="20"/>
      <c r="L3878" s="20"/>
      <c r="M3878" s="20"/>
      <c r="N3878" s="20"/>
      <c r="O3878" s="20"/>
      <c r="P3878" s="20"/>
      <c r="Q3878" s="20">
        <v>-352.82</v>
      </c>
      <c r="R3878" s="20">
        <v>-2344.1</v>
      </c>
      <c r="S3878" s="20">
        <v>-3241.66</v>
      </c>
      <c r="T3878" s="20">
        <v>-4159.7</v>
      </c>
      <c r="U3878" s="20">
        <v>-13146.12</v>
      </c>
      <c r="V3878" s="20">
        <v>-17970.55</v>
      </c>
      <c r="W3878" s="20">
        <v>-25738.55</v>
      </c>
      <c r="X3878" s="20">
        <v>-33324.5</v>
      </c>
      <c r="Y3878" s="20">
        <v>-40684.68</v>
      </c>
      <c r="Z3878" s="20">
        <v>-48366.559999999998</v>
      </c>
      <c r="AA3878" s="20">
        <v>-15876.05</v>
      </c>
      <c r="AB3878" s="20">
        <v>-27890.33</v>
      </c>
      <c r="AC3878" s="20">
        <v>-40380.01</v>
      </c>
      <c r="AD3878" s="20">
        <v>-62611.27</v>
      </c>
      <c r="AE3878" s="20">
        <v>-73296.679999999993</v>
      </c>
      <c r="AF3878" s="20">
        <v>-93781.88</v>
      </c>
      <c r="AG3878" s="20">
        <v>-105963.46</v>
      </c>
      <c r="AH3878" s="20">
        <v>-106302.43</v>
      </c>
      <c r="AI3878" s="20">
        <v>-125158.38</v>
      </c>
      <c r="AJ3878" s="20">
        <v>-136508.66</v>
      </c>
      <c r="AK3878" s="20">
        <v>-153716</v>
      </c>
      <c r="AL3878" s="20">
        <v>-159244.47</v>
      </c>
      <c r="AM3878" s="20">
        <v>-15644.79</v>
      </c>
      <c r="AN3878" s="20">
        <v>-27736.3</v>
      </c>
      <c r="AO3878" s="20">
        <v>-29584.44</v>
      </c>
    </row>
    <row r="3879" spans="1:41" s="15" customFormat="1" ht="14.25" x14ac:dyDescent="0.2">
      <c r="A3879" s="18" t="s">
        <v>2116</v>
      </c>
      <c r="B3879" s="19" t="s">
        <v>2117</v>
      </c>
      <c r="C3879" s="20">
        <v>-77184.41</v>
      </c>
      <c r="D3879" s="20">
        <v>-138425.41</v>
      </c>
      <c r="E3879" s="20">
        <v>-158892.41</v>
      </c>
      <c r="F3879" s="20">
        <v>-184866.41</v>
      </c>
      <c r="G3879" s="20">
        <v>-218068.41</v>
      </c>
      <c r="H3879" s="20">
        <v>-239358.91</v>
      </c>
      <c r="I3879" s="20">
        <v>-267082.40999999997</v>
      </c>
      <c r="J3879" s="20">
        <v>-307112.23</v>
      </c>
      <c r="K3879" s="20">
        <v>-347652.73</v>
      </c>
      <c r="L3879" s="20">
        <v>-392785.23</v>
      </c>
      <c r="M3879" s="20">
        <v>-432844.73</v>
      </c>
      <c r="N3879" s="20">
        <v>-450349.73</v>
      </c>
      <c r="O3879" s="20">
        <v>-46967.5</v>
      </c>
      <c r="P3879" s="20">
        <v>-94423.5</v>
      </c>
      <c r="Q3879" s="20">
        <v>-126703.5</v>
      </c>
      <c r="R3879" s="20">
        <v>-140957.5</v>
      </c>
      <c r="S3879" s="20">
        <v>-161429.5</v>
      </c>
      <c r="T3879" s="20">
        <v>-183445.5</v>
      </c>
      <c r="U3879" s="20">
        <v>-230868.6</v>
      </c>
      <c r="V3879" s="20">
        <v>-286607.59999999998</v>
      </c>
      <c r="W3879" s="20">
        <v>-320195.09999999998</v>
      </c>
      <c r="X3879" s="20">
        <v>-380287.6</v>
      </c>
      <c r="Y3879" s="20">
        <v>-429105.6</v>
      </c>
      <c r="Z3879" s="20">
        <v>-446607.6</v>
      </c>
      <c r="AA3879" s="20">
        <v>-60971.5</v>
      </c>
      <c r="AB3879" s="20">
        <v>-104890.5</v>
      </c>
      <c r="AC3879" s="20">
        <v>-126587.5</v>
      </c>
      <c r="AD3879" s="20">
        <v>-159783</v>
      </c>
      <c r="AE3879" s="20">
        <v>-191530.5</v>
      </c>
      <c r="AF3879" s="20">
        <v>-225742</v>
      </c>
      <c r="AG3879" s="20">
        <v>-260095.99</v>
      </c>
      <c r="AH3879" s="20">
        <v>-312830.49</v>
      </c>
      <c r="AI3879" s="20">
        <v>-372561.69</v>
      </c>
      <c r="AJ3879" s="20">
        <v>-455636.29</v>
      </c>
      <c r="AK3879" s="20">
        <v>-505078.29</v>
      </c>
      <c r="AL3879" s="20">
        <v>-537619.79</v>
      </c>
      <c r="AM3879" s="20">
        <v>-35983</v>
      </c>
      <c r="AN3879" s="20">
        <v>-67312.5</v>
      </c>
      <c r="AO3879" s="20">
        <v>-83699</v>
      </c>
    </row>
    <row r="3880" spans="1:41" s="15" customFormat="1" ht="14.25" x14ac:dyDescent="0.2">
      <c r="A3880" s="18" t="s">
        <v>2118</v>
      </c>
      <c r="B3880" s="19" t="s">
        <v>2119</v>
      </c>
      <c r="C3880" s="20">
        <v>-11448.81</v>
      </c>
      <c r="D3880" s="20">
        <v>-19152.16</v>
      </c>
      <c r="E3880" s="20">
        <v>-25321.02</v>
      </c>
      <c r="F3880" s="20">
        <v>-31334.49</v>
      </c>
      <c r="G3880" s="20">
        <v>-38249.199999999997</v>
      </c>
      <c r="H3880" s="20">
        <v>-46490.71</v>
      </c>
      <c r="I3880" s="20">
        <v>-55191.41</v>
      </c>
      <c r="J3880" s="20">
        <v>-63692.34</v>
      </c>
      <c r="K3880" s="20">
        <v>-74272.509999999995</v>
      </c>
      <c r="L3880" s="20">
        <v>-82380.97</v>
      </c>
      <c r="M3880" s="20">
        <v>-92640.19</v>
      </c>
      <c r="N3880" s="20">
        <v>-100824.9</v>
      </c>
      <c r="O3880" s="20">
        <v>-9341.31</v>
      </c>
      <c r="P3880" s="20">
        <v>-16076.82</v>
      </c>
      <c r="Q3880" s="20">
        <v>-19469.080000000002</v>
      </c>
      <c r="R3880" s="20">
        <v>-25514.07</v>
      </c>
      <c r="S3880" s="20">
        <v>-31042.5</v>
      </c>
      <c r="T3880" s="20">
        <v>-35268.85</v>
      </c>
      <c r="U3880" s="20">
        <v>-41489.85</v>
      </c>
      <c r="V3880" s="20">
        <v>-45586.48</v>
      </c>
      <c r="W3880" s="20">
        <v>-52584.17</v>
      </c>
      <c r="X3880" s="20">
        <v>-57711.24</v>
      </c>
      <c r="Y3880" s="20">
        <v>-62615.44</v>
      </c>
      <c r="Z3880" s="20">
        <v>-67259.990000000005</v>
      </c>
      <c r="AA3880" s="20">
        <v>-6429.05</v>
      </c>
      <c r="AB3880" s="20">
        <v>-12020.67</v>
      </c>
      <c r="AC3880" s="20">
        <v>-16510.02</v>
      </c>
      <c r="AD3880" s="20">
        <v>-22515.89</v>
      </c>
      <c r="AE3880" s="20">
        <v>-27220.6</v>
      </c>
      <c r="AF3880" s="20">
        <v>-32750.880000000001</v>
      </c>
      <c r="AG3880" s="20">
        <v>-38299.089999999997</v>
      </c>
      <c r="AH3880" s="20">
        <v>-43450.58</v>
      </c>
      <c r="AI3880" s="20">
        <v>-49780.01</v>
      </c>
      <c r="AJ3880" s="20">
        <v>-57461.86</v>
      </c>
      <c r="AK3880" s="20">
        <v>-62976.800000000003</v>
      </c>
      <c r="AL3880" s="20">
        <v>-69487.600000000006</v>
      </c>
      <c r="AM3880" s="20">
        <v>-9367.8799999999992</v>
      </c>
      <c r="AN3880" s="20">
        <v>-15780.8</v>
      </c>
      <c r="AO3880" s="20">
        <v>-21007.05</v>
      </c>
    </row>
    <row r="3881" spans="1:41" ht="14.25" x14ac:dyDescent="0.2">
      <c r="A3881" s="2">
        <v>59</v>
      </c>
      <c r="B3881" s="3" t="s">
        <v>965</v>
      </c>
      <c r="C3881" s="9"/>
      <c r="D3881" s="9"/>
      <c r="E3881" s="9"/>
      <c r="F3881" s="9"/>
      <c r="G3881" s="9"/>
      <c r="H3881" s="9"/>
      <c r="I3881" s="9"/>
      <c r="J3881" s="9"/>
      <c r="K3881" s="9"/>
      <c r="L3881" s="9"/>
      <c r="M3881" s="9"/>
      <c r="N3881" s="9"/>
      <c r="O3881" s="9"/>
      <c r="P3881" s="9"/>
      <c r="Q3881" s="9"/>
      <c r="R3881" s="9"/>
      <c r="S3881" s="9"/>
      <c r="T3881" s="9"/>
      <c r="U3881" s="9"/>
      <c r="V3881" s="9"/>
      <c r="W3881" s="9"/>
      <c r="X3881" s="9"/>
      <c r="Y3881" s="9"/>
      <c r="Z3881" s="9"/>
      <c r="AA3881" s="9"/>
      <c r="AB3881" s="9"/>
      <c r="AC3881" s="9"/>
      <c r="AD3881" s="9"/>
      <c r="AE3881" s="9"/>
      <c r="AF3881" s="9"/>
      <c r="AG3881" s="9"/>
      <c r="AH3881" s="9"/>
      <c r="AI3881" s="9"/>
      <c r="AJ3881" s="9"/>
      <c r="AK3881" s="9"/>
      <c r="AL3881" s="9"/>
      <c r="AM3881" s="9"/>
      <c r="AN3881" s="9"/>
      <c r="AO3881" s="9"/>
    </row>
    <row r="3882" spans="1:41" ht="14.25" x14ac:dyDescent="0.2">
      <c r="A3882" s="2">
        <v>5901</v>
      </c>
      <c r="B3882" s="3" t="s">
        <v>965</v>
      </c>
      <c r="C3882" s="9"/>
      <c r="D3882" s="9"/>
      <c r="E3882" s="9"/>
      <c r="F3882" s="9"/>
      <c r="G3882" s="9"/>
      <c r="H3882" s="9"/>
      <c r="I3882" s="9"/>
      <c r="J3882" s="9"/>
      <c r="K3882" s="9"/>
      <c r="L3882" s="9"/>
      <c r="M3882" s="9"/>
      <c r="N3882" s="9"/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  <c r="AA3882" s="9"/>
      <c r="AB3882" s="9"/>
      <c r="AC3882" s="9"/>
      <c r="AD3882" s="9"/>
      <c r="AE3882" s="9"/>
      <c r="AF3882" s="9"/>
      <c r="AG3882" s="9"/>
      <c r="AH3882" s="9"/>
      <c r="AI3882" s="9"/>
      <c r="AJ3882" s="9"/>
      <c r="AK3882" s="9"/>
      <c r="AL3882" s="9"/>
      <c r="AM3882" s="9"/>
      <c r="AN3882" s="9"/>
      <c r="AO3882" s="9"/>
    </row>
    <row r="3883" spans="1:41" ht="14.25" x14ac:dyDescent="0.2">
      <c r="A3883" s="2">
        <v>6</v>
      </c>
      <c r="B3883" s="3" t="s">
        <v>966</v>
      </c>
      <c r="C3883" s="9"/>
      <c r="D3883" s="9"/>
      <c r="E3883" s="9"/>
      <c r="F3883" s="9"/>
      <c r="G3883" s="9"/>
      <c r="H3883" s="9"/>
      <c r="I3883" s="9"/>
      <c r="J3883" s="9"/>
      <c r="K3883" s="9"/>
      <c r="L3883" s="9"/>
      <c r="M3883" s="9"/>
      <c r="N3883" s="9"/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9"/>
      <c r="AA3883" s="9"/>
      <c r="AB3883" s="9"/>
      <c r="AC3883" s="9"/>
      <c r="AD3883" s="9"/>
      <c r="AE3883" s="9"/>
      <c r="AF3883" s="9"/>
      <c r="AG3883" s="9"/>
      <c r="AH3883" s="9"/>
      <c r="AI3883" s="9"/>
      <c r="AJ3883" s="9"/>
      <c r="AK3883" s="9"/>
      <c r="AL3883" s="9"/>
      <c r="AM3883" s="9"/>
      <c r="AN3883" s="9"/>
      <c r="AO3883" s="9"/>
    </row>
    <row r="3884" spans="1:41" ht="14.25" x14ac:dyDescent="0.2">
      <c r="A3884" s="2">
        <v>61</v>
      </c>
      <c r="B3884" s="3" t="s">
        <v>967</v>
      </c>
      <c r="C3884" s="9"/>
      <c r="D3884" s="9"/>
      <c r="E3884" s="9"/>
      <c r="F3884" s="9"/>
      <c r="G3884" s="9"/>
      <c r="H3884" s="9"/>
      <c r="I3884" s="9"/>
      <c r="J3884" s="9"/>
      <c r="K3884" s="9"/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  <c r="AB3884" s="9"/>
      <c r="AC3884" s="9"/>
      <c r="AD3884" s="9"/>
      <c r="AE3884" s="9"/>
      <c r="AF3884" s="9"/>
      <c r="AG3884" s="9"/>
      <c r="AH3884" s="9"/>
      <c r="AI3884" s="9"/>
      <c r="AJ3884" s="9"/>
      <c r="AK3884" s="9"/>
      <c r="AL3884" s="9"/>
      <c r="AM3884" s="9"/>
      <c r="AN3884" s="9"/>
      <c r="AO3884" s="9"/>
    </row>
    <row r="3885" spans="1:41" ht="14.25" x14ac:dyDescent="0.2">
      <c r="A3885" s="2">
        <v>6101</v>
      </c>
      <c r="B3885" s="3" t="s">
        <v>968</v>
      </c>
      <c r="C3885" s="9"/>
      <c r="D3885" s="9"/>
      <c r="E3885" s="9"/>
      <c r="F3885" s="9"/>
      <c r="G3885" s="9"/>
      <c r="H3885" s="9"/>
      <c r="I3885" s="9"/>
      <c r="J3885" s="9"/>
      <c r="K3885" s="9"/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  <c r="AB3885" s="9"/>
      <c r="AC3885" s="9"/>
      <c r="AD3885" s="9"/>
      <c r="AE3885" s="9"/>
      <c r="AF3885" s="9"/>
      <c r="AG3885" s="9"/>
      <c r="AH3885" s="9"/>
      <c r="AI3885" s="9"/>
      <c r="AJ3885" s="9"/>
      <c r="AK3885" s="9"/>
      <c r="AL3885" s="9"/>
      <c r="AM3885" s="9"/>
      <c r="AN3885" s="9"/>
      <c r="AO3885" s="9"/>
    </row>
    <row r="3886" spans="1:41" ht="14.25" x14ac:dyDescent="0.2">
      <c r="A3886" s="2">
        <v>66</v>
      </c>
      <c r="B3886" s="3" t="s">
        <v>969</v>
      </c>
      <c r="C3886" s="9"/>
      <c r="D3886" s="9"/>
      <c r="E3886" s="9"/>
      <c r="F3886" s="9"/>
      <c r="G3886" s="9"/>
      <c r="H3886" s="9"/>
      <c r="I3886" s="9"/>
      <c r="J3886" s="9"/>
      <c r="K3886" s="9"/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9"/>
      <c r="AB3886" s="9"/>
      <c r="AC3886" s="9"/>
      <c r="AD3886" s="9"/>
      <c r="AE3886" s="9"/>
      <c r="AF3886" s="9"/>
      <c r="AG3886" s="9"/>
      <c r="AH3886" s="9"/>
      <c r="AI3886" s="9"/>
      <c r="AJ3886" s="9"/>
      <c r="AK3886" s="9"/>
      <c r="AL3886" s="9"/>
      <c r="AM3886" s="9"/>
      <c r="AN3886" s="9"/>
      <c r="AO3886" s="9"/>
    </row>
    <row r="3887" spans="1:41" ht="14.25" x14ac:dyDescent="0.2">
      <c r="A3887" s="2">
        <v>6601</v>
      </c>
      <c r="B3887" s="3" t="s">
        <v>970</v>
      </c>
      <c r="C3887" s="9"/>
      <c r="D3887" s="9"/>
      <c r="E3887" s="9"/>
      <c r="F3887" s="9"/>
      <c r="G3887" s="9"/>
      <c r="H3887" s="9"/>
      <c r="I3887" s="9"/>
      <c r="J3887" s="9"/>
      <c r="K3887" s="9"/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9"/>
      <c r="AF3887" s="9"/>
      <c r="AG3887" s="9"/>
      <c r="AH3887" s="9"/>
      <c r="AI3887" s="9"/>
      <c r="AJ3887" s="9"/>
      <c r="AK3887" s="9"/>
      <c r="AL3887" s="9"/>
      <c r="AM3887" s="9"/>
      <c r="AN3887" s="9"/>
      <c r="AO3887" s="9"/>
    </row>
    <row r="3888" spans="1:41" ht="14.25" x14ac:dyDescent="0.2">
      <c r="A3888" s="2">
        <v>68</v>
      </c>
      <c r="B3888" s="3" t="s">
        <v>971</v>
      </c>
      <c r="C3888" s="9"/>
      <c r="D3888" s="9"/>
      <c r="E3888" s="9"/>
      <c r="F3888" s="9"/>
      <c r="G3888" s="9"/>
      <c r="H3888" s="9"/>
      <c r="I3888" s="9"/>
      <c r="J3888" s="9"/>
      <c r="K3888" s="9"/>
      <c r="L3888" s="9"/>
      <c r="M3888" s="9"/>
      <c r="N3888" s="9"/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  <c r="AB3888" s="9"/>
      <c r="AC3888" s="9"/>
      <c r="AD3888" s="9"/>
      <c r="AE3888" s="9"/>
      <c r="AF3888" s="9"/>
      <c r="AG3888" s="9"/>
      <c r="AH3888" s="9"/>
      <c r="AI3888" s="9"/>
      <c r="AJ3888" s="9"/>
      <c r="AK3888" s="9"/>
      <c r="AL3888" s="9"/>
      <c r="AM3888" s="9"/>
      <c r="AN3888" s="9"/>
      <c r="AO3888" s="9"/>
    </row>
    <row r="3889" spans="1:41" ht="14.25" x14ac:dyDescent="0.2">
      <c r="A3889" s="2">
        <v>6801</v>
      </c>
      <c r="B3889" s="3" t="s">
        <v>972</v>
      </c>
      <c r="C3889" s="9"/>
      <c r="D3889" s="9"/>
      <c r="E3889" s="9"/>
      <c r="F3889" s="9"/>
      <c r="G3889" s="9"/>
      <c r="H3889" s="9"/>
      <c r="I3889" s="9"/>
      <c r="J3889" s="9"/>
      <c r="K3889" s="9"/>
      <c r="L3889" s="9"/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9"/>
      <c r="AC3889" s="9"/>
      <c r="AD3889" s="9"/>
      <c r="AE3889" s="9"/>
      <c r="AF3889" s="9"/>
      <c r="AG3889" s="9"/>
      <c r="AH3889" s="9"/>
      <c r="AI3889" s="9"/>
      <c r="AJ3889" s="9"/>
      <c r="AK3889" s="9"/>
      <c r="AL3889" s="9"/>
      <c r="AM3889" s="9"/>
      <c r="AN3889" s="9"/>
      <c r="AO3889" s="9"/>
    </row>
    <row r="3890" spans="1:41" ht="14.25" x14ac:dyDescent="0.2">
      <c r="A3890" s="2">
        <v>69</v>
      </c>
      <c r="B3890" s="3" t="s">
        <v>631</v>
      </c>
      <c r="C3890" s="9"/>
      <c r="D3890" s="9"/>
      <c r="E3890" s="9"/>
      <c r="F3890" s="9"/>
      <c r="G3890" s="9"/>
      <c r="H3890" s="9"/>
      <c r="I3890" s="9"/>
      <c r="J3890" s="9"/>
      <c r="K3890" s="9"/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  <c r="AA3890" s="9"/>
      <c r="AB3890" s="9"/>
      <c r="AC3890" s="9"/>
      <c r="AD3890" s="9"/>
      <c r="AE3890" s="9"/>
      <c r="AF3890" s="9"/>
      <c r="AG3890" s="9"/>
      <c r="AH3890" s="9"/>
      <c r="AI3890" s="9"/>
      <c r="AJ3890" s="9"/>
      <c r="AK3890" s="9"/>
      <c r="AL3890" s="9"/>
      <c r="AM3890" s="9"/>
      <c r="AN3890" s="9"/>
      <c r="AO3890" s="9"/>
    </row>
    <row r="3891" spans="1:41" ht="14.25" x14ac:dyDescent="0.2">
      <c r="A3891" s="2">
        <v>6901</v>
      </c>
      <c r="B3891" s="3" t="s">
        <v>973</v>
      </c>
      <c r="C3891" s="9"/>
      <c r="D3891" s="9"/>
      <c r="E3891" s="9"/>
      <c r="F3891" s="9"/>
      <c r="G3891" s="9"/>
      <c r="H3891" s="9"/>
      <c r="I3891" s="9"/>
      <c r="J3891" s="9"/>
      <c r="K3891" s="9"/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9"/>
      <c r="AB3891" s="9"/>
      <c r="AC3891" s="9"/>
      <c r="AD3891" s="9"/>
      <c r="AE3891" s="9"/>
      <c r="AF3891" s="9"/>
      <c r="AG3891" s="9"/>
      <c r="AH3891" s="9"/>
      <c r="AI3891" s="9"/>
      <c r="AJ3891" s="9"/>
      <c r="AK3891" s="9"/>
      <c r="AL3891" s="9"/>
      <c r="AM3891" s="9"/>
      <c r="AN3891" s="9"/>
      <c r="AO3891" s="9"/>
    </row>
    <row r="3892" spans="1:41" ht="14.25" x14ac:dyDescent="0.2">
      <c r="A3892" s="2">
        <v>7</v>
      </c>
      <c r="B3892" s="3" t="s">
        <v>974</v>
      </c>
      <c r="C3892" s="9"/>
      <c r="D3892" s="9"/>
      <c r="E3892" s="9"/>
      <c r="F3892" s="9"/>
      <c r="G3892" s="9"/>
      <c r="H3892" s="9"/>
      <c r="I3892" s="9"/>
      <c r="J3892" s="9"/>
      <c r="K3892" s="9"/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9"/>
      <c r="AF3892" s="9"/>
      <c r="AG3892" s="9"/>
      <c r="AH3892" s="9"/>
      <c r="AI3892" s="9"/>
      <c r="AJ3892" s="9"/>
      <c r="AK3892" s="9"/>
      <c r="AL3892" s="9"/>
      <c r="AM3892" s="9"/>
      <c r="AN3892" s="9"/>
      <c r="AO3892" s="9"/>
    </row>
    <row r="3893" spans="1:41" ht="14.25" x14ac:dyDescent="0.2">
      <c r="A3893" s="2">
        <v>71</v>
      </c>
      <c r="B3893" s="3" t="s">
        <v>975</v>
      </c>
      <c r="C3893" s="9"/>
      <c r="D3893" s="9"/>
      <c r="E3893" s="9"/>
      <c r="F3893" s="9"/>
      <c r="G3893" s="9"/>
      <c r="H3893" s="9"/>
      <c r="I3893" s="9"/>
      <c r="J3893" s="9"/>
      <c r="K3893" s="9"/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  <c r="AH3893" s="9"/>
      <c r="AI3893" s="9"/>
      <c r="AJ3893" s="9"/>
      <c r="AK3893" s="9"/>
      <c r="AL3893" s="9"/>
      <c r="AM3893" s="9"/>
      <c r="AN3893" s="9"/>
      <c r="AO3893" s="9"/>
    </row>
    <row r="3894" spans="1:41" ht="14.25" x14ac:dyDescent="0.2">
      <c r="A3894" s="2">
        <v>7101</v>
      </c>
      <c r="B3894" s="3" t="s">
        <v>976</v>
      </c>
      <c r="C3894" s="9"/>
      <c r="D3894" s="9"/>
      <c r="E3894" s="9"/>
      <c r="F3894" s="9"/>
      <c r="G3894" s="9"/>
      <c r="H3894" s="9"/>
      <c r="I3894" s="9"/>
      <c r="J3894" s="9"/>
      <c r="K3894" s="9"/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9"/>
      <c r="AG3894" s="9"/>
      <c r="AH3894" s="9"/>
      <c r="AI3894" s="9"/>
      <c r="AJ3894" s="9"/>
      <c r="AK3894" s="9"/>
      <c r="AL3894" s="9"/>
      <c r="AM3894" s="9"/>
      <c r="AN3894" s="9"/>
      <c r="AO3894" s="9"/>
    </row>
    <row r="3895" spans="1:41" ht="14.25" x14ac:dyDescent="0.2">
      <c r="A3895" s="2">
        <v>7102</v>
      </c>
      <c r="B3895" s="3" t="s">
        <v>977</v>
      </c>
      <c r="C3895" s="9"/>
      <c r="D3895" s="9"/>
      <c r="E3895" s="9"/>
      <c r="F3895" s="9"/>
      <c r="G3895" s="9"/>
      <c r="H3895" s="9"/>
      <c r="I3895" s="9"/>
      <c r="J3895" s="9"/>
      <c r="K3895" s="9"/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9"/>
      <c r="AF3895" s="9"/>
      <c r="AG3895" s="9"/>
      <c r="AH3895" s="9"/>
      <c r="AI3895" s="9"/>
      <c r="AJ3895" s="9"/>
      <c r="AK3895" s="9"/>
      <c r="AL3895" s="9"/>
      <c r="AM3895" s="9"/>
      <c r="AN3895" s="9"/>
      <c r="AO3895" s="9"/>
    </row>
    <row r="3896" spans="1:41" ht="28.5" x14ac:dyDescent="0.2">
      <c r="A3896" s="2">
        <v>7105</v>
      </c>
      <c r="B3896" s="4" t="s">
        <v>978</v>
      </c>
      <c r="C3896" s="11"/>
      <c r="D3896" s="11"/>
      <c r="E3896" s="11"/>
      <c r="F3896" s="11"/>
      <c r="G3896" s="11"/>
      <c r="H3896" s="11"/>
      <c r="I3896" s="11"/>
      <c r="J3896" s="11"/>
      <c r="K3896" s="11"/>
      <c r="L3896" s="11"/>
      <c r="M3896" s="11"/>
      <c r="N3896" s="11"/>
      <c r="O3896" s="11"/>
      <c r="P3896" s="11"/>
      <c r="Q3896" s="11"/>
      <c r="R3896" s="11"/>
      <c r="S3896" s="11"/>
      <c r="T3896" s="11"/>
      <c r="U3896" s="11"/>
      <c r="V3896" s="11"/>
      <c r="W3896" s="11"/>
      <c r="X3896" s="11"/>
      <c r="Y3896" s="11"/>
      <c r="Z3896" s="11"/>
      <c r="AA3896" s="11"/>
      <c r="AB3896" s="11"/>
      <c r="AC3896" s="11"/>
      <c r="AD3896" s="11"/>
      <c r="AE3896" s="11"/>
      <c r="AF3896" s="11"/>
      <c r="AG3896" s="11"/>
      <c r="AH3896" s="11"/>
      <c r="AI3896" s="11"/>
      <c r="AJ3896" s="11"/>
      <c r="AK3896" s="11"/>
      <c r="AL3896" s="11"/>
      <c r="AM3896" s="11"/>
      <c r="AN3896" s="11"/>
      <c r="AO3896" s="11"/>
    </row>
    <row r="3897" spans="1:41" ht="14.25" x14ac:dyDescent="0.2">
      <c r="A3897" s="2">
        <v>7106</v>
      </c>
      <c r="B3897" s="3" t="s">
        <v>979</v>
      </c>
      <c r="C3897" s="9"/>
      <c r="D3897" s="9"/>
      <c r="E3897" s="9"/>
      <c r="F3897" s="9"/>
      <c r="G3897" s="9"/>
      <c r="H3897" s="9"/>
      <c r="I3897" s="9"/>
      <c r="J3897" s="9"/>
      <c r="K3897" s="9"/>
      <c r="L3897" s="9"/>
      <c r="M3897" s="9"/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9"/>
      <c r="AF3897" s="9"/>
      <c r="AG3897" s="9"/>
      <c r="AH3897" s="9"/>
      <c r="AI3897" s="9"/>
      <c r="AJ3897" s="9"/>
      <c r="AK3897" s="9"/>
      <c r="AL3897" s="9"/>
      <c r="AM3897" s="9"/>
      <c r="AN3897" s="9"/>
      <c r="AO3897" s="9"/>
    </row>
    <row r="3898" spans="1:41" ht="14.25" x14ac:dyDescent="0.2">
      <c r="A3898" s="2">
        <v>710601</v>
      </c>
      <c r="B3898" s="3" t="s">
        <v>234</v>
      </c>
      <c r="C3898" s="9"/>
      <c r="D3898" s="9"/>
      <c r="E3898" s="9"/>
      <c r="F3898" s="9"/>
      <c r="G3898" s="9"/>
      <c r="H3898" s="9"/>
      <c r="I3898" s="9"/>
      <c r="J3898" s="9"/>
      <c r="K3898" s="9"/>
      <c r="L3898" s="9"/>
      <c r="M3898" s="9"/>
      <c r="N3898" s="9"/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  <c r="AE3898" s="9"/>
      <c r="AF3898" s="9"/>
      <c r="AG3898" s="9"/>
      <c r="AH3898" s="9"/>
      <c r="AI3898" s="9"/>
      <c r="AJ3898" s="9"/>
      <c r="AK3898" s="9"/>
      <c r="AL3898" s="9"/>
      <c r="AM3898" s="9"/>
      <c r="AN3898" s="9"/>
      <c r="AO3898" s="9"/>
    </row>
    <row r="3899" spans="1:41" x14ac:dyDescent="0.2">
      <c r="A3899" s="5">
        <v>71060101</v>
      </c>
      <c r="B3899" s="6" t="s">
        <v>980</v>
      </c>
      <c r="C3899" s="12"/>
      <c r="D3899" s="12"/>
      <c r="E3899" s="12"/>
      <c r="F3899" s="12"/>
      <c r="G3899" s="12"/>
      <c r="H3899" s="12"/>
      <c r="I3899" s="12"/>
      <c r="J3899" s="12"/>
      <c r="K3899" s="12"/>
      <c r="L3899" s="12"/>
      <c r="M3899" s="12"/>
      <c r="N3899" s="12"/>
      <c r="O3899" s="12"/>
      <c r="P3899" s="12"/>
      <c r="Q3899" s="12"/>
      <c r="R3899" s="12"/>
      <c r="S3899" s="12"/>
      <c r="T3899" s="12"/>
      <c r="U3899" s="12"/>
      <c r="V3899" s="12"/>
      <c r="W3899" s="12"/>
      <c r="X3899" s="12"/>
      <c r="Y3899" s="12"/>
      <c r="Z3899" s="12"/>
      <c r="AA3899" s="12"/>
      <c r="AB3899" s="12"/>
      <c r="AC3899" s="12"/>
      <c r="AD3899" s="12"/>
      <c r="AE3899" s="12"/>
      <c r="AF3899" s="12"/>
      <c r="AG3899" s="12"/>
      <c r="AH3899" s="12"/>
      <c r="AI3899" s="12"/>
      <c r="AJ3899" s="12"/>
      <c r="AK3899" s="12"/>
      <c r="AL3899" s="12"/>
      <c r="AM3899" s="12"/>
      <c r="AN3899" s="12"/>
      <c r="AO3899" s="12"/>
    </row>
    <row r="3900" spans="1:41" ht="14.25" x14ac:dyDescent="0.2">
      <c r="A3900" s="2">
        <v>71060102</v>
      </c>
      <c r="B3900" s="3" t="s">
        <v>981</v>
      </c>
      <c r="C3900" s="9"/>
      <c r="D3900" s="9"/>
      <c r="E3900" s="9"/>
      <c r="F3900" s="9"/>
      <c r="G3900" s="9"/>
      <c r="H3900" s="9"/>
      <c r="I3900" s="9"/>
      <c r="J3900" s="9"/>
      <c r="K3900" s="9"/>
      <c r="L3900" s="9"/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9"/>
      <c r="AG3900" s="9"/>
      <c r="AH3900" s="9"/>
      <c r="AI3900" s="9"/>
      <c r="AJ3900" s="9"/>
      <c r="AK3900" s="9"/>
      <c r="AL3900" s="9"/>
      <c r="AM3900" s="9"/>
      <c r="AN3900" s="9"/>
      <c r="AO3900" s="9"/>
    </row>
    <row r="3901" spans="1:41" x14ac:dyDescent="0.2">
      <c r="A3901" s="5">
        <v>71060104</v>
      </c>
      <c r="B3901" s="6" t="s">
        <v>982</v>
      </c>
      <c r="C3901" s="12"/>
      <c r="D3901" s="12"/>
      <c r="E3901" s="12"/>
      <c r="F3901" s="12"/>
      <c r="G3901" s="12"/>
      <c r="H3901" s="12"/>
      <c r="I3901" s="12"/>
      <c r="J3901" s="12"/>
      <c r="K3901" s="12"/>
      <c r="L3901" s="12"/>
      <c r="M3901" s="12"/>
      <c r="N3901" s="12"/>
      <c r="O3901" s="12"/>
      <c r="P3901" s="12"/>
      <c r="Q3901" s="12"/>
      <c r="R3901" s="12"/>
      <c r="S3901" s="12"/>
      <c r="T3901" s="12"/>
      <c r="U3901" s="12"/>
      <c r="V3901" s="12"/>
      <c r="W3901" s="12"/>
      <c r="X3901" s="12"/>
      <c r="Y3901" s="12"/>
      <c r="Z3901" s="12"/>
      <c r="AA3901" s="12"/>
      <c r="AB3901" s="12"/>
      <c r="AC3901" s="12"/>
      <c r="AD3901" s="12"/>
      <c r="AE3901" s="12"/>
      <c r="AF3901" s="12"/>
      <c r="AG3901" s="12"/>
      <c r="AH3901" s="12"/>
      <c r="AI3901" s="12"/>
      <c r="AJ3901" s="12"/>
      <c r="AK3901" s="12"/>
      <c r="AL3901" s="12"/>
      <c r="AM3901" s="12"/>
      <c r="AN3901" s="12"/>
      <c r="AO3901" s="12"/>
    </row>
    <row r="3902" spans="1:41" x14ac:dyDescent="0.2">
      <c r="A3902" s="5">
        <v>71060105</v>
      </c>
      <c r="B3902" s="6" t="s">
        <v>983</v>
      </c>
      <c r="C3902" s="12"/>
      <c r="D3902" s="12"/>
      <c r="E3902" s="12"/>
      <c r="F3902" s="12"/>
      <c r="G3902" s="12"/>
      <c r="H3902" s="12"/>
      <c r="I3902" s="12"/>
      <c r="J3902" s="12"/>
      <c r="K3902" s="12"/>
      <c r="L3902" s="12"/>
      <c r="M3902" s="12"/>
      <c r="N3902" s="12"/>
      <c r="O3902" s="12"/>
      <c r="P3902" s="12"/>
      <c r="Q3902" s="12"/>
      <c r="R3902" s="12"/>
      <c r="S3902" s="12"/>
      <c r="T3902" s="12"/>
      <c r="U3902" s="12"/>
      <c r="V3902" s="12"/>
      <c r="W3902" s="12"/>
      <c r="X3902" s="12"/>
      <c r="Y3902" s="12"/>
      <c r="Z3902" s="12"/>
      <c r="AA3902" s="12"/>
      <c r="AB3902" s="12"/>
      <c r="AC3902" s="12"/>
      <c r="AD3902" s="12"/>
      <c r="AE3902" s="12"/>
      <c r="AF3902" s="12"/>
      <c r="AG3902" s="12"/>
      <c r="AH3902" s="12"/>
      <c r="AI3902" s="12"/>
      <c r="AJ3902" s="12"/>
      <c r="AK3902" s="12"/>
      <c r="AL3902" s="12"/>
      <c r="AM3902" s="12"/>
      <c r="AN3902" s="12"/>
      <c r="AO3902" s="12"/>
    </row>
    <row r="3903" spans="1:41" x14ac:dyDescent="0.2">
      <c r="A3903" s="5">
        <v>71060109</v>
      </c>
      <c r="B3903" s="6" t="s">
        <v>984</v>
      </c>
      <c r="C3903" s="12"/>
      <c r="D3903" s="12"/>
      <c r="E3903" s="12"/>
      <c r="F3903" s="12"/>
      <c r="G3903" s="12"/>
      <c r="H3903" s="12"/>
      <c r="I3903" s="12"/>
      <c r="J3903" s="12"/>
      <c r="K3903" s="12"/>
      <c r="L3903" s="12"/>
      <c r="M3903" s="12"/>
      <c r="N3903" s="12"/>
      <c r="O3903" s="12"/>
      <c r="P3903" s="12"/>
      <c r="Q3903" s="12"/>
      <c r="R3903" s="12"/>
      <c r="S3903" s="12"/>
      <c r="T3903" s="12"/>
      <c r="U3903" s="12"/>
      <c r="V3903" s="12"/>
      <c r="W3903" s="12"/>
      <c r="X3903" s="12"/>
      <c r="Y3903" s="12"/>
      <c r="Z3903" s="12"/>
      <c r="AA3903" s="12"/>
      <c r="AB3903" s="12"/>
      <c r="AC3903" s="12"/>
      <c r="AD3903" s="12"/>
      <c r="AE3903" s="12"/>
      <c r="AF3903" s="12"/>
      <c r="AG3903" s="12"/>
      <c r="AH3903" s="12"/>
      <c r="AI3903" s="12"/>
      <c r="AJ3903" s="12"/>
      <c r="AK3903" s="12"/>
      <c r="AL3903" s="12"/>
      <c r="AM3903" s="12"/>
      <c r="AN3903" s="12"/>
      <c r="AO3903" s="12"/>
    </row>
    <row r="3904" spans="1:41" x14ac:dyDescent="0.2">
      <c r="A3904" s="5">
        <v>710602</v>
      </c>
      <c r="B3904" s="6" t="s">
        <v>228</v>
      </c>
      <c r="C3904" s="12"/>
      <c r="D3904" s="12"/>
      <c r="E3904" s="12"/>
      <c r="F3904" s="12"/>
      <c r="G3904" s="12"/>
      <c r="H3904" s="12"/>
      <c r="I3904" s="12"/>
      <c r="J3904" s="12"/>
      <c r="K3904" s="12"/>
      <c r="L3904" s="12"/>
      <c r="M3904" s="12"/>
      <c r="N3904" s="12"/>
      <c r="O3904" s="12"/>
      <c r="P3904" s="12"/>
      <c r="Q3904" s="12"/>
      <c r="R3904" s="12"/>
      <c r="S3904" s="12"/>
      <c r="T3904" s="12"/>
      <c r="U3904" s="12"/>
      <c r="V3904" s="12"/>
      <c r="W3904" s="12"/>
      <c r="X3904" s="12"/>
      <c r="Y3904" s="12"/>
      <c r="Z3904" s="12"/>
      <c r="AA3904" s="12"/>
      <c r="AB3904" s="12"/>
      <c r="AC3904" s="12"/>
      <c r="AD3904" s="12"/>
      <c r="AE3904" s="12"/>
      <c r="AF3904" s="12"/>
      <c r="AG3904" s="12"/>
      <c r="AH3904" s="12"/>
      <c r="AI3904" s="12"/>
      <c r="AJ3904" s="12"/>
      <c r="AK3904" s="12"/>
      <c r="AL3904" s="12"/>
      <c r="AM3904" s="12"/>
      <c r="AN3904" s="12"/>
      <c r="AO3904" s="12"/>
    </row>
    <row r="3905" spans="1:41" x14ac:dyDescent="0.2">
      <c r="A3905" s="5">
        <v>710603</v>
      </c>
      <c r="B3905" s="6" t="s">
        <v>229</v>
      </c>
      <c r="C3905" s="12"/>
      <c r="D3905" s="12"/>
      <c r="E3905" s="12"/>
      <c r="F3905" s="12"/>
      <c r="G3905" s="12"/>
      <c r="H3905" s="12"/>
      <c r="I3905" s="12"/>
      <c r="J3905" s="12"/>
      <c r="K3905" s="12"/>
      <c r="L3905" s="12"/>
      <c r="M3905" s="12"/>
      <c r="N3905" s="12"/>
      <c r="O3905" s="12"/>
      <c r="P3905" s="12"/>
      <c r="Q3905" s="12"/>
      <c r="R3905" s="12"/>
      <c r="S3905" s="12"/>
      <c r="T3905" s="12"/>
      <c r="U3905" s="12"/>
      <c r="V3905" s="12"/>
      <c r="W3905" s="12"/>
      <c r="X3905" s="12"/>
      <c r="Y3905" s="12"/>
      <c r="Z3905" s="12"/>
      <c r="AA3905" s="12"/>
      <c r="AB3905" s="12"/>
      <c r="AC3905" s="12"/>
      <c r="AD3905" s="12"/>
      <c r="AE3905" s="12"/>
      <c r="AF3905" s="12"/>
      <c r="AG3905" s="12"/>
      <c r="AH3905" s="12"/>
      <c r="AI3905" s="12"/>
      <c r="AJ3905" s="12"/>
      <c r="AK3905" s="12"/>
      <c r="AL3905" s="12"/>
      <c r="AM3905" s="12"/>
      <c r="AN3905" s="12"/>
      <c r="AO3905" s="12"/>
    </row>
    <row r="3906" spans="1:41" x14ac:dyDescent="0.2">
      <c r="A3906" s="5">
        <v>710609</v>
      </c>
      <c r="B3906" s="6" t="s">
        <v>231</v>
      </c>
      <c r="C3906" s="12"/>
      <c r="D3906" s="12"/>
      <c r="E3906" s="12"/>
      <c r="F3906" s="12"/>
      <c r="G3906" s="12"/>
      <c r="H3906" s="12"/>
      <c r="I3906" s="12"/>
      <c r="J3906" s="12"/>
      <c r="K3906" s="12"/>
      <c r="L3906" s="12"/>
      <c r="M3906" s="12"/>
      <c r="N3906" s="12"/>
      <c r="O3906" s="12"/>
      <c r="P3906" s="12"/>
      <c r="Q3906" s="12"/>
      <c r="R3906" s="12"/>
      <c r="S3906" s="12"/>
      <c r="T3906" s="12"/>
      <c r="U3906" s="12"/>
      <c r="V3906" s="12"/>
      <c r="W3906" s="12"/>
      <c r="X3906" s="12"/>
      <c r="Y3906" s="12"/>
      <c r="Z3906" s="12"/>
      <c r="AA3906" s="12"/>
      <c r="AB3906" s="12"/>
      <c r="AC3906" s="12"/>
      <c r="AD3906" s="12"/>
      <c r="AE3906" s="12"/>
      <c r="AF3906" s="12"/>
      <c r="AG3906" s="12"/>
      <c r="AH3906" s="12"/>
      <c r="AI3906" s="12"/>
      <c r="AJ3906" s="12"/>
      <c r="AK3906" s="12"/>
      <c r="AL3906" s="12"/>
      <c r="AM3906" s="12"/>
      <c r="AN3906" s="12"/>
      <c r="AO3906" s="12"/>
    </row>
    <row r="3907" spans="1:41" ht="14.25" x14ac:dyDescent="0.2">
      <c r="A3907" s="2">
        <v>7109</v>
      </c>
      <c r="B3907" s="3" t="s">
        <v>985</v>
      </c>
      <c r="C3907" s="9"/>
      <c r="D3907" s="9"/>
      <c r="E3907" s="9"/>
      <c r="F3907" s="9"/>
      <c r="G3907" s="9"/>
      <c r="H3907" s="9"/>
      <c r="I3907" s="9"/>
      <c r="J3907" s="9"/>
      <c r="K3907" s="9"/>
      <c r="L3907" s="9"/>
      <c r="M3907" s="9"/>
      <c r="N3907" s="9"/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9"/>
      <c r="AB3907" s="9"/>
      <c r="AC3907" s="9"/>
      <c r="AD3907" s="9"/>
      <c r="AE3907" s="9"/>
      <c r="AF3907" s="9"/>
      <c r="AG3907" s="9"/>
      <c r="AH3907" s="9"/>
      <c r="AI3907" s="9"/>
      <c r="AJ3907" s="9"/>
      <c r="AK3907" s="9"/>
      <c r="AL3907" s="9"/>
      <c r="AM3907" s="9"/>
      <c r="AN3907" s="9"/>
      <c r="AO3907" s="9"/>
    </row>
    <row r="3908" spans="1:41" ht="14.25" x14ac:dyDescent="0.2">
      <c r="A3908" s="2">
        <v>72</v>
      </c>
      <c r="B3908" s="3" t="s">
        <v>986</v>
      </c>
      <c r="C3908" s="9"/>
      <c r="D3908" s="9"/>
      <c r="E3908" s="9"/>
      <c r="F3908" s="9"/>
      <c r="G3908" s="9"/>
      <c r="H3908" s="9"/>
      <c r="I3908" s="9"/>
      <c r="J3908" s="9"/>
      <c r="K3908" s="9"/>
      <c r="L3908" s="9"/>
      <c r="M3908" s="9"/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9"/>
      <c r="AA3908" s="9"/>
      <c r="AB3908" s="9"/>
      <c r="AC3908" s="9"/>
      <c r="AD3908" s="9"/>
      <c r="AE3908" s="9"/>
      <c r="AF3908" s="9"/>
      <c r="AG3908" s="9"/>
      <c r="AH3908" s="9"/>
      <c r="AI3908" s="9"/>
      <c r="AJ3908" s="9"/>
      <c r="AK3908" s="9"/>
      <c r="AL3908" s="9"/>
      <c r="AM3908" s="9"/>
      <c r="AN3908" s="9"/>
      <c r="AO3908" s="9"/>
    </row>
    <row r="3909" spans="1:41" ht="14.25" x14ac:dyDescent="0.2">
      <c r="A3909" s="2">
        <v>7201</v>
      </c>
      <c r="B3909" s="3" t="s">
        <v>987</v>
      </c>
      <c r="C3909" s="9"/>
      <c r="D3909" s="9"/>
      <c r="E3909" s="9"/>
      <c r="F3909" s="9"/>
      <c r="G3909" s="9"/>
      <c r="H3909" s="9"/>
      <c r="I3909" s="9"/>
      <c r="J3909" s="9"/>
      <c r="K3909" s="9"/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9"/>
      <c r="AB3909" s="9"/>
      <c r="AC3909" s="9"/>
      <c r="AD3909" s="9"/>
      <c r="AE3909" s="9"/>
      <c r="AF3909" s="9"/>
      <c r="AG3909" s="9"/>
      <c r="AH3909" s="9"/>
      <c r="AI3909" s="9"/>
      <c r="AJ3909" s="9"/>
      <c r="AK3909" s="9"/>
      <c r="AL3909" s="9"/>
      <c r="AM3909" s="9"/>
      <c r="AN3909" s="9"/>
      <c r="AO3909" s="9"/>
    </row>
    <row r="3910" spans="1:41" ht="14.25" x14ac:dyDescent="0.2">
      <c r="A3910" s="2">
        <v>7202</v>
      </c>
      <c r="B3910" s="3" t="s">
        <v>988</v>
      </c>
      <c r="C3910" s="9"/>
      <c r="D3910" s="9"/>
      <c r="E3910" s="9"/>
      <c r="F3910" s="9"/>
      <c r="G3910" s="9"/>
      <c r="H3910" s="9"/>
      <c r="I3910" s="9"/>
      <c r="J3910" s="9"/>
      <c r="K3910" s="9"/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  <c r="AB3910" s="9"/>
      <c r="AC3910" s="9"/>
      <c r="AD3910" s="9"/>
      <c r="AE3910" s="9"/>
      <c r="AF3910" s="9"/>
      <c r="AG3910" s="9"/>
      <c r="AH3910" s="9"/>
      <c r="AI3910" s="9"/>
      <c r="AJ3910" s="9"/>
      <c r="AK3910" s="9"/>
      <c r="AL3910" s="9"/>
      <c r="AM3910" s="9"/>
      <c r="AN3910" s="9"/>
      <c r="AO3910" s="9"/>
    </row>
    <row r="3911" spans="1:41" ht="28.5" x14ac:dyDescent="0.2">
      <c r="A3911" s="2">
        <v>7205</v>
      </c>
      <c r="B3911" s="4" t="s">
        <v>989</v>
      </c>
      <c r="C3911" s="11"/>
      <c r="D3911" s="11"/>
      <c r="E3911" s="11"/>
      <c r="F3911" s="11"/>
      <c r="G3911" s="11"/>
      <c r="H3911" s="11"/>
      <c r="I3911" s="11"/>
      <c r="J3911" s="11"/>
      <c r="K3911" s="11"/>
      <c r="L3911" s="11"/>
      <c r="M3911" s="11"/>
      <c r="N3911" s="11"/>
      <c r="O3911" s="11"/>
      <c r="P3911" s="11"/>
      <c r="Q3911" s="11"/>
      <c r="R3911" s="11"/>
      <c r="S3911" s="11"/>
      <c r="T3911" s="11"/>
      <c r="U3911" s="11"/>
      <c r="V3911" s="11"/>
      <c r="W3911" s="11"/>
      <c r="X3911" s="11"/>
      <c r="Y3911" s="11"/>
      <c r="Z3911" s="11"/>
      <c r="AA3911" s="11"/>
      <c r="AB3911" s="11"/>
      <c r="AC3911" s="11"/>
      <c r="AD3911" s="11"/>
      <c r="AE3911" s="11"/>
      <c r="AF3911" s="11"/>
      <c r="AG3911" s="11"/>
      <c r="AH3911" s="11"/>
      <c r="AI3911" s="11"/>
      <c r="AJ3911" s="11"/>
      <c r="AK3911" s="11"/>
      <c r="AL3911" s="11"/>
      <c r="AM3911" s="11"/>
      <c r="AN3911" s="11"/>
      <c r="AO3911" s="11"/>
    </row>
    <row r="3912" spans="1:41" ht="14.25" x14ac:dyDescent="0.2">
      <c r="A3912" s="2">
        <v>720501</v>
      </c>
      <c r="B3912" s="3" t="s">
        <v>990</v>
      </c>
      <c r="C3912" s="9"/>
      <c r="D3912" s="9"/>
      <c r="E3912" s="9"/>
      <c r="F3912" s="9"/>
      <c r="G3912" s="9"/>
      <c r="H3912" s="9"/>
      <c r="I3912" s="9"/>
      <c r="J3912" s="9"/>
      <c r="K3912" s="9"/>
      <c r="L3912" s="9"/>
      <c r="M3912" s="9"/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9"/>
      <c r="AF3912" s="9"/>
      <c r="AG3912" s="9"/>
      <c r="AH3912" s="9"/>
      <c r="AI3912" s="9"/>
      <c r="AJ3912" s="9"/>
      <c r="AK3912" s="9"/>
      <c r="AL3912" s="9"/>
      <c r="AM3912" s="9"/>
      <c r="AN3912" s="9"/>
      <c r="AO3912" s="9"/>
    </row>
    <row r="3913" spans="1:41" ht="14.25" x14ac:dyDescent="0.2">
      <c r="A3913" s="2">
        <v>720502</v>
      </c>
      <c r="B3913" s="3" t="s">
        <v>991</v>
      </c>
      <c r="C3913" s="9"/>
      <c r="D3913" s="9"/>
      <c r="E3913" s="9"/>
      <c r="F3913" s="9"/>
      <c r="G3913" s="9"/>
      <c r="H3913" s="9"/>
      <c r="I3913" s="9"/>
      <c r="J3913" s="9"/>
      <c r="K3913" s="9"/>
      <c r="L3913" s="9"/>
      <c r="M3913" s="9"/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  <c r="AB3913" s="9"/>
      <c r="AC3913" s="9"/>
      <c r="AD3913" s="9"/>
      <c r="AE3913" s="9"/>
      <c r="AF3913" s="9"/>
      <c r="AG3913" s="9"/>
      <c r="AH3913" s="9"/>
      <c r="AI3913" s="9"/>
      <c r="AJ3913" s="9"/>
      <c r="AK3913" s="9"/>
      <c r="AL3913" s="9"/>
      <c r="AM3913" s="9"/>
      <c r="AN3913" s="9"/>
      <c r="AO3913" s="9"/>
    </row>
    <row r="3914" spans="1:41" ht="28.5" x14ac:dyDescent="0.2">
      <c r="A3914" s="2">
        <v>72050202</v>
      </c>
      <c r="B3914" s="4" t="s">
        <v>992</v>
      </c>
      <c r="C3914" s="11"/>
      <c r="D3914" s="11"/>
      <c r="E3914" s="11"/>
      <c r="F3914" s="11"/>
      <c r="G3914" s="11"/>
      <c r="H3914" s="11"/>
      <c r="I3914" s="11"/>
      <c r="J3914" s="11"/>
      <c r="K3914" s="11"/>
      <c r="L3914" s="11"/>
      <c r="M3914" s="11"/>
      <c r="N3914" s="11"/>
      <c r="O3914" s="11"/>
      <c r="P3914" s="11"/>
      <c r="Q3914" s="11"/>
      <c r="R3914" s="11"/>
      <c r="S3914" s="11"/>
      <c r="T3914" s="11"/>
      <c r="U3914" s="11"/>
      <c r="V3914" s="11"/>
      <c r="W3914" s="11"/>
      <c r="X3914" s="11"/>
      <c r="Y3914" s="11"/>
      <c r="Z3914" s="11"/>
      <c r="AA3914" s="11"/>
      <c r="AB3914" s="11"/>
      <c r="AC3914" s="11"/>
      <c r="AD3914" s="11"/>
      <c r="AE3914" s="11"/>
      <c r="AF3914" s="11"/>
      <c r="AG3914" s="11"/>
      <c r="AH3914" s="11"/>
      <c r="AI3914" s="11"/>
      <c r="AJ3914" s="11"/>
      <c r="AK3914" s="11"/>
      <c r="AL3914" s="11"/>
      <c r="AM3914" s="11"/>
      <c r="AN3914" s="11"/>
      <c r="AO3914" s="11"/>
    </row>
    <row r="3915" spans="1:41" ht="14.25" x14ac:dyDescent="0.2">
      <c r="A3915" s="2">
        <v>7205020201</v>
      </c>
      <c r="B3915" s="3" t="s">
        <v>993</v>
      </c>
      <c r="C3915" s="9"/>
      <c r="D3915" s="9"/>
      <c r="E3915" s="9"/>
      <c r="F3915" s="9"/>
      <c r="G3915" s="9"/>
      <c r="H3915" s="9"/>
      <c r="I3915" s="9"/>
      <c r="J3915" s="9"/>
      <c r="K3915" s="9"/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9"/>
      <c r="AF3915" s="9"/>
      <c r="AG3915" s="9"/>
      <c r="AH3915" s="9"/>
      <c r="AI3915" s="9"/>
      <c r="AJ3915" s="9"/>
      <c r="AK3915" s="9"/>
      <c r="AL3915" s="9"/>
      <c r="AM3915" s="9"/>
      <c r="AN3915" s="9"/>
      <c r="AO3915" s="9"/>
    </row>
    <row r="3916" spans="1:41" ht="14.25" x14ac:dyDescent="0.2">
      <c r="A3916" s="2">
        <v>7205020202</v>
      </c>
      <c r="B3916" s="3" t="s">
        <v>994</v>
      </c>
      <c r="C3916" s="9"/>
      <c r="D3916" s="9"/>
      <c r="E3916" s="9"/>
      <c r="F3916" s="9"/>
      <c r="G3916" s="9"/>
      <c r="H3916" s="9"/>
      <c r="I3916" s="9"/>
      <c r="J3916" s="9"/>
      <c r="K3916" s="9"/>
      <c r="L3916" s="9"/>
      <c r="M3916" s="9"/>
      <c r="N3916" s="9"/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  <c r="AE3916" s="9"/>
      <c r="AF3916" s="9"/>
      <c r="AG3916" s="9"/>
      <c r="AH3916" s="9"/>
      <c r="AI3916" s="9"/>
      <c r="AJ3916" s="9"/>
      <c r="AK3916" s="9"/>
      <c r="AL3916" s="9"/>
      <c r="AM3916" s="9"/>
      <c r="AN3916" s="9"/>
      <c r="AO3916" s="9"/>
    </row>
    <row r="3917" spans="1:41" x14ac:dyDescent="0.2">
      <c r="A3917" s="5">
        <v>72050207</v>
      </c>
      <c r="B3917" s="6" t="s">
        <v>995</v>
      </c>
      <c r="C3917" s="12"/>
      <c r="D3917" s="12"/>
      <c r="E3917" s="12"/>
      <c r="F3917" s="12"/>
      <c r="G3917" s="12"/>
      <c r="H3917" s="12"/>
      <c r="I3917" s="12"/>
      <c r="J3917" s="12"/>
      <c r="K3917" s="12"/>
      <c r="L3917" s="12"/>
      <c r="M3917" s="12"/>
      <c r="N3917" s="12"/>
      <c r="O3917" s="12"/>
      <c r="P3917" s="12"/>
      <c r="Q3917" s="12"/>
      <c r="R3917" s="12"/>
      <c r="S3917" s="12"/>
      <c r="T3917" s="12"/>
      <c r="U3917" s="12"/>
      <c r="V3917" s="12"/>
      <c r="W3917" s="12"/>
      <c r="X3917" s="12"/>
      <c r="Y3917" s="12"/>
      <c r="Z3917" s="12"/>
      <c r="AA3917" s="12"/>
      <c r="AB3917" s="12"/>
      <c r="AC3917" s="12"/>
      <c r="AD3917" s="12"/>
      <c r="AE3917" s="12"/>
      <c r="AF3917" s="12"/>
      <c r="AG3917" s="12"/>
      <c r="AH3917" s="12"/>
      <c r="AI3917" s="12"/>
      <c r="AJ3917" s="12"/>
      <c r="AK3917" s="12"/>
      <c r="AL3917" s="12"/>
      <c r="AM3917" s="12"/>
      <c r="AN3917" s="12"/>
      <c r="AO3917" s="12"/>
    </row>
    <row r="3918" spans="1:41" ht="14.25" x14ac:dyDescent="0.2">
      <c r="A3918" s="2">
        <v>72050209</v>
      </c>
      <c r="B3918" s="3" t="s">
        <v>996</v>
      </c>
      <c r="C3918" s="9"/>
      <c r="D3918" s="9"/>
      <c r="E3918" s="9"/>
      <c r="F3918" s="9"/>
      <c r="G3918" s="9"/>
      <c r="H3918" s="9"/>
      <c r="I3918" s="9"/>
      <c r="J3918" s="9"/>
      <c r="K3918" s="9"/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9"/>
      <c r="AB3918" s="9"/>
      <c r="AC3918" s="9"/>
      <c r="AD3918" s="9"/>
      <c r="AE3918" s="9"/>
      <c r="AF3918" s="9"/>
      <c r="AG3918" s="9"/>
      <c r="AH3918" s="9"/>
      <c r="AI3918" s="9"/>
      <c r="AJ3918" s="9"/>
      <c r="AK3918" s="9"/>
      <c r="AL3918" s="9"/>
      <c r="AM3918" s="9"/>
      <c r="AN3918" s="9"/>
      <c r="AO3918" s="9"/>
    </row>
    <row r="3919" spans="1:41" ht="28.5" x14ac:dyDescent="0.2">
      <c r="A3919" s="2">
        <v>72050210</v>
      </c>
      <c r="B3919" s="4" t="s">
        <v>997</v>
      </c>
      <c r="C3919" s="11"/>
      <c r="D3919" s="11"/>
      <c r="E3919" s="11"/>
      <c r="F3919" s="11"/>
      <c r="G3919" s="11"/>
      <c r="H3919" s="11"/>
      <c r="I3919" s="11"/>
      <c r="J3919" s="11"/>
      <c r="K3919" s="11"/>
      <c r="L3919" s="11"/>
      <c r="M3919" s="11"/>
      <c r="N3919" s="11"/>
      <c r="O3919" s="11"/>
      <c r="P3919" s="11"/>
      <c r="Q3919" s="11"/>
      <c r="R3919" s="11"/>
      <c r="S3919" s="11"/>
      <c r="T3919" s="11"/>
      <c r="U3919" s="11"/>
      <c r="V3919" s="11"/>
      <c r="W3919" s="11"/>
      <c r="X3919" s="11"/>
      <c r="Y3919" s="11"/>
      <c r="Z3919" s="11"/>
      <c r="AA3919" s="11"/>
      <c r="AB3919" s="11"/>
      <c r="AC3919" s="11"/>
      <c r="AD3919" s="11"/>
      <c r="AE3919" s="11"/>
      <c r="AF3919" s="11"/>
      <c r="AG3919" s="11"/>
      <c r="AH3919" s="11"/>
      <c r="AI3919" s="11"/>
      <c r="AJ3919" s="11"/>
      <c r="AK3919" s="11"/>
      <c r="AL3919" s="11"/>
      <c r="AM3919" s="11"/>
      <c r="AN3919" s="11"/>
      <c r="AO3919" s="11"/>
    </row>
    <row r="3920" spans="1:41" ht="14.25" x14ac:dyDescent="0.2">
      <c r="A3920" s="2">
        <v>72050211</v>
      </c>
      <c r="B3920" s="3" t="s">
        <v>998</v>
      </c>
      <c r="C3920" s="9"/>
      <c r="D3920" s="9"/>
      <c r="E3920" s="9"/>
      <c r="F3920" s="9"/>
      <c r="G3920" s="9"/>
      <c r="H3920" s="9"/>
      <c r="I3920" s="9"/>
      <c r="J3920" s="9"/>
      <c r="K3920" s="9"/>
      <c r="L3920" s="9"/>
      <c r="M3920" s="9"/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9"/>
      <c r="AF3920" s="9"/>
      <c r="AG3920" s="9"/>
      <c r="AH3920" s="9"/>
      <c r="AI3920" s="9"/>
      <c r="AJ3920" s="9"/>
      <c r="AK3920" s="9"/>
      <c r="AL3920" s="9"/>
      <c r="AM3920" s="9"/>
      <c r="AN3920" s="9"/>
      <c r="AO3920" s="9"/>
    </row>
    <row r="3921" spans="1:41" ht="14.25" x14ac:dyDescent="0.2">
      <c r="A3921" s="2">
        <v>72050212</v>
      </c>
      <c r="B3921" s="3" t="s">
        <v>999</v>
      </c>
      <c r="C3921" s="9"/>
      <c r="D3921" s="9"/>
      <c r="E3921" s="9"/>
      <c r="F3921" s="9"/>
      <c r="G3921" s="9"/>
      <c r="H3921" s="9"/>
      <c r="I3921" s="9"/>
      <c r="J3921" s="9"/>
      <c r="K3921" s="9"/>
      <c r="L3921" s="9"/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  <c r="AB3921" s="9"/>
      <c r="AC3921" s="9"/>
      <c r="AD3921" s="9"/>
      <c r="AE3921" s="9"/>
      <c r="AF3921" s="9"/>
      <c r="AG3921" s="9"/>
      <c r="AH3921" s="9"/>
      <c r="AI3921" s="9"/>
      <c r="AJ3921" s="9"/>
      <c r="AK3921" s="9"/>
      <c r="AL3921" s="9"/>
      <c r="AM3921" s="9"/>
      <c r="AN3921" s="9"/>
      <c r="AO3921" s="9"/>
    </row>
    <row r="3922" spans="1:41" ht="14.25" x14ac:dyDescent="0.2">
      <c r="A3922" s="2">
        <v>72050213</v>
      </c>
      <c r="B3922" s="3" t="s">
        <v>1000</v>
      </c>
      <c r="C3922" s="9"/>
      <c r="D3922" s="9"/>
      <c r="E3922" s="9"/>
      <c r="F3922" s="9"/>
      <c r="G3922" s="9"/>
      <c r="H3922" s="9"/>
      <c r="I3922" s="9"/>
      <c r="J3922" s="9"/>
      <c r="K3922" s="9"/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9"/>
      <c r="AG3922" s="9"/>
      <c r="AH3922" s="9"/>
      <c r="AI3922" s="9"/>
      <c r="AJ3922" s="9"/>
      <c r="AK3922" s="9"/>
      <c r="AL3922" s="9"/>
      <c r="AM3922" s="9"/>
      <c r="AN3922" s="9"/>
      <c r="AO3922" s="9"/>
    </row>
    <row r="3923" spans="1:41" ht="14.25" x14ac:dyDescent="0.2">
      <c r="A3923" s="2">
        <v>720503</v>
      </c>
      <c r="B3923" s="3" t="s">
        <v>1001</v>
      </c>
      <c r="C3923" s="9"/>
      <c r="D3923" s="9"/>
      <c r="E3923" s="9"/>
      <c r="F3923" s="9"/>
      <c r="G3923" s="9"/>
      <c r="H3923" s="9"/>
      <c r="I3923" s="9"/>
      <c r="J3923" s="9"/>
      <c r="K3923" s="9"/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9"/>
      <c r="AF3923" s="9"/>
      <c r="AG3923" s="9"/>
      <c r="AH3923" s="9"/>
      <c r="AI3923" s="9"/>
      <c r="AJ3923" s="9"/>
      <c r="AK3923" s="9"/>
      <c r="AL3923" s="9"/>
      <c r="AM3923" s="9"/>
      <c r="AN3923" s="9"/>
      <c r="AO3923" s="9"/>
    </row>
    <row r="3924" spans="1:41" ht="14.25" x14ac:dyDescent="0.2">
      <c r="A3924" s="2">
        <v>72050302</v>
      </c>
      <c r="B3924" s="3" t="s">
        <v>1002</v>
      </c>
      <c r="C3924" s="9"/>
      <c r="D3924" s="9"/>
      <c r="E3924" s="9"/>
      <c r="F3924" s="9"/>
      <c r="G3924" s="9"/>
      <c r="H3924" s="9"/>
      <c r="I3924" s="9"/>
      <c r="J3924" s="9"/>
      <c r="K3924" s="9"/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9"/>
      <c r="AG3924" s="9"/>
      <c r="AH3924" s="9"/>
      <c r="AI3924" s="9"/>
      <c r="AJ3924" s="9"/>
      <c r="AK3924" s="9"/>
      <c r="AL3924" s="9"/>
      <c r="AM3924" s="9"/>
      <c r="AN3924" s="9"/>
      <c r="AO3924" s="9"/>
    </row>
    <row r="3925" spans="1:41" ht="14.25" x14ac:dyDescent="0.2">
      <c r="A3925" s="2">
        <v>7205030201</v>
      </c>
      <c r="B3925" s="3" t="s">
        <v>993</v>
      </c>
      <c r="C3925" s="9"/>
      <c r="D3925" s="9"/>
      <c r="E3925" s="9"/>
      <c r="F3925" s="9"/>
      <c r="G3925" s="9"/>
      <c r="H3925" s="9"/>
      <c r="I3925" s="9"/>
      <c r="J3925" s="9"/>
      <c r="K3925" s="9"/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9"/>
      <c r="AG3925" s="9"/>
      <c r="AH3925" s="9"/>
      <c r="AI3925" s="9"/>
      <c r="AJ3925" s="9"/>
      <c r="AK3925" s="9"/>
      <c r="AL3925" s="9"/>
      <c r="AM3925" s="9"/>
      <c r="AN3925" s="9"/>
      <c r="AO3925" s="9"/>
    </row>
    <row r="3926" spans="1:41" ht="14.25" x14ac:dyDescent="0.2">
      <c r="A3926" s="2">
        <v>7205030202</v>
      </c>
      <c r="B3926" s="3" t="s">
        <v>994</v>
      </c>
      <c r="C3926" s="9"/>
      <c r="D3926" s="9"/>
      <c r="E3926" s="9"/>
      <c r="F3926" s="9"/>
      <c r="G3926" s="9"/>
      <c r="H3926" s="9"/>
      <c r="I3926" s="9"/>
      <c r="J3926" s="9"/>
      <c r="K3926" s="9"/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9"/>
      <c r="AF3926" s="9"/>
      <c r="AG3926" s="9"/>
      <c r="AH3926" s="9"/>
      <c r="AI3926" s="9"/>
      <c r="AJ3926" s="9"/>
      <c r="AK3926" s="9"/>
      <c r="AL3926" s="9"/>
      <c r="AM3926" s="9"/>
      <c r="AN3926" s="9"/>
      <c r="AO3926" s="9"/>
    </row>
    <row r="3927" spans="1:41" ht="14.25" x14ac:dyDescent="0.2">
      <c r="A3927" s="2">
        <v>72050303</v>
      </c>
      <c r="B3927" s="3" t="s">
        <v>1003</v>
      </c>
      <c r="C3927" s="9"/>
      <c r="D3927" s="9"/>
      <c r="E3927" s="9"/>
      <c r="F3927" s="9"/>
      <c r="G3927" s="9"/>
      <c r="H3927" s="9"/>
      <c r="I3927" s="9"/>
      <c r="J3927" s="9"/>
      <c r="K3927" s="9"/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9"/>
      <c r="AG3927" s="9"/>
      <c r="AH3927" s="9"/>
      <c r="AI3927" s="9"/>
      <c r="AJ3927" s="9"/>
      <c r="AK3927" s="9"/>
      <c r="AL3927" s="9"/>
      <c r="AM3927" s="9"/>
      <c r="AN3927" s="9"/>
      <c r="AO3927" s="9"/>
    </row>
    <row r="3928" spans="1:41" ht="14.25" x14ac:dyDescent="0.2">
      <c r="A3928" s="2">
        <v>7205030301</v>
      </c>
      <c r="B3928" s="3" t="s">
        <v>993</v>
      </c>
      <c r="C3928" s="9"/>
      <c r="D3928" s="9"/>
      <c r="E3928" s="9"/>
      <c r="F3928" s="9"/>
      <c r="G3928" s="9"/>
      <c r="H3928" s="9"/>
      <c r="I3928" s="9"/>
      <c r="J3928" s="9"/>
      <c r="K3928" s="9"/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9"/>
      <c r="AG3928" s="9"/>
      <c r="AH3928" s="9"/>
      <c r="AI3928" s="9"/>
      <c r="AJ3928" s="9"/>
      <c r="AK3928" s="9"/>
      <c r="AL3928" s="9"/>
      <c r="AM3928" s="9"/>
      <c r="AN3928" s="9"/>
      <c r="AO3928" s="9"/>
    </row>
    <row r="3929" spans="1:41" ht="14.25" x14ac:dyDescent="0.2">
      <c r="A3929" s="2">
        <v>7205030302</v>
      </c>
      <c r="B3929" s="3" t="s">
        <v>994</v>
      </c>
      <c r="C3929" s="9"/>
      <c r="D3929" s="9"/>
      <c r="E3929" s="9"/>
      <c r="F3929" s="9"/>
      <c r="G3929" s="9"/>
      <c r="H3929" s="9"/>
      <c r="I3929" s="9"/>
      <c r="J3929" s="9"/>
      <c r="K3929" s="9"/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9"/>
      <c r="AF3929" s="9"/>
      <c r="AG3929" s="9"/>
      <c r="AH3929" s="9"/>
      <c r="AI3929" s="9"/>
      <c r="AJ3929" s="9"/>
      <c r="AK3929" s="9"/>
      <c r="AL3929" s="9"/>
      <c r="AM3929" s="9"/>
      <c r="AN3929" s="9"/>
      <c r="AO3929" s="9"/>
    </row>
    <row r="3930" spans="1:41" x14ac:dyDescent="0.2">
      <c r="A3930" s="5">
        <v>72050307</v>
      </c>
      <c r="B3930" s="6" t="s">
        <v>995</v>
      </c>
      <c r="C3930" s="12"/>
      <c r="D3930" s="12"/>
      <c r="E3930" s="12"/>
      <c r="F3930" s="12"/>
      <c r="G3930" s="12"/>
      <c r="H3930" s="12"/>
      <c r="I3930" s="12"/>
      <c r="J3930" s="12"/>
      <c r="K3930" s="12"/>
      <c r="L3930" s="12"/>
      <c r="M3930" s="12"/>
      <c r="N3930" s="12"/>
      <c r="O3930" s="12"/>
      <c r="P3930" s="12"/>
      <c r="Q3930" s="12"/>
      <c r="R3930" s="12"/>
      <c r="S3930" s="12"/>
      <c r="T3930" s="12"/>
      <c r="U3930" s="12"/>
      <c r="V3930" s="12"/>
      <c r="W3930" s="12"/>
      <c r="X3930" s="12"/>
      <c r="Y3930" s="12"/>
      <c r="Z3930" s="12"/>
      <c r="AA3930" s="12"/>
      <c r="AB3930" s="12"/>
      <c r="AC3930" s="12"/>
      <c r="AD3930" s="12"/>
      <c r="AE3930" s="12"/>
      <c r="AF3930" s="12"/>
      <c r="AG3930" s="12"/>
      <c r="AH3930" s="12"/>
      <c r="AI3930" s="12"/>
      <c r="AJ3930" s="12"/>
      <c r="AK3930" s="12"/>
      <c r="AL3930" s="12"/>
      <c r="AM3930" s="12"/>
      <c r="AN3930" s="12"/>
      <c r="AO3930" s="12"/>
    </row>
    <row r="3931" spans="1:41" ht="14.25" x14ac:dyDescent="0.2">
      <c r="A3931" s="2">
        <v>72050309</v>
      </c>
      <c r="B3931" s="3" t="s">
        <v>996</v>
      </c>
      <c r="C3931" s="9"/>
      <c r="D3931" s="9"/>
      <c r="E3931" s="9"/>
      <c r="F3931" s="9"/>
      <c r="G3931" s="9"/>
      <c r="H3931" s="9"/>
      <c r="I3931" s="9"/>
      <c r="J3931" s="9"/>
      <c r="K3931" s="9"/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9"/>
      <c r="AG3931" s="9"/>
      <c r="AH3931" s="9"/>
      <c r="AI3931" s="9"/>
      <c r="AJ3931" s="9"/>
      <c r="AK3931" s="9"/>
      <c r="AL3931" s="9"/>
      <c r="AM3931" s="9"/>
      <c r="AN3931" s="9"/>
      <c r="AO3931" s="9"/>
    </row>
    <row r="3932" spans="1:41" ht="28.5" x14ac:dyDescent="0.2">
      <c r="A3932" s="2">
        <v>72050310</v>
      </c>
      <c r="B3932" s="4" t="s">
        <v>997</v>
      </c>
      <c r="C3932" s="11"/>
      <c r="D3932" s="11"/>
      <c r="E3932" s="11"/>
      <c r="F3932" s="11"/>
      <c r="G3932" s="11"/>
      <c r="H3932" s="11"/>
      <c r="I3932" s="11"/>
      <c r="J3932" s="11"/>
      <c r="K3932" s="11"/>
      <c r="L3932" s="11"/>
      <c r="M3932" s="11"/>
      <c r="N3932" s="11"/>
      <c r="O3932" s="11"/>
      <c r="P3932" s="11"/>
      <c r="Q3932" s="11"/>
      <c r="R3932" s="11"/>
      <c r="S3932" s="11"/>
      <c r="T3932" s="11"/>
      <c r="U3932" s="11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1"/>
      <c r="AF3932" s="11"/>
      <c r="AG3932" s="11"/>
      <c r="AH3932" s="11"/>
      <c r="AI3932" s="11"/>
      <c r="AJ3932" s="11"/>
      <c r="AK3932" s="11"/>
      <c r="AL3932" s="11"/>
      <c r="AM3932" s="11"/>
      <c r="AN3932" s="11"/>
      <c r="AO3932" s="11"/>
    </row>
    <row r="3933" spans="1:41" ht="14.25" x14ac:dyDescent="0.2">
      <c r="A3933" s="2">
        <v>72050311</v>
      </c>
      <c r="B3933" s="3" t="s">
        <v>998</v>
      </c>
      <c r="C3933" s="9"/>
      <c r="D3933" s="9"/>
      <c r="E3933" s="9"/>
      <c r="F3933" s="9"/>
      <c r="G3933" s="9"/>
      <c r="H3933" s="9"/>
      <c r="I3933" s="9"/>
      <c r="J3933" s="9"/>
      <c r="K3933" s="9"/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9"/>
      <c r="AG3933" s="9"/>
      <c r="AH3933" s="9"/>
      <c r="AI3933" s="9"/>
      <c r="AJ3933" s="9"/>
      <c r="AK3933" s="9"/>
      <c r="AL3933" s="9"/>
      <c r="AM3933" s="9"/>
      <c r="AN3933" s="9"/>
      <c r="AO3933" s="9"/>
    </row>
    <row r="3934" spans="1:41" ht="14.25" x14ac:dyDescent="0.2">
      <c r="A3934" s="2">
        <v>72050312</v>
      </c>
      <c r="B3934" s="3" t="s">
        <v>999</v>
      </c>
      <c r="C3934" s="9"/>
      <c r="D3934" s="9"/>
      <c r="E3934" s="9"/>
      <c r="F3934" s="9"/>
      <c r="G3934" s="9"/>
      <c r="H3934" s="9"/>
      <c r="I3934" s="9"/>
      <c r="J3934" s="9"/>
      <c r="K3934" s="9"/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9"/>
      <c r="AD3934" s="9"/>
      <c r="AE3934" s="9"/>
      <c r="AF3934" s="9"/>
      <c r="AG3934" s="9"/>
      <c r="AH3934" s="9"/>
      <c r="AI3934" s="9"/>
      <c r="AJ3934" s="9"/>
      <c r="AK3934" s="9"/>
      <c r="AL3934" s="9"/>
      <c r="AM3934" s="9"/>
      <c r="AN3934" s="9"/>
      <c r="AO3934" s="9"/>
    </row>
    <row r="3935" spans="1:41" ht="14.25" x14ac:dyDescent="0.2">
      <c r="A3935" s="2">
        <v>72050313</v>
      </c>
      <c r="B3935" s="3" t="s">
        <v>1000</v>
      </c>
      <c r="C3935" s="9"/>
      <c r="D3935" s="9"/>
      <c r="E3935" s="9"/>
      <c r="F3935" s="9"/>
      <c r="G3935" s="9"/>
      <c r="H3935" s="9"/>
      <c r="I3935" s="9"/>
      <c r="J3935" s="9"/>
      <c r="K3935" s="9"/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9"/>
      <c r="AG3935" s="9"/>
      <c r="AH3935" s="9"/>
      <c r="AI3935" s="9"/>
      <c r="AJ3935" s="9"/>
      <c r="AK3935" s="9"/>
      <c r="AL3935" s="9"/>
      <c r="AM3935" s="9"/>
      <c r="AN3935" s="9"/>
      <c r="AO3935" s="9"/>
    </row>
    <row r="3936" spans="1:41" ht="14.25" x14ac:dyDescent="0.2">
      <c r="A3936" s="2">
        <v>720504</v>
      </c>
      <c r="B3936" s="3" t="s">
        <v>1004</v>
      </c>
      <c r="C3936" s="9"/>
      <c r="D3936" s="9"/>
      <c r="E3936" s="9"/>
      <c r="F3936" s="9"/>
      <c r="G3936" s="9"/>
      <c r="H3936" s="9"/>
      <c r="I3936" s="9"/>
      <c r="J3936" s="9"/>
      <c r="K3936" s="9"/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9"/>
      <c r="AF3936" s="9"/>
      <c r="AG3936" s="9"/>
      <c r="AH3936" s="9"/>
      <c r="AI3936" s="9"/>
      <c r="AJ3936" s="9"/>
      <c r="AK3936" s="9"/>
      <c r="AL3936" s="9"/>
      <c r="AM3936" s="9"/>
      <c r="AN3936" s="9"/>
      <c r="AO3936" s="9"/>
    </row>
    <row r="3937" spans="1:41" ht="28.5" x14ac:dyDescent="0.2">
      <c r="A3937" s="2">
        <v>72050402</v>
      </c>
      <c r="B3937" s="4" t="s">
        <v>1005</v>
      </c>
      <c r="C3937" s="11"/>
      <c r="D3937" s="11"/>
      <c r="E3937" s="11"/>
      <c r="F3937" s="11"/>
      <c r="G3937" s="11"/>
      <c r="H3937" s="11"/>
      <c r="I3937" s="11"/>
      <c r="J3937" s="11"/>
      <c r="K3937" s="11"/>
      <c r="L3937" s="11"/>
      <c r="M3937" s="11"/>
      <c r="N3937" s="11"/>
      <c r="O3937" s="11"/>
      <c r="P3937" s="11"/>
      <c r="Q3937" s="11"/>
      <c r="R3937" s="11"/>
      <c r="S3937" s="11"/>
      <c r="T3937" s="11"/>
      <c r="U3937" s="11"/>
      <c r="V3937" s="11"/>
      <c r="W3937" s="11"/>
      <c r="X3937" s="11"/>
      <c r="Y3937" s="11"/>
      <c r="Z3937" s="11"/>
      <c r="AA3937" s="11"/>
      <c r="AB3937" s="11"/>
      <c r="AC3937" s="11"/>
      <c r="AD3937" s="11"/>
      <c r="AE3937" s="11"/>
      <c r="AF3937" s="11"/>
      <c r="AG3937" s="11"/>
      <c r="AH3937" s="11"/>
      <c r="AI3937" s="11"/>
      <c r="AJ3937" s="11"/>
      <c r="AK3937" s="11"/>
      <c r="AL3937" s="11"/>
      <c r="AM3937" s="11"/>
      <c r="AN3937" s="11"/>
      <c r="AO3937" s="11"/>
    </row>
    <row r="3938" spans="1:41" ht="14.25" x14ac:dyDescent="0.2">
      <c r="A3938" s="2">
        <v>7205040201</v>
      </c>
      <c r="B3938" s="3" t="s">
        <v>993</v>
      </c>
      <c r="C3938" s="9"/>
      <c r="D3938" s="9"/>
      <c r="E3938" s="9"/>
      <c r="F3938" s="9"/>
      <c r="G3938" s="9"/>
      <c r="H3938" s="9"/>
      <c r="I3938" s="9"/>
      <c r="J3938" s="9"/>
      <c r="K3938" s="9"/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9"/>
      <c r="AD3938" s="9"/>
      <c r="AE3938" s="9"/>
      <c r="AF3938" s="9"/>
      <c r="AG3938" s="9"/>
      <c r="AH3938" s="9"/>
      <c r="AI3938" s="9"/>
      <c r="AJ3938" s="9"/>
      <c r="AK3938" s="9"/>
      <c r="AL3938" s="9"/>
      <c r="AM3938" s="9"/>
      <c r="AN3938" s="9"/>
      <c r="AO3938" s="9"/>
    </row>
    <row r="3939" spans="1:41" ht="14.25" x14ac:dyDescent="0.2">
      <c r="A3939" s="2">
        <v>7205040202</v>
      </c>
      <c r="B3939" s="3" t="s">
        <v>994</v>
      </c>
      <c r="C3939" s="9"/>
      <c r="D3939" s="9"/>
      <c r="E3939" s="9"/>
      <c r="F3939" s="9"/>
      <c r="G3939" s="9"/>
      <c r="H3939" s="9"/>
      <c r="I3939" s="9"/>
      <c r="J3939" s="9"/>
      <c r="K3939" s="9"/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9"/>
      <c r="AC3939" s="9"/>
      <c r="AD3939" s="9"/>
      <c r="AE3939" s="9"/>
      <c r="AF3939" s="9"/>
      <c r="AG3939" s="9"/>
      <c r="AH3939" s="9"/>
      <c r="AI3939" s="9"/>
      <c r="AJ3939" s="9"/>
      <c r="AK3939" s="9"/>
      <c r="AL3939" s="9"/>
      <c r="AM3939" s="9"/>
      <c r="AN3939" s="9"/>
      <c r="AO3939" s="9"/>
    </row>
    <row r="3940" spans="1:41" ht="28.5" x14ac:dyDescent="0.2">
      <c r="A3940" s="2">
        <v>72050403</v>
      </c>
      <c r="B3940" s="4" t="s">
        <v>1006</v>
      </c>
      <c r="C3940" s="11"/>
      <c r="D3940" s="11"/>
      <c r="E3940" s="11"/>
      <c r="F3940" s="11"/>
      <c r="G3940" s="11"/>
      <c r="H3940" s="11"/>
      <c r="I3940" s="11"/>
      <c r="J3940" s="11"/>
      <c r="K3940" s="11"/>
      <c r="L3940" s="11"/>
      <c r="M3940" s="11"/>
      <c r="N3940" s="11"/>
      <c r="O3940" s="11"/>
      <c r="P3940" s="11"/>
      <c r="Q3940" s="11"/>
      <c r="R3940" s="11"/>
      <c r="S3940" s="11"/>
      <c r="T3940" s="11"/>
      <c r="U3940" s="11"/>
      <c r="V3940" s="11"/>
      <c r="W3940" s="11"/>
      <c r="X3940" s="11"/>
      <c r="Y3940" s="11"/>
      <c r="Z3940" s="11"/>
      <c r="AA3940" s="11"/>
      <c r="AB3940" s="11"/>
      <c r="AC3940" s="11"/>
      <c r="AD3940" s="11"/>
      <c r="AE3940" s="11"/>
      <c r="AF3940" s="11"/>
      <c r="AG3940" s="11"/>
      <c r="AH3940" s="11"/>
      <c r="AI3940" s="11"/>
      <c r="AJ3940" s="11"/>
      <c r="AK3940" s="11"/>
      <c r="AL3940" s="11"/>
      <c r="AM3940" s="11"/>
      <c r="AN3940" s="11"/>
      <c r="AO3940" s="11"/>
    </row>
    <row r="3941" spans="1:41" ht="14.25" x14ac:dyDescent="0.2">
      <c r="A3941" s="2">
        <v>7205040301</v>
      </c>
      <c r="B3941" s="3" t="s">
        <v>993</v>
      </c>
      <c r="C3941" s="9"/>
      <c r="D3941" s="9"/>
      <c r="E3941" s="9"/>
      <c r="F3941" s="9"/>
      <c r="G3941" s="9"/>
      <c r="H3941" s="9"/>
      <c r="I3941" s="9"/>
      <c r="J3941" s="9"/>
      <c r="K3941" s="9"/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  <c r="AE3941" s="9"/>
      <c r="AF3941" s="9"/>
      <c r="AG3941" s="9"/>
      <c r="AH3941" s="9"/>
      <c r="AI3941" s="9"/>
      <c r="AJ3941" s="9"/>
      <c r="AK3941" s="9"/>
      <c r="AL3941" s="9"/>
      <c r="AM3941" s="9"/>
      <c r="AN3941" s="9"/>
      <c r="AO3941" s="9"/>
    </row>
    <row r="3942" spans="1:41" ht="14.25" x14ac:dyDescent="0.2">
      <c r="A3942" s="2">
        <v>7205040302</v>
      </c>
      <c r="B3942" s="3" t="s">
        <v>994</v>
      </c>
      <c r="C3942" s="9"/>
      <c r="D3942" s="9"/>
      <c r="E3942" s="9"/>
      <c r="F3942" s="9"/>
      <c r="G3942" s="9"/>
      <c r="H3942" s="9"/>
      <c r="I3942" s="9"/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9"/>
      <c r="AL3942" s="9"/>
      <c r="AM3942" s="9"/>
      <c r="AN3942" s="9"/>
      <c r="AO3942" s="9"/>
    </row>
    <row r="3943" spans="1:41" ht="25.5" x14ac:dyDescent="0.2">
      <c r="A3943" s="5">
        <v>72050407</v>
      </c>
      <c r="B3943" s="4" t="s">
        <v>1007</v>
      </c>
      <c r="C3943" s="11"/>
      <c r="D3943" s="11"/>
      <c r="E3943" s="11"/>
      <c r="F3943" s="11"/>
      <c r="G3943" s="11"/>
      <c r="H3943" s="11"/>
      <c r="I3943" s="11"/>
      <c r="J3943" s="11"/>
      <c r="K3943" s="11"/>
      <c r="L3943" s="11"/>
      <c r="M3943" s="11"/>
      <c r="N3943" s="11"/>
      <c r="O3943" s="11"/>
      <c r="P3943" s="11"/>
      <c r="Q3943" s="11"/>
      <c r="R3943" s="11"/>
      <c r="S3943" s="11"/>
      <c r="T3943" s="11"/>
      <c r="U3943" s="11"/>
      <c r="V3943" s="11"/>
      <c r="W3943" s="11"/>
      <c r="X3943" s="11"/>
      <c r="Y3943" s="11"/>
      <c r="Z3943" s="11"/>
      <c r="AA3943" s="11"/>
      <c r="AB3943" s="11"/>
      <c r="AC3943" s="11"/>
      <c r="AD3943" s="11"/>
      <c r="AE3943" s="11"/>
      <c r="AF3943" s="11"/>
      <c r="AG3943" s="11"/>
      <c r="AH3943" s="11"/>
      <c r="AI3943" s="11"/>
      <c r="AJ3943" s="11"/>
      <c r="AK3943" s="11"/>
      <c r="AL3943" s="11"/>
      <c r="AM3943" s="11"/>
      <c r="AN3943" s="11"/>
      <c r="AO3943" s="11"/>
    </row>
    <row r="3944" spans="1:41" ht="14.25" x14ac:dyDescent="0.2">
      <c r="A3944" s="2">
        <v>72050409</v>
      </c>
      <c r="B3944" s="3" t="s">
        <v>1008</v>
      </c>
      <c r="C3944" s="9"/>
      <c r="D3944" s="9"/>
      <c r="E3944" s="9"/>
      <c r="F3944" s="9"/>
      <c r="G3944" s="9"/>
      <c r="H3944" s="9"/>
      <c r="I3944" s="9"/>
      <c r="J3944" s="9"/>
      <c r="K3944" s="9"/>
      <c r="L3944" s="9"/>
      <c r="M3944" s="9"/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  <c r="AE3944" s="9"/>
      <c r="AF3944" s="9"/>
      <c r="AG3944" s="9"/>
      <c r="AH3944" s="9"/>
      <c r="AI3944" s="9"/>
      <c r="AJ3944" s="9"/>
      <c r="AK3944" s="9"/>
      <c r="AL3944" s="9"/>
      <c r="AM3944" s="9"/>
      <c r="AN3944" s="9"/>
      <c r="AO3944" s="9"/>
    </row>
    <row r="3945" spans="1:41" ht="28.5" x14ac:dyDescent="0.2">
      <c r="A3945" s="2">
        <v>72050410</v>
      </c>
      <c r="B3945" s="4" t="s">
        <v>1009</v>
      </c>
      <c r="C3945" s="11"/>
      <c r="D3945" s="11"/>
      <c r="E3945" s="11"/>
      <c r="F3945" s="11"/>
      <c r="G3945" s="11"/>
      <c r="H3945" s="11"/>
      <c r="I3945" s="11"/>
      <c r="J3945" s="11"/>
      <c r="K3945" s="11"/>
      <c r="L3945" s="11"/>
      <c r="M3945" s="11"/>
      <c r="N3945" s="11"/>
      <c r="O3945" s="11"/>
      <c r="P3945" s="11"/>
      <c r="Q3945" s="11"/>
      <c r="R3945" s="11"/>
      <c r="S3945" s="11"/>
      <c r="T3945" s="11"/>
      <c r="U3945" s="11"/>
      <c r="V3945" s="11"/>
      <c r="W3945" s="11"/>
      <c r="X3945" s="11"/>
      <c r="Y3945" s="11"/>
      <c r="Z3945" s="11"/>
      <c r="AA3945" s="11"/>
      <c r="AB3945" s="11"/>
      <c r="AC3945" s="11"/>
      <c r="AD3945" s="11"/>
      <c r="AE3945" s="11"/>
      <c r="AF3945" s="11"/>
      <c r="AG3945" s="11"/>
      <c r="AH3945" s="11"/>
      <c r="AI3945" s="11"/>
      <c r="AJ3945" s="11"/>
      <c r="AK3945" s="11"/>
      <c r="AL3945" s="11"/>
      <c r="AM3945" s="11"/>
      <c r="AN3945" s="11"/>
      <c r="AO3945" s="11"/>
    </row>
    <row r="3946" spans="1:41" ht="28.5" x14ac:dyDescent="0.2">
      <c r="A3946" s="2">
        <v>72050411</v>
      </c>
      <c r="B3946" s="4" t="s">
        <v>1010</v>
      </c>
      <c r="C3946" s="11"/>
      <c r="D3946" s="11"/>
      <c r="E3946" s="11"/>
      <c r="F3946" s="11"/>
      <c r="G3946" s="11"/>
      <c r="H3946" s="11"/>
      <c r="I3946" s="11"/>
      <c r="J3946" s="11"/>
      <c r="K3946" s="11"/>
      <c r="L3946" s="11"/>
      <c r="M3946" s="11"/>
      <c r="N3946" s="11"/>
      <c r="O3946" s="11"/>
      <c r="P3946" s="11"/>
      <c r="Q3946" s="11"/>
      <c r="R3946" s="11"/>
      <c r="S3946" s="11"/>
      <c r="T3946" s="11"/>
      <c r="U3946" s="11"/>
      <c r="V3946" s="11"/>
      <c r="W3946" s="11"/>
      <c r="X3946" s="11"/>
      <c r="Y3946" s="11"/>
      <c r="Z3946" s="11"/>
      <c r="AA3946" s="11"/>
      <c r="AB3946" s="11"/>
      <c r="AC3946" s="11"/>
      <c r="AD3946" s="11"/>
      <c r="AE3946" s="11"/>
      <c r="AF3946" s="11"/>
      <c r="AG3946" s="11"/>
      <c r="AH3946" s="11"/>
      <c r="AI3946" s="11"/>
      <c r="AJ3946" s="11"/>
      <c r="AK3946" s="11"/>
      <c r="AL3946" s="11"/>
      <c r="AM3946" s="11"/>
      <c r="AN3946" s="11"/>
      <c r="AO3946" s="11"/>
    </row>
    <row r="3947" spans="1:41" ht="28.5" x14ac:dyDescent="0.2">
      <c r="A3947" s="2">
        <v>72050412</v>
      </c>
      <c r="B3947" s="4" t="s">
        <v>1011</v>
      </c>
      <c r="C3947" s="11"/>
      <c r="D3947" s="11"/>
      <c r="E3947" s="11"/>
      <c r="F3947" s="11"/>
      <c r="G3947" s="11"/>
      <c r="H3947" s="11"/>
      <c r="I3947" s="11"/>
      <c r="J3947" s="11"/>
      <c r="K3947" s="11"/>
      <c r="L3947" s="11"/>
      <c r="M3947" s="11"/>
      <c r="N3947" s="11"/>
      <c r="O3947" s="11"/>
      <c r="P3947" s="11"/>
      <c r="Q3947" s="11"/>
      <c r="R3947" s="11"/>
      <c r="S3947" s="11"/>
      <c r="T3947" s="11"/>
      <c r="U3947" s="11"/>
      <c r="V3947" s="11"/>
      <c r="W3947" s="11"/>
      <c r="X3947" s="11"/>
      <c r="Y3947" s="11"/>
      <c r="Z3947" s="11"/>
      <c r="AA3947" s="11"/>
      <c r="AB3947" s="11"/>
      <c r="AC3947" s="11"/>
      <c r="AD3947" s="11"/>
      <c r="AE3947" s="11"/>
      <c r="AF3947" s="11"/>
      <c r="AG3947" s="11"/>
      <c r="AH3947" s="11"/>
      <c r="AI3947" s="11"/>
      <c r="AJ3947" s="11"/>
      <c r="AK3947" s="11"/>
      <c r="AL3947" s="11"/>
      <c r="AM3947" s="11"/>
      <c r="AN3947" s="11"/>
      <c r="AO3947" s="11"/>
    </row>
    <row r="3948" spans="1:41" ht="28.5" x14ac:dyDescent="0.2">
      <c r="A3948" s="2">
        <v>72050413</v>
      </c>
      <c r="B3948" s="4" t="s">
        <v>1012</v>
      </c>
      <c r="C3948" s="11"/>
      <c r="D3948" s="11"/>
      <c r="E3948" s="11"/>
      <c r="F3948" s="11"/>
      <c r="G3948" s="11"/>
      <c r="H3948" s="11"/>
      <c r="I3948" s="11"/>
      <c r="J3948" s="11"/>
      <c r="K3948" s="11"/>
      <c r="L3948" s="11"/>
      <c r="M3948" s="11"/>
      <c r="N3948" s="11"/>
      <c r="O3948" s="11"/>
      <c r="P3948" s="11"/>
      <c r="Q3948" s="11"/>
      <c r="R3948" s="11"/>
      <c r="S3948" s="11"/>
      <c r="T3948" s="11"/>
      <c r="U3948" s="11"/>
      <c r="V3948" s="11"/>
      <c r="W3948" s="11"/>
      <c r="X3948" s="11"/>
      <c r="Y3948" s="11"/>
      <c r="Z3948" s="11"/>
      <c r="AA3948" s="11"/>
      <c r="AB3948" s="11"/>
      <c r="AC3948" s="11"/>
      <c r="AD3948" s="11"/>
      <c r="AE3948" s="11"/>
      <c r="AF3948" s="11"/>
      <c r="AG3948" s="11"/>
      <c r="AH3948" s="11"/>
      <c r="AI3948" s="11"/>
      <c r="AJ3948" s="11"/>
      <c r="AK3948" s="11"/>
      <c r="AL3948" s="11"/>
      <c r="AM3948" s="11"/>
      <c r="AN3948" s="11"/>
      <c r="AO3948" s="11"/>
    </row>
    <row r="3949" spans="1:41" ht="14.25" x14ac:dyDescent="0.2">
      <c r="A3949" s="2">
        <v>720506</v>
      </c>
      <c r="B3949" s="3" t="s">
        <v>1013</v>
      </c>
      <c r="C3949" s="9"/>
      <c r="D3949" s="9"/>
      <c r="E3949" s="9"/>
      <c r="F3949" s="9"/>
      <c r="G3949" s="9"/>
      <c r="H3949" s="9"/>
      <c r="I3949" s="9"/>
      <c r="J3949" s="9"/>
      <c r="K3949" s="9"/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9"/>
      <c r="AG3949" s="9"/>
      <c r="AH3949" s="9"/>
      <c r="AI3949" s="9"/>
      <c r="AJ3949" s="9"/>
      <c r="AK3949" s="9"/>
      <c r="AL3949" s="9"/>
      <c r="AM3949" s="9"/>
      <c r="AN3949" s="9"/>
      <c r="AO3949" s="9"/>
    </row>
    <row r="3950" spans="1:41" ht="14.25" x14ac:dyDescent="0.2">
      <c r="A3950" s="2">
        <v>720507</v>
      </c>
      <c r="B3950" s="3" t="s">
        <v>1014</v>
      </c>
      <c r="C3950" s="9"/>
      <c r="D3950" s="9"/>
      <c r="E3950" s="9"/>
      <c r="F3950" s="9"/>
      <c r="G3950" s="9"/>
      <c r="H3950" s="9"/>
      <c r="I3950" s="9"/>
      <c r="J3950" s="9"/>
      <c r="K3950" s="9"/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9"/>
      <c r="AG3950" s="9"/>
      <c r="AH3950" s="9"/>
      <c r="AI3950" s="9"/>
      <c r="AJ3950" s="9"/>
      <c r="AK3950" s="9"/>
      <c r="AL3950" s="9"/>
      <c r="AM3950" s="9"/>
      <c r="AN3950" s="9"/>
      <c r="AO3950" s="9"/>
    </row>
    <row r="3951" spans="1:41" ht="28.5" x14ac:dyDescent="0.2">
      <c r="A3951" s="2">
        <v>72050702</v>
      </c>
      <c r="B3951" s="4" t="s">
        <v>1015</v>
      </c>
      <c r="C3951" s="11"/>
      <c r="D3951" s="11"/>
      <c r="E3951" s="11"/>
      <c r="F3951" s="11"/>
      <c r="G3951" s="11"/>
      <c r="H3951" s="11"/>
      <c r="I3951" s="11"/>
      <c r="J3951" s="11"/>
      <c r="K3951" s="11"/>
      <c r="L3951" s="11"/>
      <c r="M3951" s="11"/>
      <c r="N3951" s="11"/>
      <c r="O3951" s="11"/>
      <c r="P3951" s="11"/>
      <c r="Q3951" s="11"/>
      <c r="R3951" s="11"/>
      <c r="S3951" s="11"/>
      <c r="T3951" s="11"/>
      <c r="U3951" s="11"/>
      <c r="V3951" s="11"/>
      <c r="W3951" s="11"/>
      <c r="X3951" s="11"/>
      <c r="Y3951" s="11"/>
      <c r="Z3951" s="11"/>
      <c r="AA3951" s="11"/>
      <c r="AB3951" s="11"/>
      <c r="AC3951" s="11"/>
      <c r="AD3951" s="11"/>
      <c r="AE3951" s="11"/>
      <c r="AF3951" s="11"/>
      <c r="AG3951" s="11"/>
      <c r="AH3951" s="11"/>
      <c r="AI3951" s="11"/>
      <c r="AJ3951" s="11"/>
      <c r="AK3951" s="11"/>
      <c r="AL3951" s="11"/>
      <c r="AM3951" s="11"/>
      <c r="AN3951" s="11"/>
      <c r="AO3951" s="11"/>
    </row>
    <row r="3952" spans="1:41" ht="28.5" x14ac:dyDescent="0.2">
      <c r="A3952" s="2">
        <v>72050703</v>
      </c>
      <c r="B3952" s="4" t="s">
        <v>1016</v>
      </c>
      <c r="C3952" s="11"/>
      <c r="D3952" s="11"/>
      <c r="E3952" s="11"/>
      <c r="F3952" s="11"/>
      <c r="G3952" s="11"/>
      <c r="H3952" s="11"/>
      <c r="I3952" s="11"/>
      <c r="J3952" s="11"/>
      <c r="K3952" s="11"/>
      <c r="L3952" s="11"/>
      <c r="M3952" s="11"/>
      <c r="N3952" s="11"/>
      <c r="O3952" s="11"/>
      <c r="P3952" s="11"/>
      <c r="Q3952" s="11"/>
      <c r="R3952" s="11"/>
      <c r="S3952" s="11"/>
      <c r="T3952" s="11"/>
      <c r="U3952" s="11"/>
      <c r="V3952" s="11"/>
      <c r="W3952" s="11"/>
      <c r="X3952" s="11"/>
      <c r="Y3952" s="11"/>
      <c r="Z3952" s="11"/>
      <c r="AA3952" s="11"/>
      <c r="AB3952" s="11"/>
      <c r="AC3952" s="11"/>
      <c r="AD3952" s="11"/>
      <c r="AE3952" s="11"/>
      <c r="AF3952" s="11"/>
      <c r="AG3952" s="11"/>
      <c r="AH3952" s="11"/>
      <c r="AI3952" s="11"/>
      <c r="AJ3952" s="11"/>
      <c r="AK3952" s="11"/>
      <c r="AL3952" s="11"/>
      <c r="AM3952" s="11"/>
      <c r="AN3952" s="11"/>
      <c r="AO3952" s="11"/>
    </row>
    <row r="3953" spans="1:41" ht="28.5" x14ac:dyDescent="0.2">
      <c r="A3953" s="2">
        <v>72050704</v>
      </c>
      <c r="B3953" s="4" t="s">
        <v>1017</v>
      </c>
      <c r="C3953" s="11"/>
      <c r="D3953" s="11"/>
      <c r="E3953" s="11"/>
      <c r="F3953" s="11"/>
      <c r="G3953" s="11"/>
      <c r="H3953" s="11"/>
      <c r="I3953" s="11"/>
      <c r="J3953" s="11"/>
      <c r="K3953" s="11"/>
      <c r="L3953" s="11"/>
      <c r="M3953" s="11"/>
      <c r="N3953" s="11"/>
      <c r="O3953" s="11"/>
      <c r="P3953" s="11"/>
      <c r="Q3953" s="11"/>
      <c r="R3953" s="11"/>
      <c r="S3953" s="11"/>
      <c r="T3953" s="11"/>
      <c r="U3953" s="11"/>
      <c r="V3953" s="11"/>
      <c r="W3953" s="11"/>
      <c r="X3953" s="11"/>
      <c r="Y3953" s="11"/>
      <c r="Z3953" s="11"/>
      <c r="AA3953" s="11"/>
      <c r="AB3953" s="11"/>
      <c r="AC3953" s="11"/>
      <c r="AD3953" s="11"/>
      <c r="AE3953" s="11"/>
      <c r="AF3953" s="11"/>
      <c r="AG3953" s="11"/>
      <c r="AH3953" s="11"/>
      <c r="AI3953" s="11"/>
      <c r="AJ3953" s="11"/>
      <c r="AK3953" s="11"/>
      <c r="AL3953" s="11"/>
      <c r="AM3953" s="11"/>
      <c r="AN3953" s="11"/>
      <c r="AO3953" s="11"/>
    </row>
    <row r="3954" spans="1:41" ht="25.5" x14ac:dyDescent="0.2">
      <c r="A3954" s="5">
        <v>72050707</v>
      </c>
      <c r="B3954" s="4" t="s">
        <v>1018</v>
      </c>
      <c r="C3954" s="11"/>
      <c r="D3954" s="11"/>
      <c r="E3954" s="11"/>
      <c r="F3954" s="11"/>
      <c r="G3954" s="11"/>
      <c r="H3954" s="11"/>
      <c r="I3954" s="11"/>
      <c r="J3954" s="11"/>
      <c r="K3954" s="11"/>
      <c r="L3954" s="11"/>
      <c r="M3954" s="11"/>
      <c r="N3954" s="11"/>
      <c r="O3954" s="11"/>
      <c r="P3954" s="11"/>
      <c r="Q3954" s="11"/>
      <c r="R3954" s="11"/>
      <c r="S3954" s="11"/>
      <c r="T3954" s="11"/>
      <c r="U3954" s="11"/>
      <c r="V3954" s="11"/>
      <c r="W3954" s="11"/>
      <c r="X3954" s="11"/>
      <c r="Y3954" s="11"/>
      <c r="Z3954" s="11"/>
      <c r="AA3954" s="11"/>
      <c r="AB3954" s="11"/>
      <c r="AC3954" s="11"/>
      <c r="AD3954" s="11"/>
      <c r="AE3954" s="11"/>
      <c r="AF3954" s="11"/>
      <c r="AG3954" s="11"/>
      <c r="AH3954" s="11"/>
      <c r="AI3954" s="11"/>
      <c r="AJ3954" s="11"/>
      <c r="AK3954" s="11"/>
      <c r="AL3954" s="11"/>
      <c r="AM3954" s="11"/>
      <c r="AN3954" s="11"/>
      <c r="AO3954" s="11"/>
    </row>
    <row r="3955" spans="1:41" ht="28.5" x14ac:dyDescent="0.2">
      <c r="A3955" s="2">
        <v>72050709</v>
      </c>
      <c r="B3955" s="4" t="s">
        <v>1019</v>
      </c>
      <c r="C3955" s="11"/>
      <c r="D3955" s="11"/>
      <c r="E3955" s="11"/>
      <c r="F3955" s="11"/>
      <c r="G3955" s="11"/>
      <c r="H3955" s="11"/>
      <c r="I3955" s="11"/>
      <c r="J3955" s="11"/>
      <c r="K3955" s="11"/>
      <c r="L3955" s="11"/>
      <c r="M3955" s="11"/>
      <c r="N3955" s="11"/>
      <c r="O3955" s="11"/>
      <c r="P3955" s="11"/>
      <c r="Q3955" s="11"/>
      <c r="R3955" s="11"/>
      <c r="S3955" s="11"/>
      <c r="T3955" s="11"/>
      <c r="U3955" s="11"/>
      <c r="V3955" s="11"/>
      <c r="W3955" s="11"/>
      <c r="X3955" s="11"/>
      <c r="Y3955" s="11"/>
      <c r="Z3955" s="11"/>
      <c r="AA3955" s="11"/>
      <c r="AB3955" s="11"/>
      <c r="AC3955" s="11"/>
      <c r="AD3955" s="11"/>
      <c r="AE3955" s="11"/>
      <c r="AF3955" s="11"/>
      <c r="AG3955" s="11"/>
      <c r="AH3955" s="11"/>
      <c r="AI3955" s="11"/>
      <c r="AJ3955" s="11"/>
      <c r="AK3955" s="11"/>
      <c r="AL3955" s="11"/>
      <c r="AM3955" s="11"/>
      <c r="AN3955" s="11"/>
      <c r="AO3955" s="11"/>
    </row>
    <row r="3956" spans="1:41" ht="28.5" x14ac:dyDescent="0.2">
      <c r="A3956" s="2">
        <v>72050710</v>
      </c>
      <c r="B3956" s="4" t="s">
        <v>1020</v>
      </c>
      <c r="C3956" s="11"/>
      <c r="D3956" s="11"/>
      <c r="E3956" s="11"/>
      <c r="F3956" s="11"/>
      <c r="G3956" s="11"/>
      <c r="H3956" s="11"/>
      <c r="I3956" s="11"/>
      <c r="J3956" s="11"/>
      <c r="K3956" s="11"/>
      <c r="L3956" s="11"/>
      <c r="M3956" s="11"/>
      <c r="N3956" s="11"/>
      <c r="O3956" s="11"/>
      <c r="P3956" s="11"/>
      <c r="Q3956" s="11"/>
      <c r="R3956" s="11"/>
      <c r="S3956" s="11"/>
      <c r="T3956" s="11"/>
      <c r="U3956" s="11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1"/>
      <c r="AF3956" s="11"/>
      <c r="AG3956" s="11"/>
      <c r="AH3956" s="11"/>
      <c r="AI3956" s="11"/>
      <c r="AJ3956" s="11"/>
      <c r="AK3956" s="11"/>
      <c r="AL3956" s="11"/>
      <c r="AM3956" s="11"/>
      <c r="AN3956" s="11"/>
      <c r="AO3956" s="11"/>
    </row>
    <row r="3957" spans="1:41" ht="28.5" x14ac:dyDescent="0.2">
      <c r="A3957" s="2">
        <v>72050711</v>
      </c>
      <c r="B3957" s="4" t="s">
        <v>1021</v>
      </c>
      <c r="C3957" s="11"/>
      <c r="D3957" s="11"/>
      <c r="E3957" s="11"/>
      <c r="F3957" s="11"/>
      <c r="G3957" s="11"/>
      <c r="H3957" s="11"/>
      <c r="I3957" s="11"/>
      <c r="J3957" s="11"/>
      <c r="K3957" s="11"/>
      <c r="L3957" s="11"/>
      <c r="M3957" s="11"/>
      <c r="N3957" s="11"/>
      <c r="O3957" s="11"/>
      <c r="P3957" s="11"/>
      <c r="Q3957" s="11"/>
      <c r="R3957" s="11"/>
      <c r="S3957" s="11"/>
      <c r="T3957" s="11"/>
      <c r="U3957" s="11"/>
      <c r="V3957" s="11"/>
      <c r="W3957" s="11"/>
      <c r="X3957" s="11"/>
      <c r="Y3957" s="11"/>
      <c r="Z3957" s="11"/>
      <c r="AA3957" s="11"/>
      <c r="AB3957" s="11"/>
      <c r="AC3957" s="11"/>
      <c r="AD3957" s="11"/>
      <c r="AE3957" s="11"/>
      <c r="AF3957" s="11"/>
      <c r="AG3957" s="11"/>
      <c r="AH3957" s="11"/>
      <c r="AI3957" s="11"/>
      <c r="AJ3957" s="11"/>
      <c r="AK3957" s="11"/>
      <c r="AL3957" s="11"/>
      <c r="AM3957" s="11"/>
      <c r="AN3957" s="11"/>
      <c r="AO3957" s="11"/>
    </row>
    <row r="3958" spans="1:41" ht="28.5" x14ac:dyDescent="0.2">
      <c r="A3958" s="2">
        <v>72050712</v>
      </c>
      <c r="B3958" s="4" t="s">
        <v>1022</v>
      </c>
      <c r="C3958" s="11"/>
      <c r="D3958" s="11"/>
      <c r="E3958" s="11"/>
      <c r="F3958" s="11"/>
      <c r="G3958" s="11"/>
      <c r="H3958" s="11"/>
      <c r="I3958" s="11"/>
      <c r="J3958" s="11"/>
      <c r="K3958" s="11"/>
      <c r="L3958" s="11"/>
      <c r="M3958" s="11"/>
      <c r="N3958" s="11"/>
      <c r="O3958" s="11"/>
      <c r="P3958" s="11"/>
      <c r="Q3958" s="11"/>
      <c r="R3958" s="11"/>
      <c r="S3958" s="11"/>
      <c r="T3958" s="11"/>
      <c r="U3958" s="11"/>
      <c r="V3958" s="11"/>
      <c r="W3958" s="11"/>
      <c r="X3958" s="11"/>
      <c r="Y3958" s="11"/>
      <c r="Z3958" s="11"/>
      <c r="AA3958" s="11"/>
      <c r="AB3958" s="11"/>
      <c r="AC3958" s="11"/>
      <c r="AD3958" s="11"/>
      <c r="AE3958" s="11"/>
      <c r="AF3958" s="11"/>
      <c r="AG3958" s="11"/>
      <c r="AH3958" s="11"/>
      <c r="AI3958" s="11"/>
      <c r="AJ3958" s="11"/>
      <c r="AK3958" s="11"/>
      <c r="AL3958" s="11"/>
      <c r="AM3958" s="11"/>
      <c r="AN3958" s="11"/>
      <c r="AO3958" s="11"/>
    </row>
    <row r="3959" spans="1:41" ht="28.5" x14ac:dyDescent="0.2">
      <c r="A3959" s="2">
        <v>72050713</v>
      </c>
      <c r="B3959" s="4" t="s">
        <v>1023</v>
      </c>
      <c r="C3959" s="11"/>
      <c r="D3959" s="11"/>
      <c r="E3959" s="11"/>
      <c r="F3959" s="11"/>
      <c r="G3959" s="11"/>
      <c r="H3959" s="11"/>
      <c r="I3959" s="11"/>
      <c r="J3959" s="11"/>
      <c r="K3959" s="11"/>
      <c r="L3959" s="11"/>
      <c r="M3959" s="11"/>
      <c r="N3959" s="11"/>
      <c r="O3959" s="11"/>
      <c r="P3959" s="11"/>
      <c r="Q3959" s="11"/>
      <c r="R3959" s="11"/>
      <c r="S3959" s="11"/>
      <c r="T3959" s="11"/>
      <c r="U3959" s="11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1"/>
      <c r="AF3959" s="11"/>
      <c r="AG3959" s="11"/>
      <c r="AH3959" s="11"/>
      <c r="AI3959" s="11"/>
      <c r="AJ3959" s="11"/>
      <c r="AK3959" s="11"/>
      <c r="AL3959" s="11"/>
      <c r="AM3959" s="11"/>
      <c r="AN3959" s="11"/>
      <c r="AO3959" s="11"/>
    </row>
    <row r="3960" spans="1:41" ht="14.25" x14ac:dyDescent="0.2">
      <c r="A3960" s="2">
        <v>7206</v>
      </c>
      <c r="B3960" s="3" t="s">
        <v>979</v>
      </c>
      <c r="C3960" s="9"/>
      <c r="D3960" s="9"/>
      <c r="E3960" s="9"/>
      <c r="F3960" s="9"/>
      <c r="G3960" s="9"/>
      <c r="H3960" s="9"/>
      <c r="I3960" s="9"/>
      <c r="J3960" s="9"/>
      <c r="K3960" s="9"/>
      <c r="L3960" s="9"/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9"/>
      <c r="AI3960" s="9"/>
      <c r="AJ3960" s="9"/>
      <c r="AK3960" s="9"/>
      <c r="AL3960" s="9"/>
      <c r="AM3960" s="9"/>
      <c r="AN3960" s="9"/>
      <c r="AO3960" s="9"/>
    </row>
    <row r="3961" spans="1:41" ht="14.25" x14ac:dyDescent="0.2">
      <c r="A3961" s="2">
        <v>720601</v>
      </c>
      <c r="B3961" s="3" t="s">
        <v>234</v>
      </c>
      <c r="C3961" s="9"/>
      <c r="D3961" s="9"/>
      <c r="E3961" s="9"/>
      <c r="F3961" s="9"/>
      <c r="G3961" s="9"/>
      <c r="H3961" s="9"/>
      <c r="I3961" s="9"/>
      <c r="J3961" s="9"/>
      <c r="K3961" s="9"/>
      <c r="L3961" s="9"/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  <c r="AH3961" s="9"/>
      <c r="AI3961" s="9"/>
      <c r="AJ3961" s="9"/>
      <c r="AK3961" s="9"/>
      <c r="AL3961" s="9"/>
      <c r="AM3961" s="9"/>
      <c r="AN3961" s="9"/>
      <c r="AO3961" s="9"/>
    </row>
    <row r="3962" spans="1:41" x14ac:dyDescent="0.2">
      <c r="A3962" s="5">
        <v>72060101</v>
      </c>
      <c r="B3962" s="6" t="s">
        <v>980</v>
      </c>
      <c r="C3962" s="12"/>
      <c r="D3962" s="12"/>
      <c r="E3962" s="12"/>
      <c r="F3962" s="12"/>
      <c r="G3962" s="12"/>
      <c r="H3962" s="12"/>
      <c r="I3962" s="12"/>
      <c r="J3962" s="12"/>
      <c r="K3962" s="12"/>
      <c r="L3962" s="12"/>
      <c r="M3962" s="12"/>
      <c r="N3962" s="12"/>
      <c r="O3962" s="12"/>
      <c r="P3962" s="12"/>
      <c r="Q3962" s="12"/>
      <c r="R3962" s="12"/>
      <c r="S3962" s="12"/>
      <c r="T3962" s="12"/>
      <c r="U3962" s="12"/>
      <c r="V3962" s="12"/>
      <c r="W3962" s="12"/>
      <c r="X3962" s="12"/>
      <c r="Y3962" s="12"/>
      <c r="Z3962" s="12"/>
      <c r="AA3962" s="12"/>
      <c r="AB3962" s="12"/>
      <c r="AC3962" s="12"/>
      <c r="AD3962" s="12"/>
      <c r="AE3962" s="12"/>
      <c r="AF3962" s="12"/>
      <c r="AG3962" s="12"/>
      <c r="AH3962" s="12"/>
      <c r="AI3962" s="12"/>
      <c r="AJ3962" s="12"/>
      <c r="AK3962" s="12"/>
      <c r="AL3962" s="12"/>
      <c r="AM3962" s="12"/>
      <c r="AN3962" s="12"/>
      <c r="AO3962" s="12"/>
    </row>
    <row r="3963" spans="1:41" ht="14.25" x14ac:dyDescent="0.2">
      <c r="A3963" s="2">
        <v>72060102</v>
      </c>
      <c r="B3963" s="3" t="s">
        <v>981</v>
      </c>
      <c r="C3963" s="9"/>
      <c r="D3963" s="9"/>
      <c r="E3963" s="9"/>
      <c r="F3963" s="9"/>
      <c r="G3963" s="9"/>
      <c r="H3963" s="9"/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9"/>
      <c r="AI3963" s="9"/>
      <c r="AJ3963" s="9"/>
      <c r="AK3963" s="9"/>
      <c r="AL3963" s="9"/>
      <c r="AM3963" s="9"/>
      <c r="AN3963" s="9"/>
      <c r="AO3963" s="9"/>
    </row>
    <row r="3964" spans="1:41" x14ac:dyDescent="0.2">
      <c r="A3964" s="5">
        <v>72060104</v>
      </c>
      <c r="B3964" s="6" t="s">
        <v>982</v>
      </c>
      <c r="C3964" s="12"/>
      <c r="D3964" s="12"/>
      <c r="E3964" s="12"/>
      <c r="F3964" s="12"/>
      <c r="G3964" s="12"/>
      <c r="H3964" s="12"/>
      <c r="I3964" s="12"/>
      <c r="J3964" s="12"/>
      <c r="K3964" s="12"/>
      <c r="L3964" s="12"/>
      <c r="M3964" s="12"/>
      <c r="N3964" s="12"/>
      <c r="O3964" s="12"/>
      <c r="P3964" s="12"/>
      <c r="Q3964" s="12"/>
      <c r="R3964" s="12"/>
      <c r="S3964" s="12"/>
      <c r="T3964" s="12"/>
      <c r="U3964" s="12"/>
      <c r="V3964" s="12"/>
      <c r="W3964" s="12"/>
      <c r="X3964" s="12"/>
      <c r="Y3964" s="12"/>
      <c r="Z3964" s="12"/>
      <c r="AA3964" s="12"/>
      <c r="AB3964" s="12"/>
      <c r="AC3964" s="12"/>
      <c r="AD3964" s="12"/>
      <c r="AE3964" s="12"/>
      <c r="AF3964" s="12"/>
      <c r="AG3964" s="12"/>
      <c r="AH3964" s="12"/>
      <c r="AI3964" s="12"/>
      <c r="AJ3964" s="12"/>
      <c r="AK3964" s="12"/>
      <c r="AL3964" s="12"/>
      <c r="AM3964" s="12"/>
      <c r="AN3964" s="12"/>
      <c r="AO3964" s="12"/>
    </row>
    <row r="3965" spans="1:41" x14ac:dyDescent="0.2">
      <c r="A3965" s="5">
        <v>72060105</v>
      </c>
      <c r="B3965" s="6" t="s">
        <v>983</v>
      </c>
      <c r="C3965" s="12"/>
      <c r="D3965" s="12"/>
      <c r="E3965" s="12"/>
      <c r="F3965" s="12"/>
      <c r="G3965" s="12"/>
      <c r="H3965" s="12"/>
      <c r="I3965" s="12"/>
      <c r="J3965" s="12"/>
      <c r="K3965" s="12"/>
      <c r="L3965" s="12"/>
      <c r="M3965" s="12"/>
      <c r="N3965" s="12"/>
      <c r="O3965" s="12"/>
      <c r="P3965" s="12"/>
      <c r="Q3965" s="12"/>
      <c r="R3965" s="12"/>
      <c r="S3965" s="12"/>
      <c r="T3965" s="12"/>
      <c r="U3965" s="12"/>
      <c r="V3965" s="12"/>
      <c r="W3965" s="12"/>
      <c r="X3965" s="12"/>
      <c r="Y3965" s="12"/>
      <c r="Z3965" s="12"/>
      <c r="AA3965" s="12"/>
      <c r="AB3965" s="12"/>
      <c r="AC3965" s="12"/>
      <c r="AD3965" s="12"/>
      <c r="AE3965" s="12"/>
      <c r="AF3965" s="12"/>
      <c r="AG3965" s="12"/>
      <c r="AH3965" s="12"/>
      <c r="AI3965" s="12"/>
      <c r="AJ3965" s="12"/>
      <c r="AK3965" s="12"/>
      <c r="AL3965" s="12"/>
      <c r="AM3965" s="12"/>
      <c r="AN3965" s="12"/>
      <c r="AO3965" s="12"/>
    </row>
    <row r="3966" spans="1:41" x14ac:dyDescent="0.2">
      <c r="A3966" s="5">
        <v>72060109</v>
      </c>
      <c r="B3966" s="6" t="s">
        <v>984</v>
      </c>
      <c r="C3966" s="12"/>
      <c r="D3966" s="12"/>
      <c r="E3966" s="12"/>
      <c r="F3966" s="12"/>
      <c r="G3966" s="12"/>
      <c r="H3966" s="12"/>
      <c r="I3966" s="12"/>
      <c r="J3966" s="12"/>
      <c r="K3966" s="12"/>
      <c r="L3966" s="12"/>
      <c r="M3966" s="12"/>
      <c r="N3966" s="12"/>
      <c r="O3966" s="12"/>
      <c r="P3966" s="12"/>
      <c r="Q3966" s="12"/>
      <c r="R3966" s="12"/>
      <c r="S3966" s="12"/>
      <c r="T3966" s="12"/>
      <c r="U3966" s="12"/>
      <c r="V3966" s="12"/>
      <c r="W3966" s="12"/>
      <c r="X3966" s="12"/>
      <c r="Y3966" s="12"/>
      <c r="Z3966" s="12"/>
      <c r="AA3966" s="12"/>
      <c r="AB3966" s="12"/>
      <c r="AC3966" s="12"/>
      <c r="AD3966" s="12"/>
      <c r="AE3966" s="12"/>
      <c r="AF3966" s="12"/>
      <c r="AG3966" s="12"/>
      <c r="AH3966" s="12"/>
      <c r="AI3966" s="12"/>
      <c r="AJ3966" s="12"/>
      <c r="AK3966" s="12"/>
      <c r="AL3966" s="12"/>
      <c r="AM3966" s="12"/>
      <c r="AN3966" s="12"/>
      <c r="AO3966" s="12"/>
    </row>
    <row r="3967" spans="1:41" x14ac:dyDescent="0.2">
      <c r="A3967" s="5">
        <v>720602</v>
      </c>
      <c r="B3967" s="6" t="s">
        <v>228</v>
      </c>
      <c r="C3967" s="12"/>
      <c r="D3967" s="12"/>
      <c r="E3967" s="12"/>
      <c r="F3967" s="12"/>
      <c r="G3967" s="12"/>
      <c r="H3967" s="12"/>
      <c r="I3967" s="12"/>
      <c r="J3967" s="12"/>
      <c r="K3967" s="12"/>
      <c r="L3967" s="12"/>
      <c r="M3967" s="12"/>
      <c r="N3967" s="12"/>
      <c r="O3967" s="12"/>
      <c r="P3967" s="12"/>
      <c r="Q3967" s="12"/>
      <c r="R3967" s="12"/>
      <c r="S3967" s="12"/>
      <c r="T3967" s="12"/>
      <c r="U3967" s="12"/>
      <c r="V3967" s="12"/>
      <c r="W3967" s="12"/>
      <c r="X3967" s="12"/>
      <c r="Y3967" s="12"/>
      <c r="Z3967" s="12"/>
      <c r="AA3967" s="12"/>
      <c r="AB3967" s="12"/>
      <c r="AC3967" s="12"/>
      <c r="AD3967" s="12"/>
      <c r="AE3967" s="12"/>
      <c r="AF3967" s="12"/>
      <c r="AG3967" s="12"/>
      <c r="AH3967" s="12"/>
      <c r="AI3967" s="12"/>
      <c r="AJ3967" s="12"/>
      <c r="AK3967" s="12"/>
      <c r="AL3967" s="12"/>
      <c r="AM3967" s="12"/>
      <c r="AN3967" s="12"/>
      <c r="AO3967" s="12"/>
    </row>
    <row r="3968" spans="1:41" x14ac:dyDescent="0.2">
      <c r="A3968" s="5">
        <v>720603</v>
      </c>
      <c r="B3968" s="6" t="s">
        <v>229</v>
      </c>
      <c r="C3968" s="12"/>
      <c r="D3968" s="12"/>
      <c r="E3968" s="12"/>
      <c r="F3968" s="12"/>
      <c r="G3968" s="12"/>
      <c r="H3968" s="12"/>
      <c r="I3968" s="12"/>
      <c r="J3968" s="12"/>
      <c r="K3968" s="12"/>
      <c r="L3968" s="12"/>
      <c r="M3968" s="12"/>
      <c r="N3968" s="12"/>
      <c r="O3968" s="12"/>
      <c r="P3968" s="12"/>
      <c r="Q3968" s="12"/>
      <c r="R3968" s="12"/>
      <c r="S3968" s="12"/>
      <c r="T3968" s="12"/>
      <c r="U3968" s="12"/>
      <c r="V3968" s="12"/>
      <c r="W3968" s="12"/>
      <c r="X3968" s="12"/>
      <c r="Y3968" s="12"/>
      <c r="Z3968" s="12"/>
      <c r="AA3968" s="12"/>
      <c r="AB3968" s="12"/>
      <c r="AC3968" s="12"/>
      <c r="AD3968" s="12"/>
      <c r="AE3968" s="12"/>
      <c r="AF3968" s="12"/>
      <c r="AG3968" s="12"/>
      <c r="AH3968" s="12"/>
      <c r="AI3968" s="12"/>
      <c r="AJ3968" s="12"/>
      <c r="AK3968" s="12"/>
      <c r="AL3968" s="12"/>
      <c r="AM3968" s="12"/>
      <c r="AN3968" s="12"/>
      <c r="AO3968" s="12"/>
    </row>
    <row r="3969" spans="1:41" x14ac:dyDescent="0.2">
      <c r="A3969" s="5">
        <v>720609</v>
      </c>
      <c r="B3969" s="6" t="s">
        <v>231</v>
      </c>
      <c r="C3969" s="12"/>
      <c r="D3969" s="12"/>
      <c r="E3969" s="12"/>
      <c r="F3969" s="12"/>
      <c r="G3969" s="12"/>
      <c r="H3969" s="12"/>
      <c r="I3969" s="12"/>
      <c r="J3969" s="12"/>
      <c r="K3969" s="12"/>
      <c r="L3969" s="12"/>
      <c r="M3969" s="12"/>
      <c r="N3969" s="12"/>
      <c r="O3969" s="12"/>
      <c r="P3969" s="12"/>
      <c r="Q3969" s="12"/>
      <c r="R3969" s="12"/>
      <c r="S3969" s="12"/>
      <c r="T3969" s="12"/>
      <c r="U3969" s="12"/>
      <c r="V3969" s="12"/>
      <c r="W3969" s="12"/>
      <c r="X3969" s="12"/>
      <c r="Y3969" s="12"/>
      <c r="Z3969" s="12"/>
      <c r="AA3969" s="12"/>
      <c r="AB3969" s="12"/>
      <c r="AC3969" s="12"/>
      <c r="AD3969" s="12"/>
      <c r="AE3969" s="12"/>
      <c r="AF3969" s="12"/>
      <c r="AG3969" s="12"/>
      <c r="AH3969" s="12"/>
      <c r="AI3969" s="12"/>
      <c r="AJ3969" s="12"/>
      <c r="AK3969" s="12"/>
      <c r="AL3969" s="12"/>
      <c r="AM3969" s="12"/>
      <c r="AN3969" s="12"/>
      <c r="AO3969" s="12"/>
    </row>
    <row r="3970" spans="1:41" ht="14.25" x14ac:dyDescent="0.2">
      <c r="A3970" s="2">
        <v>7209</v>
      </c>
      <c r="B3970" s="3" t="s">
        <v>985</v>
      </c>
      <c r="C3970" s="9"/>
      <c r="D3970" s="9"/>
      <c r="E3970" s="9"/>
      <c r="F3970" s="9"/>
      <c r="G3970" s="9"/>
      <c r="H3970" s="9"/>
      <c r="I3970" s="9"/>
      <c r="J3970" s="9"/>
      <c r="K3970" s="9"/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9"/>
      <c r="AF3970" s="9"/>
      <c r="AG3970" s="9"/>
      <c r="AH3970" s="9"/>
      <c r="AI3970" s="9"/>
      <c r="AJ3970" s="9"/>
      <c r="AK3970" s="9"/>
      <c r="AL3970" s="9"/>
      <c r="AM3970" s="9"/>
      <c r="AN3970" s="9"/>
      <c r="AO3970" s="9"/>
    </row>
    <row r="3971" spans="1:41" ht="14.25" x14ac:dyDescent="0.2">
      <c r="A3971" s="2">
        <v>720902</v>
      </c>
      <c r="B3971" s="3" t="s">
        <v>1024</v>
      </c>
      <c r="C3971" s="9"/>
      <c r="D3971" s="9"/>
      <c r="E3971" s="9"/>
      <c r="F3971" s="9"/>
      <c r="G3971" s="9"/>
      <c r="H3971" s="9"/>
      <c r="I3971" s="9"/>
      <c r="J3971" s="9"/>
      <c r="K3971" s="9"/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9"/>
      <c r="AF3971" s="9"/>
      <c r="AG3971" s="9"/>
      <c r="AH3971" s="9"/>
      <c r="AI3971" s="9"/>
      <c r="AJ3971" s="9"/>
      <c r="AK3971" s="9"/>
      <c r="AL3971" s="9"/>
      <c r="AM3971" s="9"/>
      <c r="AN3971" s="9"/>
      <c r="AO3971" s="9"/>
    </row>
    <row r="3972" spans="1:41" ht="14.25" x14ac:dyDescent="0.2">
      <c r="A3972" s="2">
        <v>72090201</v>
      </c>
      <c r="B3972" s="3" t="s">
        <v>1025</v>
      </c>
      <c r="C3972" s="9"/>
      <c r="D3972" s="9"/>
      <c r="E3972" s="9"/>
      <c r="F3972" s="9"/>
      <c r="G3972" s="9"/>
      <c r="H3972" s="9"/>
      <c r="I3972" s="9"/>
      <c r="J3972" s="9"/>
      <c r="K3972" s="9"/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9"/>
      <c r="AB3972" s="9"/>
      <c r="AC3972" s="9"/>
      <c r="AD3972" s="9"/>
      <c r="AE3972" s="9"/>
      <c r="AF3972" s="9"/>
      <c r="AG3972" s="9"/>
      <c r="AH3972" s="9"/>
      <c r="AI3972" s="9"/>
      <c r="AJ3972" s="9"/>
      <c r="AK3972" s="9"/>
      <c r="AL3972" s="9"/>
      <c r="AM3972" s="9"/>
      <c r="AN3972" s="9"/>
      <c r="AO3972" s="9"/>
    </row>
    <row r="3973" spans="1:41" ht="14.25" x14ac:dyDescent="0.2">
      <c r="A3973" s="2">
        <v>72090202</v>
      </c>
      <c r="B3973" s="3" t="s">
        <v>1026</v>
      </c>
      <c r="C3973" s="9"/>
      <c r="D3973" s="9"/>
      <c r="E3973" s="9"/>
      <c r="F3973" s="9"/>
      <c r="G3973" s="9"/>
      <c r="H3973" s="9"/>
      <c r="I3973" s="9"/>
      <c r="J3973" s="9"/>
      <c r="K3973" s="9"/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9"/>
      <c r="AF3973" s="9"/>
      <c r="AG3973" s="9"/>
      <c r="AH3973" s="9"/>
      <c r="AI3973" s="9"/>
      <c r="AJ3973" s="9"/>
      <c r="AK3973" s="9"/>
      <c r="AL3973" s="9"/>
      <c r="AM3973" s="9"/>
      <c r="AN3973" s="9"/>
      <c r="AO3973" s="9"/>
    </row>
    <row r="3974" spans="1:41" ht="28.5" x14ac:dyDescent="0.2">
      <c r="A3974" s="2">
        <v>72090203</v>
      </c>
      <c r="B3974" s="4" t="s">
        <v>1027</v>
      </c>
      <c r="C3974" s="11"/>
      <c r="D3974" s="11"/>
      <c r="E3974" s="11"/>
      <c r="F3974" s="11"/>
      <c r="G3974" s="11"/>
      <c r="H3974" s="11"/>
      <c r="I3974" s="11"/>
      <c r="J3974" s="11"/>
      <c r="K3974" s="11"/>
      <c r="L3974" s="11"/>
      <c r="M3974" s="11"/>
      <c r="N3974" s="11"/>
      <c r="O3974" s="11"/>
      <c r="P3974" s="11"/>
      <c r="Q3974" s="11"/>
      <c r="R3974" s="11"/>
      <c r="S3974" s="11"/>
      <c r="T3974" s="11"/>
      <c r="U3974" s="11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11"/>
      <c r="AG3974" s="11"/>
      <c r="AH3974" s="11"/>
      <c r="AI3974" s="11"/>
      <c r="AJ3974" s="11"/>
      <c r="AK3974" s="11"/>
      <c r="AL3974" s="11"/>
      <c r="AM3974" s="11"/>
      <c r="AN3974" s="11"/>
      <c r="AO3974" s="11"/>
    </row>
    <row r="3975" spans="1:41" ht="14.25" x14ac:dyDescent="0.2">
      <c r="A3975" s="2">
        <v>72090209</v>
      </c>
      <c r="B3975" s="3" t="s">
        <v>1028</v>
      </c>
      <c r="C3975" s="9"/>
      <c r="D3975" s="9"/>
      <c r="E3975" s="9"/>
      <c r="F3975" s="9"/>
      <c r="G3975" s="9"/>
      <c r="H3975" s="9"/>
      <c r="I3975" s="9"/>
      <c r="J3975" s="9"/>
      <c r="K3975" s="9"/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9"/>
      <c r="AD3975" s="9"/>
      <c r="AE3975" s="9"/>
      <c r="AF3975" s="9"/>
      <c r="AG3975" s="9"/>
      <c r="AH3975" s="9"/>
      <c r="AI3975" s="9"/>
      <c r="AJ3975" s="9"/>
      <c r="AK3975" s="9"/>
      <c r="AL3975" s="9"/>
      <c r="AM3975" s="9"/>
      <c r="AN3975" s="9"/>
      <c r="AO3975" s="9"/>
    </row>
    <row r="3976" spans="1:41" ht="14.25" x14ac:dyDescent="0.2">
      <c r="A3976" s="2">
        <v>8</v>
      </c>
      <c r="B3976" s="3" t="s">
        <v>1029</v>
      </c>
      <c r="C3976" s="20">
        <f>D3982+C3977+C4135+C4139+C4142</f>
        <v>0</v>
      </c>
      <c r="D3976" s="20">
        <f t="shared" ref="D3976:AO3976" si="106">E3982+D3977+D4135+D4139+D4142</f>
        <v>1.4901161193847656E-8</v>
      </c>
      <c r="E3976" s="20">
        <f t="shared" si="106"/>
        <v>-1.4901161193847656E-8</v>
      </c>
      <c r="F3976" s="20">
        <f t="shared" si="106"/>
        <v>0</v>
      </c>
      <c r="G3976" s="20">
        <f t="shared" si="106"/>
        <v>0</v>
      </c>
      <c r="H3976" s="20">
        <f t="shared" si="106"/>
        <v>0</v>
      </c>
      <c r="I3976" s="20">
        <f t="shared" si="106"/>
        <v>0</v>
      </c>
      <c r="J3976" s="20">
        <f t="shared" si="106"/>
        <v>0</v>
      </c>
      <c r="K3976" s="20">
        <f t="shared" si="106"/>
        <v>1.4901161193847656E-8</v>
      </c>
      <c r="L3976" s="20">
        <f t="shared" si="106"/>
        <v>0</v>
      </c>
      <c r="M3976" s="20">
        <f t="shared" si="106"/>
        <v>0</v>
      </c>
      <c r="N3976" s="20">
        <f t="shared" si="106"/>
        <v>0</v>
      </c>
      <c r="O3976" s="20">
        <f t="shared" si="106"/>
        <v>0</v>
      </c>
      <c r="P3976" s="20">
        <f t="shared" si="106"/>
        <v>-1.5017576515674591E-8</v>
      </c>
      <c r="Q3976" s="20">
        <f t="shared" si="106"/>
        <v>-1.4901161193847656E-8</v>
      </c>
      <c r="R3976" s="20">
        <f t="shared" si="106"/>
        <v>0</v>
      </c>
      <c r="S3976" s="20">
        <f t="shared" si="106"/>
        <v>1.4901161193847656E-8</v>
      </c>
      <c r="T3976" s="20">
        <f t="shared" si="106"/>
        <v>0</v>
      </c>
      <c r="U3976" s="20">
        <f t="shared" si="106"/>
        <v>-1.4901161193847656E-8</v>
      </c>
      <c r="V3976" s="20">
        <f t="shared" si="106"/>
        <v>0</v>
      </c>
      <c r="W3976" s="20">
        <f t="shared" si="106"/>
        <v>0</v>
      </c>
      <c r="X3976" s="20">
        <f t="shared" si="106"/>
        <v>0</v>
      </c>
      <c r="Y3976" s="20">
        <f t="shared" si="106"/>
        <v>0</v>
      </c>
      <c r="Z3976" s="20">
        <f t="shared" si="106"/>
        <v>0</v>
      </c>
      <c r="AA3976" s="20">
        <f t="shared" si="106"/>
        <v>0</v>
      </c>
      <c r="AB3976" s="20">
        <f t="shared" si="106"/>
        <v>1.4784745872020721E-8</v>
      </c>
      <c r="AC3976" s="20">
        <f t="shared" si="106"/>
        <v>0</v>
      </c>
      <c r="AD3976" s="20">
        <v>0</v>
      </c>
      <c r="AE3976" s="20">
        <v>0</v>
      </c>
      <c r="AF3976" s="20">
        <v>0</v>
      </c>
      <c r="AG3976" s="20">
        <v>0</v>
      </c>
      <c r="AH3976" s="20">
        <v>0</v>
      </c>
      <c r="AI3976" s="20">
        <v>0</v>
      </c>
      <c r="AJ3976" s="20">
        <v>0</v>
      </c>
      <c r="AK3976" s="20">
        <v>0</v>
      </c>
      <c r="AL3976" s="20">
        <v>0</v>
      </c>
      <c r="AM3976" s="20">
        <f t="shared" si="106"/>
        <v>2.9802322387695313E-8</v>
      </c>
      <c r="AN3976" s="20">
        <f t="shared" si="106"/>
        <v>0</v>
      </c>
      <c r="AO3976" s="20">
        <f t="shared" si="106"/>
        <v>0</v>
      </c>
    </row>
    <row r="3977" spans="1:41" ht="14.25" x14ac:dyDescent="0.2">
      <c r="A3977" s="2">
        <v>81</v>
      </c>
      <c r="B3977" s="3" t="s">
        <v>1030</v>
      </c>
      <c r="C3977" s="20">
        <f>+C3984+C3996+C4036+C4055+C4131+C4132+C4133+C4134</f>
        <v>99053940.429999992</v>
      </c>
      <c r="D3977" s="20">
        <f t="shared" ref="D3977:AO3977" si="107">+D3984+D3996+D4036+D4055+D4131+D4132+D4133+D4134</f>
        <v>96500935.310000017</v>
      </c>
      <c r="E3977" s="20">
        <f t="shared" si="107"/>
        <v>98593222.019999996</v>
      </c>
      <c r="F3977" s="20">
        <f t="shared" si="107"/>
        <v>102932481.08</v>
      </c>
      <c r="G3977" s="20">
        <f t="shared" si="107"/>
        <v>105523930.81</v>
      </c>
      <c r="H3977" s="20">
        <f t="shared" si="107"/>
        <v>106670598.05</v>
      </c>
      <c r="I3977" s="20">
        <f t="shared" si="107"/>
        <v>108595546.64</v>
      </c>
      <c r="J3977" s="20">
        <f t="shared" si="107"/>
        <v>111889459.68000001</v>
      </c>
      <c r="K3977" s="20">
        <f t="shared" si="107"/>
        <v>112450774.02</v>
      </c>
      <c r="L3977" s="20">
        <f t="shared" si="107"/>
        <v>112481393.69</v>
      </c>
      <c r="M3977" s="20">
        <f t="shared" si="107"/>
        <v>111441409.25</v>
      </c>
      <c r="N3977" s="20">
        <f t="shared" si="107"/>
        <v>117381540.34999999</v>
      </c>
      <c r="O3977" s="20">
        <f t="shared" si="107"/>
        <v>116210049.25</v>
      </c>
      <c r="P3977" s="20">
        <f t="shared" si="107"/>
        <v>108683918.61999999</v>
      </c>
      <c r="Q3977" s="20">
        <f t="shared" si="107"/>
        <v>105873534.27</v>
      </c>
      <c r="R3977" s="20">
        <f t="shared" si="107"/>
        <v>104729864.47</v>
      </c>
      <c r="S3977" s="20">
        <f t="shared" si="107"/>
        <v>103166610.43000001</v>
      </c>
      <c r="T3977" s="20">
        <f t="shared" si="107"/>
        <v>106886227.97999999</v>
      </c>
      <c r="U3977" s="20">
        <f t="shared" si="107"/>
        <v>107758972.71999998</v>
      </c>
      <c r="V3977" s="20">
        <f t="shared" si="107"/>
        <v>111305796.48999999</v>
      </c>
      <c r="W3977" s="20">
        <f t="shared" si="107"/>
        <v>112564099.61</v>
      </c>
      <c r="X3977" s="20">
        <f t="shared" si="107"/>
        <v>114325285.31999999</v>
      </c>
      <c r="Y3977" s="20">
        <f t="shared" si="107"/>
        <v>114331260.59</v>
      </c>
      <c r="Z3977" s="20">
        <f t="shared" si="107"/>
        <v>126796907.41</v>
      </c>
      <c r="AA3977" s="20">
        <f t="shared" si="107"/>
        <v>125801272.72000001</v>
      </c>
      <c r="AB3977" s="20">
        <f t="shared" si="107"/>
        <v>123837150.32000001</v>
      </c>
      <c r="AC3977" s="20">
        <f t="shared" si="107"/>
        <v>124094099.33000001</v>
      </c>
      <c r="AD3977" s="20">
        <f t="shared" si="107"/>
        <v>121944320.68000001</v>
      </c>
      <c r="AE3977" s="20">
        <f t="shared" si="107"/>
        <v>120584321.08000001</v>
      </c>
      <c r="AF3977" s="20">
        <f t="shared" si="107"/>
        <v>123522016.63</v>
      </c>
      <c r="AG3977" s="20">
        <f t="shared" si="107"/>
        <v>123412788.32000001</v>
      </c>
      <c r="AH3977" s="20">
        <f t="shared" si="107"/>
        <v>124791291.61000001</v>
      </c>
      <c r="AI3977" s="20">
        <f t="shared" si="107"/>
        <v>125750616.07000001</v>
      </c>
      <c r="AJ3977" s="20">
        <f t="shared" si="107"/>
        <v>127500425.09</v>
      </c>
      <c r="AK3977" s="20">
        <f t="shared" si="107"/>
        <v>130110246.32000001</v>
      </c>
      <c r="AL3977" s="20">
        <f t="shared" si="107"/>
        <v>141263592.85000002</v>
      </c>
      <c r="AM3977" s="20">
        <f t="shared" si="107"/>
        <v>139872373.34</v>
      </c>
      <c r="AN3977" s="20">
        <f t="shared" si="107"/>
        <v>138799946.44999999</v>
      </c>
      <c r="AO3977" s="20">
        <f t="shared" si="107"/>
        <v>137866053</v>
      </c>
    </row>
    <row r="3978" spans="1:41" ht="14.25" x14ac:dyDescent="0.2">
      <c r="A3978" s="2">
        <v>8101</v>
      </c>
      <c r="B3978" s="3" t="s">
        <v>1031</v>
      </c>
      <c r="C3978" s="9"/>
      <c r="D3978" s="9"/>
      <c r="E3978" s="9"/>
      <c r="F3978" s="9"/>
      <c r="G3978" s="9"/>
      <c r="H3978" s="9"/>
      <c r="I3978" s="9"/>
      <c r="J3978" s="9"/>
      <c r="K3978" s="9"/>
      <c r="L3978" s="9"/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9"/>
      <c r="AF3978" s="9"/>
      <c r="AG3978" s="9"/>
      <c r="AH3978" s="9"/>
      <c r="AI3978" s="9"/>
      <c r="AJ3978" s="9"/>
      <c r="AK3978" s="9"/>
      <c r="AL3978" s="9"/>
      <c r="AM3978" s="9"/>
      <c r="AN3978" s="9"/>
      <c r="AO3978" s="9"/>
    </row>
    <row r="3979" spans="1:41" ht="14.25" x14ac:dyDescent="0.2">
      <c r="A3979" s="2">
        <v>810101</v>
      </c>
      <c r="B3979" s="3" t="s">
        <v>1032</v>
      </c>
      <c r="C3979" s="9"/>
      <c r="D3979" s="9"/>
      <c r="E3979" s="9"/>
      <c r="F3979" s="9"/>
      <c r="G3979" s="9"/>
      <c r="H3979" s="9"/>
      <c r="I3979" s="9"/>
      <c r="J3979" s="9"/>
      <c r="K3979" s="9"/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9"/>
      <c r="AF3979" s="9"/>
      <c r="AG3979" s="9"/>
      <c r="AH3979" s="9"/>
      <c r="AI3979" s="9"/>
      <c r="AJ3979" s="9"/>
      <c r="AK3979" s="9"/>
      <c r="AL3979" s="9"/>
      <c r="AM3979" s="9"/>
      <c r="AN3979" s="9"/>
      <c r="AO3979" s="9"/>
    </row>
    <row r="3980" spans="1:41" ht="14.25" x14ac:dyDescent="0.2">
      <c r="A3980" s="2">
        <v>810102</v>
      </c>
      <c r="B3980" s="3" t="s">
        <v>1033</v>
      </c>
      <c r="C3980" s="9"/>
      <c r="D3980" s="9"/>
      <c r="E3980" s="9"/>
      <c r="F3980" s="9"/>
      <c r="G3980" s="9"/>
      <c r="H3980" s="9"/>
      <c r="I3980" s="9"/>
      <c r="J3980" s="9"/>
      <c r="K3980" s="9"/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  <c r="AB3980" s="9"/>
      <c r="AC3980" s="9"/>
      <c r="AD3980" s="9"/>
      <c r="AE3980" s="9"/>
      <c r="AF3980" s="9"/>
      <c r="AG3980" s="9"/>
      <c r="AH3980" s="9"/>
      <c r="AI3980" s="9"/>
      <c r="AJ3980" s="9"/>
      <c r="AK3980" s="9"/>
      <c r="AL3980" s="9"/>
      <c r="AM3980" s="9"/>
      <c r="AN3980" s="9"/>
      <c r="AO3980" s="9"/>
    </row>
    <row r="3981" spans="1:41" ht="14.25" x14ac:dyDescent="0.2">
      <c r="A3981" s="2">
        <v>810103</v>
      </c>
      <c r="B3981" s="3" t="s">
        <v>1034</v>
      </c>
      <c r="C3981" s="9"/>
      <c r="D3981" s="9"/>
      <c r="E3981" s="9"/>
      <c r="F3981" s="9"/>
      <c r="G3981" s="9"/>
      <c r="H3981" s="9"/>
      <c r="I3981" s="9"/>
      <c r="J3981" s="9"/>
      <c r="K3981" s="9"/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9"/>
      <c r="AB3981" s="9"/>
      <c r="AC3981" s="9"/>
      <c r="AD3981" s="9"/>
      <c r="AE3981" s="9"/>
      <c r="AF3981" s="9"/>
      <c r="AG3981" s="9"/>
      <c r="AH3981" s="9"/>
      <c r="AI3981" s="9"/>
      <c r="AJ3981" s="9"/>
      <c r="AK3981" s="9"/>
      <c r="AL3981" s="9"/>
      <c r="AM3981" s="9"/>
      <c r="AN3981" s="9"/>
      <c r="AO3981" s="9"/>
    </row>
    <row r="3982" spans="1:41" ht="14.25" x14ac:dyDescent="0.2">
      <c r="A3982" s="2">
        <v>8102</v>
      </c>
      <c r="B3982" s="3" t="s">
        <v>1035</v>
      </c>
      <c r="C3982" s="9"/>
      <c r="D3982" s="9"/>
      <c r="E3982" s="9"/>
      <c r="F3982" s="9"/>
      <c r="G3982" s="9"/>
      <c r="H3982" s="9"/>
      <c r="I3982" s="9"/>
      <c r="J3982" s="9"/>
      <c r="K3982" s="9"/>
      <c r="L3982" s="9"/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9"/>
      <c r="AB3982" s="9"/>
      <c r="AC3982" s="9"/>
      <c r="AD3982" s="9"/>
      <c r="AE3982" s="9"/>
      <c r="AF3982" s="9"/>
      <c r="AG3982" s="9"/>
      <c r="AH3982" s="9"/>
      <c r="AI3982" s="9"/>
      <c r="AJ3982" s="9"/>
      <c r="AK3982" s="9"/>
      <c r="AL3982" s="9"/>
      <c r="AM3982" s="9"/>
      <c r="AN3982" s="9"/>
      <c r="AO3982" s="9"/>
    </row>
    <row r="3983" spans="1:41" ht="14.25" x14ac:dyDescent="0.2">
      <c r="A3983" s="2">
        <v>810201</v>
      </c>
      <c r="B3983" s="3" t="s">
        <v>1036</v>
      </c>
      <c r="C3983" s="9"/>
      <c r="D3983" s="9"/>
      <c r="E3983" s="9"/>
      <c r="F3983" s="9"/>
      <c r="G3983" s="9"/>
      <c r="H3983" s="9"/>
      <c r="I3983" s="9"/>
      <c r="J3983" s="9"/>
      <c r="K3983" s="9"/>
      <c r="L3983" s="9"/>
      <c r="M3983" s="9"/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  <c r="AA3983" s="9"/>
      <c r="AB3983" s="9"/>
      <c r="AC3983" s="9"/>
      <c r="AD3983" s="9"/>
      <c r="AE3983" s="9"/>
      <c r="AF3983" s="9"/>
      <c r="AG3983" s="9"/>
      <c r="AH3983" s="9"/>
      <c r="AI3983" s="9"/>
      <c r="AJ3983" s="9"/>
      <c r="AK3983" s="9"/>
      <c r="AL3983" s="9"/>
      <c r="AM3983" s="9"/>
      <c r="AN3983" s="9"/>
      <c r="AO3983" s="9"/>
    </row>
    <row r="3984" spans="1:41" s="15" customFormat="1" ht="14.25" x14ac:dyDescent="0.2">
      <c r="A3984" s="18" t="s">
        <v>2120</v>
      </c>
      <c r="B3984" s="19" t="s">
        <v>2121</v>
      </c>
      <c r="C3984" s="20">
        <v>79460377.859999999</v>
      </c>
      <c r="D3984" s="20">
        <v>76841778.420000002</v>
      </c>
      <c r="E3984" s="20">
        <v>77224330.560000002</v>
      </c>
      <c r="F3984" s="20">
        <v>81400763.390000001</v>
      </c>
      <c r="G3984" s="20">
        <v>83858369.75</v>
      </c>
      <c r="H3984" s="20">
        <v>84896821.939999998</v>
      </c>
      <c r="I3984" s="20">
        <v>86697219.680000007</v>
      </c>
      <c r="J3984" s="20">
        <v>89846145.920000002</v>
      </c>
      <c r="K3984" s="20">
        <v>90412842.819999993</v>
      </c>
      <c r="L3984" s="20">
        <v>90342689.260000005</v>
      </c>
      <c r="M3984" s="20">
        <v>89239479.230000004</v>
      </c>
      <c r="N3984" s="20">
        <v>88993518.269999996</v>
      </c>
      <c r="O3984" s="20">
        <v>87696353.790000007</v>
      </c>
      <c r="P3984" s="20">
        <v>80062869.239999995</v>
      </c>
      <c r="Q3984" s="20">
        <v>77110659.040000007</v>
      </c>
      <c r="R3984" s="20">
        <v>75839230.719999999</v>
      </c>
      <c r="S3984" s="20">
        <v>74077203.310000002</v>
      </c>
      <c r="T3984" s="20">
        <v>77664140.799999997</v>
      </c>
      <c r="U3984" s="20">
        <v>78342458.209999993</v>
      </c>
      <c r="V3984" s="20">
        <v>81715909.359999999</v>
      </c>
      <c r="W3984" s="20">
        <v>82920348.75</v>
      </c>
      <c r="X3984" s="20">
        <v>84494877.349999994</v>
      </c>
      <c r="Y3984" s="20">
        <v>85727688</v>
      </c>
      <c r="Z3984" s="20">
        <v>90627789.629999995</v>
      </c>
      <c r="AA3984" s="20">
        <v>89461400.560000002</v>
      </c>
      <c r="AB3984" s="20">
        <v>87434316.120000005</v>
      </c>
      <c r="AC3984" s="20">
        <v>87465232.480000004</v>
      </c>
      <c r="AD3984" s="20">
        <v>85162302.420000002</v>
      </c>
      <c r="AE3984" s="20">
        <v>83612851.359999999</v>
      </c>
      <c r="AF3984" s="20">
        <v>86386484.489999995</v>
      </c>
      <c r="AG3984" s="20">
        <v>86437254.540000007</v>
      </c>
      <c r="AH3984" s="20">
        <v>87684102.469999999</v>
      </c>
      <c r="AI3984" s="20">
        <v>88564509.760000005</v>
      </c>
      <c r="AJ3984" s="20">
        <v>90179104.180000007</v>
      </c>
      <c r="AK3984" s="20">
        <v>92674305.769999996</v>
      </c>
      <c r="AL3984" s="20">
        <v>97759646.769999996</v>
      </c>
      <c r="AM3984" s="20">
        <v>96221685.969999999</v>
      </c>
      <c r="AN3984" s="20">
        <v>95097246.909999996</v>
      </c>
      <c r="AO3984" s="20">
        <v>94002213.920000002</v>
      </c>
    </row>
    <row r="3985" spans="1:41" ht="14.25" x14ac:dyDescent="0.2">
      <c r="A3985" s="2">
        <v>810202</v>
      </c>
      <c r="B3985" s="3" t="s">
        <v>1037</v>
      </c>
      <c r="C3985" s="9"/>
      <c r="D3985" s="9"/>
      <c r="E3985" s="9"/>
      <c r="F3985" s="9"/>
      <c r="G3985" s="9"/>
      <c r="H3985" s="9"/>
      <c r="I3985" s="9"/>
      <c r="J3985" s="9"/>
      <c r="K3985" s="9"/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9"/>
      <c r="AB3985" s="9"/>
      <c r="AC3985" s="9"/>
      <c r="AD3985" s="9"/>
      <c r="AE3985" s="9"/>
      <c r="AF3985" s="9"/>
      <c r="AG3985" s="9"/>
      <c r="AH3985" s="9"/>
      <c r="AI3985" s="9"/>
      <c r="AJ3985" s="9"/>
      <c r="AK3985" s="9"/>
      <c r="AL3985" s="9"/>
      <c r="AM3985" s="9"/>
      <c r="AN3985" s="9"/>
      <c r="AO3985" s="9"/>
    </row>
    <row r="3986" spans="1:41" ht="14.25" x14ac:dyDescent="0.2">
      <c r="A3986" s="2">
        <v>8103</v>
      </c>
      <c r="B3986" s="3" t="s">
        <v>1038</v>
      </c>
      <c r="C3986" s="9"/>
      <c r="D3986" s="9"/>
      <c r="E3986" s="9"/>
      <c r="F3986" s="9"/>
      <c r="G3986" s="9"/>
      <c r="H3986" s="9"/>
      <c r="I3986" s="9"/>
      <c r="J3986" s="9"/>
      <c r="K3986" s="9"/>
      <c r="L3986" s="9"/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9"/>
      <c r="AB3986" s="9"/>
      <c r="AC3986" s="9"/>
      <c r="AD3986" s="9"/>
      <c r="AE3986" s="9"/>
      <c r="AF3986" s="9"/>
      <c r="AG3986" s="9"/>
      <c r="AH3986" s="9"/>
      <c r="AI3986" s="9"/>
      <c r="AJ3986" s="9"/>
      <c r="AK3986" s="9"/>
      <c r="AL3986" s="9"/>
      <c r="AM3986" s="9"/>
      <c r="AN3986" s="9"/>
      <c r="AO3986" s="9"/>
    </row>
    <row r="3987" spans="1:41" ht="14.25" x14ac:dyDescent="0.2">
      <c r="A3987" s="2">
        <v>810301</v>
      </c>
      <c r="B3987" s="3" t="s">
        <v>1039</v>
      </c>
      <c r="C3987" s="9"/>
      <c r="D3987" s="9"/>
      <c r="E3987" s="9"/>
      <c r="F3987" s="9"/>
      <c r="G3987" s="9"/>
      <c r="H3987" s="9"/>
      <c r="I3987" s="9"/>
      <c r="J3987" s="9"/>
      <c r="K3987" s="9"/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9"/>
      <c r="AB3987" s="9"/>
      <c r="AC3987" s="9"/>
      <c r="AD3987" s="9"/>
      <c r="AE3987" s="9"/>
      <c r="AF3987" s="9"/>
      <c r="AG3987" s="9"/>
      <c r="AH3987" s="9"/>
      <c r="AI3987" s="9"/>
      <c r="AJ3987" s="9"/>
      <c r="AK3987" s="9"/>
      <c r="AL3987" s="9"/>
      <c r="AM3987" s="9"/>
      <c r="AN3987" s="9"/>
      <c r="AO3987" s="9"/>
    </row>
    <row r="3988" spans="1:41" ht="14.25" x14ac:dyDescent="0.2">
      <c r="A3988" s="2">
        <v>810302</v>
      </c>
      <c r="B3988" s="3" t="s">
        <v>1040</v>
      </c>
      <c r="C3988" s="9"/>
      <c r="D3988" s="9"/>
      <c r="E3988" s="9"/>
      <c r="F3988" s="9"/>
      <c r="G3988" s="9"/>
      <c r="H3988" s="9"/>
      <c r="I3988" s="9"/>
      <c r="J3988" s="9"/>
      <c r="K3988" s="9"/>
      <c r="L3988" s="9"/>
      <c r="M3988" s="9"/>
      <c r="N3988" s="9"/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  <c r="AA3988" s="9"/>
      <c r="AB3988" s="9"/>
      <c r="AC3988" s="9"/>
      <c r="AD3988" s="9"/>
      <c r="AE3988" s="9"/>
      <c r="AF3988" s="9"/>
      <c r="AG3988" s="9"/>
      <c r="AH3988" s="9"/>
      <c r="AI3988" s="9"/>
      <c r="AJ3988" s="9"/>
      <c r="AK3988" s="9"/>
      <c r="AL3988" s="9"/>
      <c r="AM3988" s="9"/>
      <c r="AN3988" s="9"/>
      <c r="AO3988" s="9"/>
    </row>
    <row r="3989" spans="1:41" ht="14.25" x14ac:dyDescent="0.2">
      <c r="A3989" s="2">
        <v>810303</v>
      </c>
      <c r="B3989" s="3" t="s">
        <v>1041</v>
      </c>
      <c r="C3989" s="9"/>
      <c r="D3989" s="9"/>
      <c r="E3989" s="9"/>
      <c r="F3989" s="9"/>
      <c r="G3989" s="9"/>
      <c r="H3989" s="9"/>
      <c r="I3989" s="9"/>
      <c r="J3989" s="9"/>
      <c r="K3989" s="9"/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9"/>
      <c r="AD3989" s="9"/>
      <c r="AE3989" s="9"/>
      <c r="AF3989" s="9"/>
      <c r="AG3989" s="9"/>
      <c r="AH3989" s="9"/>
      <c r="AI3989" s="9"/>
      <c r="AJ3989" s="9"/>
      <c r="AK3989" s="9"/>
      <c r="AL3989" s="9"/>
      <c r="AM3989" s="9"/>
      <c r="AN3989" s="9"/>
      <c r="AO3989" s="9"/>
    </row>
    <row r="3990" spans="1:41" ht="14.25" x14ac:dyDescent="0.2">
      <c r="A3990" s="2">
        <v>810304</v>
      </c>
      <c r="B3990" s="3" t="s">
        <v>1042</v>
      </c>
      <c r="C3990" s="9"/>
      <c r="D3990" s="9"/>
      <c r="E3990" s="9"/>
      <c r="F3990" s="9"/>
      <c r="G3990" s="9"/>
      <c r="H3990" s="9"/>
      <c r="I3990" s="9"/>
      <c r="J3990" s="9"/>
      <c r="K3990" s="9"/>
      <c r="L3990" s="9"/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  <c r="AB3990" s="9"/>
      <c r="AC3990" s="9"/>
      <c r="AD3990" s="9"/>
      <c r="AE3990" s="9"/>
      <c r="AF3990" s="9"/>
      <c r="AG3990" s="9"/>
      <c r="AH3990" s="9"/>
      <c r="AI3990" s="9"/>
      <c r="AJ3990" s="9"/>
      <c r="AK3990" s="9"/>
      <c r="AL3990" s="9"/>
      <c r="AM3990" s="9"/>
      <c r="AN3990" s="9"/>
      <c r="AO3990" s="9"/>
    </row>
    <row r="3991" spans="1:41" ht="14.25" x14ac:dyDescent="0.2">
      <c r="A3991" s="2">
        <v>810305</v>
      </c>
      <c r="B3991" s="3" t="s">
        <v>1043</v>
      </c>
      <c r="C3991" s="9"/>
      <c r="D3991" s="9"/>
      <c r="E3991" s="9"/>
      <c r="F3991" s="9"/>
      <c r="G3991" s="9"/>
      <c r="H3991" s="9"/>
      <c r="I3991" s="9"/>
      <c r="J3991" s="9"/>
      <c r="K3991" s="9"/>
      <c r="L3991" s="9"/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9"/>
      <c r="AB3991" s="9"/>
      <c r="AC3991" s="9"/>
      <c r="AD3991" s="9"/>
      <c r="AE3991" s="9"/>
      <c r="AF3991" s="9"/>
      <c r="AG3991" s="9"/>
      <c r="AH3991" s="9"/>
      <c r="AI3991" s="9"/>
      <c r="AJ3991" s="9"/>
      <c r="AK3991" s="9"/>
      <c r="AL3991" s="9"/>
      <c r="AM3991" s="9"/>
      <c r="AN3991" s="9"/>
      <c r="AO3991" s="9"/>
    </row>
    <row r="3992" spans="1:41" ht="14.25" x14ac:dyDescent="0.2">
      <c r="A3992" s="2">
        <v>810309</v>
      </c>
      <c r="B3992" s="3" t="s">
        <v>266</v>
      </c>
      <c r="C3992" s="9"/>
      <c r="D3992" s="9"/>
      <c r="E3992" s="9"/>
      <c r="F3992" s="9"/>
      <c r="G3992" s="9"/>
      <c r="H3992" s="9"/>
      <c r="I3992" s="9"/>
      <c r="J3992" s="9"/>
      <c r="K3992" s="9"/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9"/>
      <c r="AB3992" s="9"/>
      <c r="AC3992" s="9"/>
      <c r="AD3992" s="9"/>
      <c r="AE3992" s="9"/>
      <c r="AF3992" s="9"/>
      <c r="AG3992" s="9"/>
      <c r="AH3992" s="9"/>
      <c r="AI3992" s="9"/>
      <c r="AJ3992" s="9"/>
      <c r="AK3992" s="9"/>
      <c r="AL3992" s="9"/>
      <c r="AM3992" s="9"/>
      <c r="AN3992" s="9"/>
      <c r="AO3992" s="9"/>
    </row>
    <row r="3993" spans="1:41" ht="14.25" x14ac:dyDescent="0.2">
      <c r="A3993" s="2">
        <v>8104</v>
      </c>
      <c r="B3993" s="3" t="s">
        <v>1044</v>
      </c>
      <c r="C3993" s="9"/>
      <c r="D3993" s="9"/>
      <c r="E3993" s="9"/>
      <c r="F3993" s="9"/>
      <c r="G3993" s="9"/>
      <c r="H3993" s="9"/>
      <c r="I3993" s="9"/>
      <c r="J3993" s="9"/>
      <c r="K3993" s="9"/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9"/>
      <c r="AB3993" s="9"/>
      <c r="AC3993" s="9"/>
      <c r="AD3993" s="9"/>
      <c r="AE3993" s="9"/>
      <c r="AF3993" s="9"/>
      <c r="AG3993" s="9"/>
      <c r="AH3993" s="9"/>
      <c r="AI3993" s="9"/>
      <c r="AJ3993" s="9"/>
      <c r="AK3993" s="9"/>
      <c r="AL3993" s="9"/>
      <c r="AM3993" s="9"/>
      <c r="AN3993" s="9"/>
      <c r="AO3993" s="9"/>
    </row>
    <row r="3994" spans="1:41" ht="14.25" x14ac:dyDescent="0.2">
      <c r="A3994" s="2">
        <v>810401</v>
      </c>
      <c r="B3994" s="3" t="s">
        <v>1045</v>
      </c>
      <c r="C3994" s="9"/>
      <c r="D3994" s="9"/>
      <c r="E3994" s="9"/>
      <c r="F3994" s="9"/>
      <c r="G3994" s="9"/>
      <c r="H3994" s="9"/>
      <c r="I3994" s="9"/>
      <c r="J3994" s="9"/>
      <c r="K3994" s="9"/>
      <c r="L3994" s="9"/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  <c r="AE3994" s="9"/>
      <c r="AF3994" s="9"/>
      <c r="AG3994" s="9"/>
      <c r="AH3994" s="9"/>
      <c r="AI3994" s="9"/>
      <c r="AJ3994" s="9"/>
      <c r="AK3994" s="9"/>
      <c r="AL3994" s="9"/>
      <c r="AM3994" s="9"/>
      <c r="AN3994" s="9"/>
      <c r="AO3994" s="9"/>
    </row>
    <row r="3995" spans="1:41" s="15" customFormat="1" ht="14.25" x14ac:dyDescent="0.2">
      <c r="A3995" s="18" t="s">
        <v>2122</v>
      </c>
      <c r="B3995" s="19" t="s">
        <v>2123</v>
      </c>
      <c r="C3995" s="20"/>
      <c r="D3995" s="20"/>
      <c r="E3995" s="20"/>
      <c r="F3995" s="20"/>
      <c r="G3995" s="20"/>
      <c r="H3995" s="20"/>
      <c r="I3995" s="20"/>
      <c r="J3995" s="20"/>
      <c r="K3995" s="20"/>
      <c r="L3995" s="20"/>
      <c r="M3995" s="20">
        <v>0</v>
      </c>
      <c r="N3995" s="20">
        <v>0</v>
      </c>
      <c r="O3995" s="20"/>
      <c r="P3995" s="20"/>
      <c r="Q3995" s="20"/>
      <c r="R3995" s="20"/>
      <c r="S3995" s="20"/>
      <c r="T3995" s="20"/>
      <c r="U3995" s="20"/>
      <c r="V3995" s="20"/>
      <c r="W3995" s="20"/>
      <c r="X3995" s="20"/>
      <c r="Y3995" s="20"/>
      <c r="Z3995" s="20"/>
      <c r="AA3995" s="20"/>
      <c r="AB3995" s="20"/>
      <c r="AC3995" s="20"/>
      <c r="AD3995" s="20"/>
      <c r="AE3995" s="20"/>
      <c r="AF3995" s="20"/>
      <c r="AG3995" s="20"/>
      <c r="AH3995" s="20"/>
      <c r="AI3995" s="20"/>
      <c r="AJ3995" s="20"/>
      <c r="AK3995" s="20"/>
      <c r="AL3995" s="20"/>
      <c r="AM3995" s="20"/>
      <c r="AN3995" s="20"/>
      <c r="AO3995" s="20"/>
    </row>
    <row r="3996" spans="1:41" s="15" customFormat="1" ht="14.25" x14ac:dyDescent="0.2">
      <c r="A3996" s="18" t="s">
        <v>2124</v>
      </c>
      <c r="B3996" s="19" t="s">
        <v>2125</v>
      </c>
      <c r="C3996" s="20">
        <v>1964444.16</v>
      </c>
      <c r="D3996" s="20">
        <v>1988439.68</v>
      </c>
      <c r="E3996" s="20">
        <v>3721600.25</v>
      </c>
      <c r="F3996" s="20">
        <v>3821458.92</v>
      </c>
      <c r="G3996" s="20">
        <v>3955264.54</v>
      </c>
      <c r="H3996" s="20">
        <v>4062638.72</v>
      </c>
      <c r="I3996" s="20">
        <v>4203172.22</v>
      </c>
      <c r="J3996" s="20">
        <v>4357351.78</v>
      </c>
      <c r="K3996" s="20">
        <v>4369591.57</v>
      </c>
      <c r="L3996" s="20">
        <v>4501217.8</v>
      </c>
      <c r="M3996" s="20">
        <v>4596168.2</v>
      </c>
      <c r="N3996" s="20">
        <v>4729159.75</v>
      </c>
      <c r="O3996" s="20">
        <v>4853303.88</v>
      </c>
      <c r="P3996" s="20">
        <v>4956308.45</v>
      </c>
      <c r="Q3996" s="20">
        <v>5097197.8</v>
      </c>
      <c r="R3996" s="20">
        <v>5186069.6399999997</v>
      </c>
      <c r="S3996" s="20">
        <v>5355230.54</v>
      </c>
      <c r="T3996" s="20">
        <v>5437951.3799999999</v>
      </c>
      <c r="U3996" s="20">
        <v>5605683.8499999996</v>
      </c>
      <c r="V3996" s="20">
        <v>5762487.8300000001</v>
      </c>
      <c r="W3996" s="20">
        <v>5887109.7999999998</v>
      </c>
      <c r="X3996" s="20">
        <v>6068454.7800000003</v>
      </c>
      <c r="Y3996" s="20">
        <v>4848214.72</v>
      </c>
      <c r="Z3996" s="20">
        <v>6429220.2800000003</v>
      </c>
      <c r="AA3996" s="20">
        <v>6587441.6799999997</v>
      </c>
      <c r="AB3996" s="20">
        <v>6643602.0199999996</v>
      </c>
      <c r="AC3996" s="20">
        <v>6830987.8399999999</v>
      </c>
      <c r="AD3996" s="20">
        <v>6957837.4000000004</v>
      </c>
      <c r="AE3996" s="20">
        <v>7125001.7300000004</v>
      </c>
      <c r="AF3996" s="20">
        <v>7241510.8799999999</v>
      </c>
      <c r="AG3996" s="20">
        <v>7069750.3899999997</v>
      </c>
      <c r="AH3996" s="20">
        <v>7194072.4000000004</v>
      </c>
      <c r="AI3996" s="20">
        <v>7266465.8399999999</v>
      </c>
      <c r="AJ3996" s="20">
        <v>7398962.0199999996</v>
      </c>
      <c r="AK3996" s="20">
        <v>7511867.8700000001</v>
      </c>
      <c r="AL3996" s="20">
        <v>7567946.2300000004</v>
      </c>
      <c r="AM3996" s="20">
        <v>7690343.21</v>
      </c>
      <c r="AN3996" s="20">
        <v>7735077.6900000004</v>
      </c>
      <c r="AO3996" s="20">
        <v>7854741.5099999998</v>
      </c>
    </row>
    <row r="3997" spans="1:41" ht="14.25" x14ac:dyDescent="0.2">
      <c r="A3997" s="2">
        <v>810403</v>
      </c>
      <c r="B3997" s="3" t="s">
        <v>1046</v>
      </c>
      <c r="C3997" s="9"/>
      <c r="D3997" s="9"/>
      <c r="E3997" s="9"/>
      <c r="F3997" s="9"/>
      <c r="G3997" s="9"/>
      <c r="H3997" s="9"/>
      <c r="I3997" s="9"/>
      <c r="J3997" s="9"/>
      <c r="K3997" s="9"/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9"/>
      <c r="AB3997" s="9"/>
      <c r="AC3997" s="9"/>
      <c r="AD3997" s="9"/>
      <c r="AE3997" s="9"/>
      <c r="AF3997" s="9"/>
      <c r="AG3997" s="9"/>
      <c r="AH3997" s="9"/>
      <c r="AI3997" s="9"/>
      <c r="AJ3997" s="9"/>
      <c r="AK3997" s="9"/>
      <c r="AL3997" s="9"/>
      <c r="AM3997" s="9"/>
      <c r="AN3997" s="9"/>
      <c r="AO3997" s="9"/>
    </row>
    <row r="3998" spans="1:41" ht="14.25" x14ac:dyDescent="0.2">
      <c r="A3998" s="2">
        <v>810404</v>
      </c>
      <c r="B3998" s="3" t="s">
        <v>1047</v>
      </c>
      <c r="C3998" s="9"/>
      <c r="D3998" s="9"/>
      <c r="E3998" s="9"/>
      <c r="F3998" s="9"/>
      <c r="G3998" s="9"/>
      <c r="H3998" s="9"/>
      <c r="I3998" s="9"/>
      <c r="J3998" s="9"/>
      <c r="K3998" s="9"/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  <c r="AB3998" s="9"/>
      <c r="AC3998" s="9"/>
      <c r="AD3998" s="9"/>
      <c r="AE3998" s="9"/>
      <c r="AF3998" s="9"/>
      <c r="AG3998" s="9"/>
      <c r="AH3998" s="9"/>
      <c r="AI3998" s="9"/>
      <c r="AJ3998" s="9"/>
      <c r="AK3998" s="9"/>
      <c r="AL3998" s="9"/>
      <c r="AM3998" s="9"/>
      <c r="AN3998" s="9"/>
      <c r="AO3998" s="9"/>
    </row>
    <row r="3999" spans="1:41" ht="14.25" x14ac:dyDescent="0.2">
      <c r="A3999" s="2">
        <v>810405</v>
      </c>
      <c r="B3999" s="3" t="s">
        <v>1048</v>
      </c>
      <c r="C3999" s="9"/>
      <c r="D3999" s="9"/>
      <c r="E3999" s="9"/>
      <c r="F3999" s="9"/>
      <c r="G3999" s="9"/>
      <c r="H3999" s="9"/>
      <c r="I3999" s="9"/>
      <c r="J3999" s="9"/>
      <c r="K3999" s="9"/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9"/>
      <c r="AB3999" s="9"/>
      <c r="AC3999" s="9"/>
      <c r="AD3999" s="9"/>
      <c r="AE3999" s="9"/>
      <c r="AF3999" s="9"/>
      <c r="AG3999" s="9"/>
      <c r="AH3999" s="9"/>
      <c r="AI3999" s="9"/>
      <c r="AJ3999" s="9"/>
      <c r="AK3999" s="9"/>
      <c r="AL3999" s="9"/>
      <c r="AM3999" s="9"/>
      <c r="AN3999" s="9"/>
      <c r="AO3999" s="9"/>
    </row>
    <row r="4000" spans="1:41" ht="14.25" x14ac:dyDescent="0.2">
      <c r="A4000" s="2">
        <v>810409</v>
      </c>
      <c r="B4000" s="3" t="s">
        <v>1049</v>
      </c>
      <c r="C4000" s="9"/>
      <c r="D4000" s="9"/>
      <c r="E4000" s="9"/>
      <c r="F4000" s="9"/>
      <c r="G4000" s="9"/>
      <c r="H4000" s="9"/>
      <c r="I4000" s="9"/>
      <c r="J4000" s="9"/>
      <c r="K4000" s="9"/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9"/>
      <c r="AB4000" s="9"/>
      <c r="AC4000" s="9"/>
      <c r="AD4000" s="9"/>
      <c r="AE4000" s="9"/>
      <c r="AF4000" s="9"/>
      <c r="AG4000" s="9"/>
      <c r="AH4000" s="9"/>
      <c r="AI4000" s="9"/>
      <c r="AJ4000" s="9"/>
      <c r="AK4000" s="9"/>
      <c r="AL4000" s="9"/>
      <c r="AM4000" s="9"/>
      <c r="AN4000" s="9"/>
      <c r="AO4000" s="9"/>
    </row>
    <row r="4001" spans="1:41" ht="14.25" x14ac:dyDescent="0.2">
      <c r="A4001" s="2">
        <v>8105</v>
      </c>
      <c r="B4001" s="3" t="s">
        <v>1050</v>
      </c>
      <c r="C4001" s="9"/>
      <c r="D4001" s="9"/>
      <c r="E4001" s="9"/>
      <c r="F4001" s="9"/>
      <c r="G4001" s="9"/>
      <c r="H4001" s="9"/>
      <c r="I4001" s="9"/>
      <c r="J4001" s="9"/>
      <c r="K4001" s="9"/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  <c r="AE4001" s="9"/>
      <c r="AF4001" s="9"/>
      <c r="AG4001" s="9"/>
      <c r="AH4001" s="9"/>
      <c r="AI4001" s="9"/>
      <c r="AJ4001" s="9"/>
      <c r="AK4001" s="9"/>
      <c r="AL4001" s="9"/>
      <c r="AM4001" s="9"/>
      <c r="AN4001" s="9"/>
      <c r="AO4001" s="9"/>
    </row>
    <row r="4002" spans="1:41" ht="14.25" x14ac:dyDescent="0.2">
      <c r="A4002" s="2">
        <v>810501</v>
      </c>
      <c r="B4002" s="3" t="s">
        <v>1051</v>
      </c>
      <c r="C4002" s="9"/>
      <c r="D4002" s="9"/>
      <c r="E4002" s="9"/>
      <c r="F4002" s="9"/>
      <c r="G4002" s="9"/>
      <c r="H4002" s="9"/>
      <c r="I4002" s="9"/>
      <c r="J4002" s="9"/>
      <c r="K4002" s="9"/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  <c r="AE4002" s="9"/>
      <c r="AF4002" s="9"/>
      <c r="AG4002" s="9"/>
      <c r="AH4002" s="9"/>
      <c r="AI4002" s="9"/>
      <c r="AJ4002" s="9"/>
      <c r="AK4002" s="9"/>
      <c r="AL4002" s="9"/>
      <c r="AM4002" s="9"/>
      <c r="AN4002" s="9"/>
      <c r="AO4002" s="9"/>
    </row>
    <row r="4003" spans="1:41" ht="14.25" x14ac:dyDescent="0.2">
      <c r="A4003" s="2">
        <v>810502</v>
      </c>
      <c r="B4003" s="3" t="s">
        <v>940</v>
      </c>
      <c r="C4003" s="9"/>
      <c r="D4003" s="9"/>
      <c r="E4003" s="9"/>
      <c r="F4003" s="9"/>
      <c r="G4003" s="9"/>
      <c r="H4003" s="9"/>
      <c r="I4003" s="9"/>
      <c r="J4003" s="9"/>
      <c r="K4003" s="9"/>
      <c r="L4003" s="9"/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9"/>
      <c r="AB4003" s="9"/>
      <c r="AC4003" s="9"/>
      <c r="AD4003" s="9"/>
      <c r="AE4003" s="9"/>
      <c r="AF4003" s="9"/>
      <c r="AG4003" s="9"/>
      <c r="AH4003" s="9"/>
      <c r="AI4003" s="9"/>
      <c r="AJ4003" s="9"/>
      <c r="AK4003" s="9"/>
      <c r="AL4003" s="9"/>
      <c r="AM4003" s="9"/>
      <c r="AN4003" s="9"/>
      <c r="AO4003" s="9"/>
    </row>
    <row r="4004" spans="1:41" ht="14.25" x14ac:dyDescent="0.2">
      <c r="A4004" s="2">
        <v>810503</v>
      </c>
      <c r="B4004" s="3" t="s">
        <v>1052</v>
      </c>
      <c r="C4004" s="9"/>
      <c r="D4004" s="9"/>
      <c r="E4004" s="9"/>
      <c r="F4004" s="9"/>
      <c r="G4004" s="9"/>
      <c r="H4004" s="9"/>
      <c r="I4004" s="9"/>
      <c r="J4004" s="9"/>
      <c r="K4004" s="9"/>
      <c r="L4004" s="9"/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9"/>
      <c r="AB4004" s="9"/>
      <c r="AC4004" s="9"/>
      <c r="AD4004" s="9"/>
      <c r="AE4004" s="9"/>
      <c r="AF4004" s="9"/>
      <c r="AG4004" s="9"/>
      <c r="AH4004" s="9"/>
      <c r="AI4004" s="9"/>
      <c r="AJ4004" s="9"/>
      <c r="AK4004" s="9"/>
      <c r="AL4004" s="9"/>
      <c r="AM4004" s="9"/>
      <c r="AN4004" s="9"/>
      <c r="AO4004" s="9"/>
    </row>
    <row r="4005" spans="1:41" ht="14.25" x14ac:dyDescent="0.2">
      <c r="A4005" s="2">
        <v>810504</v>
      </c>
      <c r="B4005" s="3" t="s">
        <v>1053</v>
      </c>
      <c r="C4005" s="9"/>
      <c r="D4005" s="9"/>
      <c r="E4005" s="9"/>
      <c r="F4005" s="9"/>
      <c r="G4005" s="9"/>
      <c r="H4005" s="9"/>
      <c r="I4005" s="9"/>
      <c r="J4005" s="9"/>
      <c r="K4005" s="9"/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9"/>
      <c r="AB4005" s="9"/>
      <c r="AC4005" s="9"/>
      <c r="AD4005" s="9"/>
      <c r="AE4005" s="9"/>
      <c r="AF4005" s="9"/>
      <c r="AG4005" s="9"/>
      <c r="AH4005" s="9"/>
      <c r="AI4005" s="9"/>
      <c r="AJ4005" s="9"/>
      <c r="AK4005" s="9"/>
      <c r="AL4005" s="9"/>
      <c r="AM4005" s="9"/>
      <c r="AN4005" s="9"/>
      <c r="AO4005" s="9"/>
    </row>
    <row r="4006" spans="1:41" ht="14.25" x14ac:dyDescent="0.2">
      <c r="A4006" s="2">
        <v>810506</v>
      </c>
      <c r="B4006" s="3" t="s">
        <v>1054</v>
      </c>
      <c r="C4006" s="9"/>
      <c r="D4006" s="9"/>
      <c r="E4006" s="9"/>
      <c r="F4006" s="9"/>
      <c r="G4006" s="9"/>
      <c r="H4006" s="9"/>
      <c r="I4006" s="9"/>
      <c r="J4006" s="9"/>
      <c r="K4006" s="9"/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  <c r="AB4006" s="9"/>
      <c r="AC4006" s="9"/>
      <c r="AD4006" s="9"/>
      <c r="AE4006" s="9"/>
      <c r="AF4006" s="9"/>
      <c r="AG4006" s="9"/>
      <c r="AH4006" s="9"/>
      <c r="AI4006" s="9"/>
      <c r="AJ4006" s="9"/>
      <c r="AK4006" s="9"/>
      <c r="AL4006" s="9"/>
      <c r="AM4006" s="9"/>
      <c r="AN4006" s="9"/>
      <c r="AO4006" s="9"/>
    </row>
    <row r="4007" spans="1:41" ht="14.25" x14ac:dyDescent="0.2">
      <c r="A4007" s="2">
        <v>81050601</v>
      </c>
      <c r="B4007" s="3" t="s">
        <v>907</v>
      </c>
      <c r="C4007" s="9"/>
      <c r="D4007" s="9"/>
      <c r="E4007" s="9"/>
      <c r="F4007" s="9"/>
      <c r="G4007" s="9"/>
      <c r="H4007" s="9"/>
      <c r="I4007" s="9"/>
      <c r="J4007" s="9"/>
      <c r="K4007" s="9"/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  <c r="AB4007" s="9"/>
      <c r="AC4007" s="9"/>
      <c r="AD4007" s="9"/>
      <c r="AE4007" s="9"/>
      <c r="AF4007" s="9"/>
      <c r="AG4007" s="9"/>
      <c r="AH4007" s="9"/>
      <c r="AI4007" s="9"/>
      <c r="AJ4007" s="9"/>
      <c r="AK4007" s="9"/>
      <c r="AL4007" s="9"/>
      <c r="AM4007" s="9"/>
      <c r="AN4007" s="9"/>
      <c r="AO4007" s="9"/>
    </row>
    <row r="4008" spans="1:41" ht="14.25" x14ac:dyDescent="0.2">
      <c r="A4008" s="2">
        <v>8105060102</v>
      </c>
      <c r="B4008" s="3" t="s">
        <v>94</v>
      </c>
      <c r="C4008" s="9"/>
      <c r="D4008" s="9"/>
      <c r="E4008" s="9"/>
      <c r="F4008" s="9"/>
      <c r="G4008" s="9"/>
      <c r="H4008" s="9"/>
      <c r="I4008" s="9"/>
      <c r="J4008" s="9"/>
      <c r="K4008" s="9"/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9"/>
      <c r="AF4008" s="9"/>
      <c r="AG4008" s="9"/>
      <c r="AH4008" s="9"/>
      <c r="AI4008" s="9"/>
      <c r="AJ4008" s="9"/>
      <c r="AK4008" s="9"/>
      <c r="AL4008" s="9"/>
      <c r="AM4008" s="9"/>
      <c r="AN4008" s="9"/>
      <c r="AO4008" s="9"/>
    </row>
    <row r="4009" spans="1:41" ht="14.25" x14ac:dyDescent="0.2">
      <c r="A4009" s="2">
        <v>8105060103</v>
      </c>
      <c r="B4009" s="3" t="s">
        <v>120</v>
      </c>
      <c r="C4009" s="9"/>
      <c r="D4009" s="9"/>
      <c r="E4009" s="9"/>
      <c r="F4009" s="9"/>
      <c r="G4009" s="9"/>
      <c r="H4009" s="9"/>
      <c r="I4009" s="9"/>
      <c r="J4009" s="9"/>
      <c r="K4009" s="9"/>
      <c r="L4009" s="9"/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9"/>
      <c r="AB4009" s="9"/>
      <c r="AC4009" s="9"/>
      <c r="AD4009" s="9"/>
      <c r="AE4009" s="9"/>
      <c r="AF4009" s="9"/>
      <c r="AG4009" s="9"/>
      <c r="AH4009" s="9"/>
      <c r="AI4009" s="9"/>
      <c r="AJ4009" s="9"/>
      <c r="AK4009" s="9"/>
      <c r="AL4009" s="9"/>
      <c r="AM4009" s="9"/>
      <c r="AN4009" s="9"/>
      <c r="AO4009" s="9"/>
    </row>
    <row r="4010" spans="1:41" ht="14.25" x14ac:dyDescent="0.2">
      <c r="A4010" s="2">
        <v>8105060104</v>
      </c>
      <c r="B4010" s="3" t="s">
        <v>130</v>
      </c>
      <c r="C4010" s="9"/>
      <c r="D4010" s="9"/>
      <c r="E4010" s="9"/>
      <c r="F4010" s="9"/>
      <c r="G4010" s="9"/>
      <c r="H4010" s="9"/>
      <c r="I4010" s="9"/>
      <c r="J4010" s="9"/>
      <c r="K4010" s="9"/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  <c r="AB4010" s="9"/>
      <c r="AC4010" s="9"/>
      <c r="AD4010" s="9"/>
      <c r="AE4010" s="9"/>
      <c r="AF4010" s="9"/>
      <c r="AG4010" s="9"/>
      <c r="AH4010" s="9"/>
      <c r="AI4010" s="9"/>
      <c r="AJ4010" s="9"/>
      <c r="AK4010" s="9"/>
      <c r="AL4010" s="9"/>
      <c r="AM4010" s="9"/>
      <c r="AN4010" s="9"/>
      <c r="AO4010" s="9"/>
    </row>
    <row r="4011" spans="1:41" x14ac:dyDescent="0.2">
      <c r="A4011" s="5">
        <v>8105060107</v>
      </c>
      <c r="B4011" s="6" t="s">
        <v>138</v>
      </c>
      <c r="C4011" s="12"/>
      <c r="D4011" s="12"/>
      <c r="E4011" s="12"/>
      <c r="F4011" s="12"/>
      <c r="G4011" s="12"/>
      <c r="H4011" s="12"/>
      <c r="I4011" s="12"/>
      <c r="J4011" s="12"/>
      <c r="K4011" s="12"/>
      <c r="L4011" s="12"/>
      <c r="M4011" s="12"/>
      <c r="N4011" s="12"/>
      <c r="O4011" s="12"/>
      <c r="P4011" s="12"/>
      <c r="Q4011" s="12"/>
      <c r="R4011" s="12"/>
      <c r="S4011" s="12"/>
      <c r="T4011" s="12"/>
      <c r="U4011" s="12"/>
      <c r="V4011" s="12"/>
      <c r="W4011" s="12"/>
      <c r="X4011" s="12"/>
      <c r="Y4011" s="12"/>
      <c r="Z4011" s="12"/>
      <c r="AA4011" s="12"/>
      <c r="AB4011" s="12"/>
      <c r="AC4011" s="12"/>
      <c r="AD4011" s="12"/>
      <c r="AE4011" s="12"/>
      <c r="AF4011" s="12"/>
      <c r="AG4011" s="12"/>
      <c r="AH4011" s="12"/>
      <c r="AI4011" s="12"/>
      <c r="AJ4011" s="12"/>
      <c r="AK4011" s="12"/>
      <c r="AL4011" s="12"/>
      <c r="AM4011" s="12"/>
      <c r="AN4011" s="12"/>
      <c r="AO4011" s="12"/>
    </row>
    <row r="4012" spans="1:41" ht="14.25" x14ac:dyDescent="0.2">
      <c r="A4012" s="2">
        <v>8105060109</v>
      </c>
      <c r="B4012" s="3" t="s">
        <v>1055</v>
      </c>
      <c r="C4012" s="9"/>
      <c r="D4012" s="9"/>
      <c r="E4012" s="9"/>
      <c r="F4012" s="9"/>
      <c r="G4012" s="9"/>
      <c r="H4012" s="9"/>
      <c r="I4012" s="9"/>
      <c r="J4012" s="9"/>
      <c r="K4012" s="9"/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  <c r="AE4012" s="9"/>
      <c r="AF4012" s="9"/>
      <c r="AG4012" s="9"/>
      <c r="AH4012" s="9"/>
      <c r="AI4012" s="9"/>
      <c r="AJ4012" s="9"/>
      <c r="AK4012" s="9"/>
      <c r="AL4012" s="9"/>
      <c r="AM4012" s="9"/>
      <c r="AN4012" s="9"/>
      <c r="AO4012" s="9"/>
    </row>
    <row r="4013" spans="1:41" ht="14.25" x14ac:dyDescent="0.2">
      <c r="A4013" s="2">
        <v>8105060110</v>
      </c>
      <c r="B4013" s="3" t="s">
        <v>162</v>
      </c>
      <c r="C4013" s="9"/>
      <c r="D4013" s="9"/>
      <c r="E4013" s="9"/>
      <c r="F4013" s="9"/>
      <c r="G4013" s="9"/>
      <c r="H4013" s="9"/>
      <c r="I4013" s="9"/>
      <c r="J4013" s="9"/>
      <c r="K4013" s="9"/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  <c r="AB4013" s="9"/>
      <c r="AC4013" s="9"/>
      <c r="AD4013" s="9"/>
      <c r="AE4013" s="9"/>
      <c r="AF4013" s="9"/>
      <c r="AG4013" s="9"/>
      <c r="AH4013" s="9"/>
      <c r="AI4013" s="9"/>
      <c r="AJ4013" s="9"/>
      <c r="AK4013" s="9"/>
      <c r="AL4013" s="9"/>
      <c r="AM4013" s="9"/>
      <c r="AN4013" s="9"/>
      <c r="AO4013" s="9"/>
    </row>
    <row r="4014" spans="1:41" ht="14.25" x14ac:dyDescent="0.2">
      <c r="A4014" s="2">
        <v>8105060111</v>
      </c>
      <c r="B4014" s="3" t="s">
        <v>172</v>
      </c>
      <c r="C4014" s="9"/>
      <c r="D4014" s="9"/>
      <c r="E4014" s="9"/>
      <c r="F4014" s="9"/>
      <c r="G4014" s="9"/>
      <c r="H4014" s="9"/>
      <c r="I4014" s="9"/>
      <c r="J4014" s="9"/>
      <c r="K4014" s="9"/>
      <c r="L4014" s="9"/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9"/>
      <c r="AD4014" s="9"/>
      <c r="AE4014" s="9"/>
      <c r="AF4014" s="9"/>
      <c r="AG4014" s="9"/>
      <c r="AH4014" s="9"/>
      <c r="AI4014" s="9"/>
      <c r="AJ4014" s="9"/>
      <c r="AK4014" s="9"/>
      <c r="AL4014" s="9"/>
      <c r="AM4014" s="9"/>
      <c r="AN4014" s="9"/>
      <c r="AO4014" s="9"/>
    </row>
    <row r="4015" spans="1:41" ht="14.25" x14ac:dyDescent="0.2">
      <c r="A4015" s="2">
        <v>8105060112</v>
      </c>
      <c r="B4015" s="3" t="s">
        <v>174</v>
      </c>
      <c r="C4015" s="9"/>
      <c r="D4015" s="9"/>
      <c r="E4015" s="9"/>
      <c r="F4015" s="9"/>
      <c r="G4015" s="9"/>
      <c r="H4015" s="9"/>
      <c r="I4015" s="9"/>
      <c r="J4015" s="9"/>
      <c r="K4015" s="9"/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9"/>
      <c r="AB4015" s="9"/>
      <c r="AC4015" s="9"/>
      <c r="AD4015" s="9"/>
      <c r="AE4015" s="9"/>
      <c r="AF4015" s="9"/>
      <c r="AG4015" s="9"/>
      <c r="AH4015" s="9"/>
      <c r="AI4015" s="9"/>
      <c r="AJ4015" s="9"/>
      <c r="AK4015" s="9"/>
      <c r="AL4015" s="9"/>
      <c r="AM4015" s="9"/>
      <c r="AN4015" s="9"/>
      <c r="AO4015" s="9"/>
    </row>
    <row r="4016" spans="1:41" ht="14.25" x14ac:dyDescent="0.2">
      <c r="A4016" s="2">
        <v>8105060113</v>
      </c>
      <c r="B4016" s="3" t="s">
        <v>175</v>
      </c>
      <c r="C4016" s="9"/>
      <c r="D4016" s="9"/>
      <c r="E4016" s="9"/>
      <c r="F4016" s="9"/>
      <c r="G4016" s="9"/>
      <c r="H4016" s="9"/>
      <c r="I4016" s="9"/>
      <c r="J4016" s="9"/>
      <c r="K4016" s="9"/>
      <c r="L4016" s="9"/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9"/>
      <c r="AB4016" s="9"/>
      <c r="AC4016" s="9"/>
      <c r="AD4016" s="9"/>
      <c r="AE4016" s="9"/>
      <c r="AF4016" s="9"/>
      <c r="AG4016" s="9"/>
      <c r="AH4016" s="9"/>
      <c r="AI4016" s="9"/>
      <c r="AJ4016" s="9"/>
      <c r="AK4016" s="9"/>
      <c r="AL4016" s="9"/>
      <c r="AM4016" s="9"/>
      <c r="AN4016" s="9"/>
      <c r="AO4016" s="9"/>
    </row>
    <row r="4017" spans="1:41" ht="14.25" x14ac:dyDescent="0.2">
      <c r="A4017" s="2">
        <v>81050602</v>
      </c>
      <c r="B4017" s="3" t="s">
        <v>1056</v>
      </c>
      <c r="C4017" s="9"/>
      <c r="D4017" s="9"/>
      <c r="E4017" s="9"/>
      <c r="F4017" s="9"/>
      <c r="G4017" s="9"/>
      <c r="H4017" s="9"/>
      <c r="I4017" s="9"/>
      <c r="J4017" s="9"/>
      <c r="K4017" s="9"/>
      <c r="L4017" s="9"/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9"/>
      <c r="AB4017" s="9"/>
      <c r="AC4017" s="9"/>
      <c r="AD4017" s="9"/>
      <c r="AE4017" s="9"/>
      <c r="AF4017" s="9"/>
      <c r="AG4017" s="9"/>
      <c r="AH4017" s="9"/>
      <c r="AI4017" s="9"/>
      <c r="AJ4017" s="9"/>
      <c r="AK4017" s="9"/>
      <c r="AL4017" s="9"/>
      <c r="AM4017" s="9"/>
      <c r="AN4017" s="9"/>
      <c r="AO4017" s="9"/>
    </row>
    <row r="4018" spans="1:41" ht="14.25" x14ac:dyDescent="0.2">
      <c r="A4018" s="2">
        <v>8105060202</v>
      </c>
      <c r="B4018" s="3" t="s">
        <v>94</v>
      </c>
      <c r="C4018" s="9"/>
      <c r="D4018" s="9"/>
      <c r="E4018" s="9"/>
      <c r="F4018" s="9"/>
      <c r="G4018" s="9"/>
      <c r="H4018" s="9"/>
      <c r="I4018" s="9"/>
      <c r="J4018" s="9"/>
      <c r="K4018" s="9"/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9"/>
      <c r="AC4018" s="9"/>
      <c r="AD4018" s="9"/>
      <c r="AE4018" s="9"/>
      <c r="AF4018" s="9"/>
      <c r="AG4018" s="9"/>
      <c r="AH4018" s="9"/>
      <c r="AI4018" s="9"/>
      <c r="AJ4018" s="9"/>
      <c r="AK4018" s="9"/>
      <c r="AL4018" s="9"/>
      <c r="AM4018" s="9"/>
      <c r="AN4018" s="9"/>
      <c r="AO4018" s="9"/>
    </row>
    <row r="4019" spans="1:41" ht="14.25" x14ac:dyDescent="0.2">
      <c r="A4019" s="2">
        <v>8105060203</v>
      </c>
      <c r="B4019" s="3" t="s">
        <v>120</v>
      </c>
      <c r="C4019" s="9"/>
      <c r="D4019" s="9"/>
      <c r="E4019" s="9"/>
      <c r="F4019" s="9"/>
      <c r="G4019" s="9"/>
      <c r="H4019" s="9"/>
      <c r="I4019" s="9"/>
      <c r="J4019" s="9"/>
      <c r="K4019" s="9"/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  <c r="AB4019" s="9"/>
      <c r="AC4019" s="9"/>
      <c r="AD4019" s="9"/>
      <c r="AE4019" s="9"/>
      <c r="AF4019" s="9"/>
      <c r="AG4019" s="9"/>
      <c r="AH4019" s="9"/>
      <c r="AI4019" s="9"/>
      <c r="AJ4019" s="9"/>
      <c r="AK4019" s="9"/>
      <c r="AL4019" s="9"/>
      <c r="AM4019" s="9"/>
      <c r="AN4019" s="9"/>
      <c r="AO4019" s="9"/>
    </row>
    <row r="4020" spans="1:41" ht="14.25" x14ac:dyDescent="0.2">
      <c r="A4020" s="2">
        <v>8105060204</v>
      </c>
      <c r="B4020" s="3" t="s">
        <v>130</v>
      </c>
      <c r="C4020" s="9"/>
      <c r="D4020" s="9"/>
      <c r="E4020" s="9"/>
      <c r="F4020" s="9"/>
      <c r="G4020" s="9"/>
      <c r="H4020" s="9"/>
      <c r="I4020" s="9"/>
      <c r="J4020" s="9"/>
      <c r="K4020" s="9"/>
      <c r="L4020" s="9"/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  <c r="AB4020" s="9"/>
      <c r="AC4020" s="9"/>
      <c r="AD4020" s="9"/>
      <c r="AE4020" s="9"/>
      <c r="AF4020" s="9"/>
      <c r="AG4020" s="9"/>
      <c r="AH4020" s="9"/>
      <c r="AI4020" s="9"/>
      <c r="AJ4020" s="9"/>
      <c r="AK4020" s="9"/>
      <c r="AL4020" s="9"/>
      <c r="AM4020" s="9"/>
      <c r="AN4020" s="9"/>
      <c r="AO4020" s="9"/>
    </row>
    <row r="4021" spans="1:41" x14ac:dyDescent="0.2">
      <c r="A4021" s="5">
        <v>8105060207</v>
      </c>
      <c r="B4021" s="6" t="s">
        <v>138</v>
      </c>
      <c r="C4021" s="12"/>
      <c r="D4021" s="12"/>
      <c r="E4021" s="12"/>
      <c r="F4021" s="12"/>
      <c r="G4021" s="12"/>
      <c r="H4021" s="12"/>
      <c r="I4021" s="12"/>
      <c r="J4021" s="12"/>
      <c r="K4021" s="12"/>
      <c r="L4021" s="12"/>
      <c r="M4021" s="12"/>
      <c r="N4021" s="12"/>
      <c r="O4021" s="12"/>
      <c r="P4021" s="12"/>
      <c r="Q4021" s="12"/>
      <c r="R4021" s="12"/>
      <c r="S4021" s="12"/>
      <c r="T4021" s="12"/>
      <c r="U4021" s="12"/>
      <c r="V4021" s="12"/>
      <c r="W4021" s="12"/>
      <c r="X4021" s="12"/>
      <c r="Y4021" s="12"/>
      <c r="Z4021" s="12"/>
      <c r="AA4021" s="12"/>
      <c r="AB4021" s="12"/>
      <c r="AC4021" s="12"/>
      <c r="AD4021" s="12"/>
      <c r="AE4021" s="12"/>
      <c r="AF4021" s="12"/>
      <c r="AG4021" s="12"/>
      <c r="AH4021" s="12"/>
      <c r="AI4021" s="12"/>
      <c r="AJ4021" s="12"/>
      <c r="AK4021" s="12"/>
      <c r="AL4021" s="12"/>
      <c r="AM4021" s="12"/>
      <c r="AN4021" s="12"/>
      <c r="AO4021" s="12"/>
    </row>
    <row r="4022" spans="1:41" ht="14.25" x14ac:dyDescent="0.2">
      <c r="A4022" s="2">
        <v>8105060209</v>
      </c>
      <c r="B4022" s="3" t="s">
        <v>1055</v>
      </c>
      <c r="C4022" s="9"/>
      <c r="D4022" s="9"/>
      <c r="E4022" s="9"/>
      <c r="F4022" s="9"/>
      <c r="G4022" s="9"/>
      <c r="H4022" s="9"/>
      <c r="I4022" s="9"/>
      <c r="J4022" s="9"/>
      <c r="K4022" s="9"/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9"/>
      <c r="AB4022" s="9"/>
      <c r="AC4022" s="9"/>
      <c r="AD4022" s="9"/>
      <c r="AE4022" s="9"/>
      <c r="AF4022" s="9"/>
      <c r="AG4022" s="9"/>
      <c r="AH4022" s="9"/>
      <c r="AI4022" s="9"/>
      <c r="AJ4022" s="9"/>
      <c r="AK4022" s="9"/>
      <c r="AL4022" s="9"/>
      <c r="AM4022" s="9"/>
      <c r="AN4022" s="9"/>
      <c r="AO4022" s="9"/>
    </row>
    <row r="4023" spans="1:41" ht="14.25" x14ac:dyDescent="0.2">
      <c r="A4023" s="2">
        <v>8105060210</v>
      </c>
      <c r="B4023" s="3" t="s">
        <v>162</v>
      </c>
      <c r="C4023" s="9"/>
      <c r="D4023" s="9"/>
      <c r="E4023" s="9"/>
      <c r="F4023" s="9"/>
      <c r="G4023" s="9"/>
      <c r="H4023" s="9"/>
      <c r="I4023" s="9"/>
      <c r="J4023" s="9"/>
      <c r="K4023" s="9"/>
      <c r="L4023" s="9"/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9"/>
      <c r="AB4023" s="9"/>
      <c r="AC4023" s="9"/>
      <c r="AD4023" s="9"/>
      <c r="AE4023" s="9"/>
      <c r="AF4023" s="9"/>
      <c r="AG4023" s="9"/>
      <c r="AH4023" s="9"/>
      <c r="AI4023" s="9"/>
      <c r="AJ4023" s="9"/>
      <c r="AK4023" s="9"/>
      <c r="AL4023" s="9"/>
      <c r="AM4023" s="9"/>
      <c r="AN4023" s="9"/>
      <c r="AO4023" s="9"/>
    </row>
    <row r="4024" spans="1:41" ht="14.25" x14ac:dyDescent="0.2">
      <c r="A4024" s="2">
        <v>8105060211</v>
      </c>
      <c r="B4024" s="3" t="s">
        <v>172</v>
      </c>
      <c r="C4024" s="9"/>
      <c r="D4024" s="9"/>
      <c r="E4024" s="9"/>
      <c r="F4024" s="9"/>
      <c r="G4024" s="9"/>
      <c r="H4024" s="9"/>
      <c r="I4024" s="9"/>
      <c r="J4024" s="9"/>
      <c r="K4024" s="9"/>
      <c r="L4024" s="9"/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  <c r="AB4024" s="9"/>
      <c r="AC4024" s="9"/>
      <c r="AD4024" s="9"/>
      <c r="AE4024" s="9"/>
      <c r="AF4024" s="9"/>
      <c r="AG4024" s="9"/>
      <c r="AH4024" s="9"/>
      <c r="AI4024" s="9"/>
      <c r="AJ4024" s="9"/>
      <c r="AK4024" s="9"/>
      <c r="AL4024" s="9"/>
      <c r="AM4024" s="9"/>
      <c r="AN4024" s="9"/>
      <c r="AO4024" s="9"/>
    </row>
    <row r="4025" spans="1:41" ht="14.25" x14ac:dyDescent="0.2">
      <c r="A4025" s="2">
        <v>8105060212</v>
      </c>
      <c r="B4025" s="3" t="s">
        <v>174</v>
      </c>
      <c r="C4025" s="9"/>
      <c r="D4025" s="9"/>
      <c r="E4025" s="9"/>
      <c r="F4025" s="9"/>
      <c r="G4025" s="9"/>
      <c r="H4025" s="9"/>
      <c r="I4025" s="9"/>
      <c r="J4025" s="9"/>
      <c r="K4025" s="9"/>
      <c r="L4025" s="9"/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  <c r="AB4025" s="9"/>
      <c r="AC4025" s="9"/>
      <c r="AD4025" s="9"/>
      <c r="AE4025" s="9"/>
      <c r="AF4025" s="9"/>
      <c r="AG4025" s="9"/>
      <c r="AH4025" s="9"/>
      <c r="AI4025" s="9"/>
      <c r="AJ4025" s="9"/>
      <c r="AK4025" s="9"/>
      <c r="AL4025" s="9"/>
      <c r="AM4025" s="9"/>
      <c r="AN4025" s="9"/>
      <c r="AO4025" s="9"/>
    </row>
    <row r="4026" spans="1:41" ht="14.25" x14ac:dyDescent="0.2">
      <c r="A4026" s="2">
        <v>8105060213</v>
      </c>
      <c r="B4026" s="3" t="s">
        <v>175</v>
      </c>
      <c r="C4026" s="9"/>
      <c r="D4026" s="9"/>
      <c r="E4026" s="9"/>
      <c r="F4026" s="9"/>
      <c r="G4026" s="9"/>
      <c r="H4026" s="9"/>
      <c r="I4026" s="9"/>
      <c r="J4026" s="9"/>
      <c r="K4026" s="9"/>
      <c r="L4026" s="9"/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  <c r="AB4026" s="9"/>
      <c r="AC4026" s="9"/>
      <c r="AD4026" s="9"/>
      <c r="AE4026" s="9"/>
      <c r="AF4026" s="9"/>
      <c r="AG4026" s="9"/>
      <c r="AH4026" s="9"/>
      <c r="AI4026" s="9"/>
      <c r="AJ4026" s="9"/>
      <c r="AK4026" s="9"/>
      <c r="AL4026" s="9"/>
      <c r="AM4026" s="9"/>
      <c r="AN4026" s="9"/>
      <c r="AO4026" s="9"/>
    </row>
    <row r="4027" spans="1:41" ht="14.25" x14ac:dyDescent="0.2">
      <c r="A4027" s="2">
        <v>810509</v>
      </c>
      <c r="B4027" s="3" t="s">
        <v>1057</v>
      </c>
      <c r="C4027" s="9"/>
      <c r="D4027" s="9"/>
      <c r="E4027" s="9"/>
      <c r="F4027" s="9"/>
      <c r="G4027" s="9"/>
      <c r="H4027" s="9"/>
      <c r="I4027" s="9"/>
      <c r="J4027" s="9"/>
      <c r="K4027" s="9"/>
      <c r="L4027" s="9"/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9"/>
      <c r="AB4027" s="9"/>
      <c r="AC4027" s="9"/>
      <c r="AD4027" s="9"/>
      <c r="AE4027" s="9"/>
      <c r="AF4027" s="9"/>
      <c r="AG4027" s="9"/>
      <c r="AH4027" s="9"/>
      <c r="AI4027" s="9"/>
      <c r="AJ4027" s="9"/>
      <c r="AK4027" s="9"/>
      <c r="AL4027" s="9"/>
      <c r="AM4027" s="9"/>
      <c r="AN4027" s="9"/>
      <c r="AO4027" s="9"/>
    </row>
    <row r="4028" spans="1:41" ht="14.25" x14ac:dyDescent="0.2">
      <c r="A4028" s="2">
        <v>8107</v>
      </c>
      <c r="B4028" s="3" t="s">
        <v>1058</v>
      </c>
      <c r="C4028" s="9"/>
      <c r="D4028" s="9"/>
      <c r="E4028" s="9"/>
      <c r="F4028" s="9"/>
      <c r="G4028" s="9"/>
      <c r="H4028" s="9"/>
      <c r="I4028" s="9"/>
      <c r="J4028" s="9"/>
      <c r="K4028" s="9"/>
      <c r="L4028" s="9"/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9"/>
      <c r="AB4028" s="9"/>
      <c r="AC4028" s="9"/>
      <c r="AD4028" s="9"/>
      <c r="AE4028" s="9"/>
      <c r="AF4028" s="9"/>
      <c r="AG4028" s="9"/>
      <c r="AH4028" s="9"/>
      <c r="AI4028" s="9"/>
      <c r="AJ4028" s="9"/>
      <c r="AK4028" s="9"/>
      <c r="AL4028" s="9"/>
      <c r="AM4028" s="9"/>
      <c r="AN4028" s="9"/>
      <c r="AO4028" s="9"/>
    </row>
    <row r="4029" spans="1:41" ht="14.25" x14ac:dyDescent="0.2">
      <c r="A4029" s="2">
        <v>810701</v>
      </c>
      <c r="B4029" s="3" t="s">
        <v>1059</v>
      </c>
      <c r="C4029" s="9"/>
      <c r="D4029" s="9"/>
      <c r="E4029" s="9"/>
      <c r="F4029" s="9"/>
      <c r="G4029" s="9"/>
      <c r="H4029" s="9"/>
      <c r="I4029" s="9"/>
      <c r="J4029" s="9"/>
      <c r="K4029" s="9"/>
      <c r="L4029" s="9"/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9"/>
      <c r="AB4029" s="9"/>
      <c r="AC4029" s="9"/>
      <c r="AD4029" s="9"/>
      <c r="AE4029" s="9"/>
      <c r="AF4029" s="9"/>
      <c r="AG4029" s="9"/>
      <c r="AH4029" s="9"/>
      <c r="AI4029" s="9"/>
      <c r="AJ4029" s="9"/>
      <c r="AK4029" s="9"/>
      <c r="AL4029" s="9"/>
      <c r="AM4029" s="9"/>
      <c r="AN4029" s="9"/>
      <c r="AO4029" s="9"/>
    </row>
    <row r="4030" spans="1:41" ht="14.25" x14ac:dyDescent="0.2">
      <c r="A4030" s="2">
        <v>810703</v>
      </c>
      <c r="B4030" s="3" t="s">
        <v>685</v>
      </c>
      <c r="C4030" s="9"/>
      <c r="D4030" s="9"/>
      <c r="E4030" s="9"/>
      <c r="F4030" s="9"/>
      <c r="G4030" s="9"/>
      <c r="H4030" s="9"/>
      <c r="I4030" s="9"/>
      <c r="J4030" s="9"/>
      <c r="K4030" s="9"/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9"/>
      <c r="AD4030" s="9"/>
      <c r="AE4030" s="9"/>
      <c r="AF4030" s="9"/>
      <c r="AG4030" s="9"/>
      <c r="AH4030" s="9"/>
      <c r="AI4030" s="9"/>
      <c r="AJ4030" s="9"/>
      <c r="AK4030" s="9"/>
      <c r="AL4030" s="9"/>
      <c r="AM4030" s="9"/>
      <c r="AN4030" s="9"/>
      <c r="AO4030" s="9"/>
    </row>
    <row r="4031" spans="1:41" ht="14.25" x14ac:dyDescent="0.2">
      <c r="A4031" s="2">
        <v>810704</v>
      </c>
      <c r="B4031" s="3" t="s">
        <v>907</v>
      </c>
      <c r="C4031" s="9"/>
      <c r="D4031" s="9"/>
      <c r="E4031" s="9"/>
      <c r="F4031" s="9"/>
      <c r="G4031" s="9"/>
      <c r="H4031" s="9"/>
      <c r="I4031" s="9"/>
      <c r="J4031" s="9"/>
      <c r="K4031" s="9"/>
      <c r="L4031" s="9"/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  <c r="AB4031" s="9"/>
      <c r="AC4031" s="9"/>
      <c r="AD4031" s="9"/>
      <c r="AE4031" s="9"/>
      <c r="AF4031" s="9"/>
      <c r="AG4031" s="9"/>
      <c r="AH4031" s="9"/>
      <c r="AI4031" s="9"/>
      <c r="AJ4031" s="9"/>
      <c r="AK4031" s="9"/>
      <c r="AL4031" s="9"/>
      <c r="AM4031" s="9"/>
      <c r="AN4031" s="9"/>
      <c r="AO4031" s="9"/>
    </row>
    <row r="4032" spans="1:41" ht="14.25" x14ac:dyDescent="0.2">
      <c r="A4032" s="2">
        <v>810709</v>
      </c>
      <c r="B4032" s="3" t="s">
        <v>1060</v>
      </c>
      <c r="C4032" s="9"/>
      <c r="D4032" s="9"/>
      <c r="E4032" s="9"/>
      <c r="F4032" s="9"/>
      <c r="G4032" s="9"/>
      <c r="H4032" s="9"/>
      <c r="I4032" s="9"/>
      <c r="J4032" s="9"/>
      <c r="K4032" s="9"/>
      <c r="L4032" s="9"/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  <c r="AB4032" s="9"/>
      <c r="AC4032" s="9"/>
      <c r="AD4032" s="9"/>
      <c r="AE4032" s="9"/>
      <c r="AF4032" s="9"/>
      <c r="AG4032" s="9"/>
      <c r="AH4032" s="9"/>
      <c r="AI4032" s="9"/>
      <c r="AJ4032" s="9"/>
      <c r="AK4032" s="9"/>
      <c r="AL4032" s="9"/>
      <c r="AM4032" s="9"/>
      <c r="AN4032" s="9"/>
      <c r="AO4032" s="9"/>
    </row>
    <row r="4033" spans="1:41" ht="14.25" x14ac:dyDescent="0.2">
      <c r="A4033" s="2">
        <v>8109</v>
      </c>
      <c r="B4033" s="3" t="s">
        <v>1061</v>
      </c>
      <c r="C4033" s="9"/>
      <c r="D4033" s="9"/>
      <c r="E4033" s="9"/>
      <c r="F4033" s="9"/>
      <c r="G4033" s="9"/>
      <c r="H4033" s="9"/>
      <c r="I4033" s="9"/>
      <c r="J4033" s="9"/>
      <c r="K4033" s="9"/>
      <c r="L4033" s="9"/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9"/>
      <c r="AB4033" s="9"/>
      <c r="AC4033" s="9"/>
      <c r="AD4033" s="9"/>
      <c r="AE4033" s="9"/>
      <c r="AF4033" s="9"/>
      <c r="AG4033" s="9"/>
      <c r="AH4033" s="9"/>
      <c r="AI4033" s="9"/>
      <c r="AJ4033" s="9"/>
      <c r="AK4033" s="9"/>
      <c r="AL4033" s="9"/>
      <c r="AM4033" s="9"/>
      <c r="AN4033" s="9"/>
      <c r="AO4033" s="9"/>
    </row>
    <row r="4034" spans="1:41" ht="14.25" x14ac:dyDescent="0.2">
      <c r="A4034" s="2">
        <v>810901</v>
      </c>
      <c r="B4034" s="3" t="s">
        <v>1062</v>
      </c>
      <c r="C4034" s="9"/>
      <c r="D4034" s="9"/>
      <c r="E4034" s="9"/>
      <c r="F4034" s="9"/>
      <c r="G4034" s="9"/>
      <c r="H4034" s="9"/>
      <c r="I4034" s="9"/>
      <c r="J4034" s="9"/>
      <c r="K4034" s="9"/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9"/>
      <c r="AB4034" s="9"/>
      <c r="AC4034" s="9"/>
      <c r="AD4034" s="9"/>
      <c r="AE4034" s="9"/>
      <c r="AF4034" s="9"/>
      <c r="AG4034" s="9"/>
      <c r="AH4034" s="9"/>
      <c r="AI4034" s="9"/>
      <c r="AJ4034" s="9"/>
      <c r="AK4034" s="9"/>
      <c r="AL4034" s="9"/>
      <c r="AM4034" s="9"/>
      <c r="AN4034" s="9"/>
      <c r="AO4034" s="9"/>
    </row>
    <row r="4035" spans="1:41" ht="14.25" x14ac:dyDescent="0.2">
      <c r="A4035" s="2">
        <v>810902</v>
      </c>
      <c r="B4035" s="3" t="s">
        <v>1063</v>
      </c>
      <c r="C4035" s="9"/>
      <c r="D4035" s="9"/>
      <c r="E4035" s="9"/>
      <c r="F4035" s="9"/>
      <c r="G4035" s="9"/>
      <c r="H4035" s="9"/>
      <c r="I4035" s="9"/>
      <c r="J4035" s="9"/>
      <c r="K4035" s="9"/>
      <c r="L4035" s="9"/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9"/>
      <c r="AB4035" s="9"/>
      <c r="AC4035" s="9"/>
      <c r="AD4035" s="9"/>
      <c r="AE4035" s="9"/>
      <c r="AF4035" s="9"/>
      <c r="AG4035" s="9"/>
      <c r="AH4035" s="9"/>
      <c r="AI4035" s="9"/>
      <c r="AJ4035" s="9"/>
      <c r="AK4035" s="9"/>
      <c r="AL4035" s="9"/>
      <c r="AM4035" s="9"/>
      <c r="AN4035" s="9"/>
      <c r="AO4035" s="9"/>
    </row>
    <row r="4036" spans="1:41" s="15" customFormat="1" ht="14.25" x14ac:dyDescent="0.2">
      <c r="A4036" s="18" t="s">
        <v>2126</v>
      </c>
      <c r="B4036" s="19" t="s">
        <v>2127</v>
      </c>
      <c r="C4036" s="20">
        <v>0</v>
      </c>
      <c r="D4036" s="20"/>
      <c r="E4036" s="20"/>
      <c r="F4036" s="20"/>
      <c r="G4036" s="20"/>
      <c r="H4036" s="20"/>
      <c r="I4036" s="20"/>
      <c r="J4036" s="20"/>
      <c r="K4036" s="20"/>
      <c r="L4036" s="20"/>
      <c r="M4036" s="20"/>
      <c r="N4036" s="20"/>
      <c r="O4036" s="20"/>
      <c r="P4036" s="20"/>
      <c r="Q4036" s="20"/>
      <c r="R4036" s="20"/>
      <c r="S4036" s="20"/>
      <c r="T4036" s="20"/>
      <c r="U4036" s="20"/>
      <c r="V4036" s="20"/>
      <c r="W4036" s="20"/>
      <c r="X4036" s="20"/>
      <c r="Y4036" s="20"/>
      <c r="Z4036" s="20"/>
      <c r="AA4036" s="20"/>
      <c r="AB4036" s="20"/>
      <c r="AC4036" s="20"/>
      <c r="AD4036" s="20"/>
      <c r="AE4036" s="20"/>
      <c r="AF4036" s="20"/>
      <c r="AG4036" s="20"/>
      <c r="AH4036" s="20"/>
      <c r="AI4036" s="20"/>
      <c r="AJ4036" s="20"/>
      <c r="AK4036" s="20"/>
      <c r="AL4036" s="20"/>
      <c r="AM4036" s="20"/>
      <c r="AN4036" s="20"/>
      <c r="AO4036" s="20"/>
    </row>
    <row r="4037" spans="1:41" ht="14.25" x14ac:dyDescent="0.2">
      <c r="A4037" s="2">
        <v>810903</v>
      </c>
      <c r="B4037" s="3" t="s">
        <v>1064</v>
      </c>
      <c r="C4037" s="9"/>
      <c r="D4037" s="9"/>
      <c r="E4037" s="9"/>
      <c r="F4037" s="9"/>
      <c r="G4037" s="9"/>
      <c r="H4037" s="9"/>
      <c r="I4037" s="9"/>
      <c r="J4037" s="9"/>
      <c r="K4037" s="9"/>
      <c r="L4037" s="9"/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9"/>
      <c r="AC4037" s="9"/>
      <c r="AD4037" s="9"/>
      <c r="AE4037" s="9"/>
      <c r="AF4037" s="9"/>
      <c r="AG4037" s="9"/>
      <c r="AH4037" s="9"/>
      <c r="AI4037" s="9"/>
      <c r="AJ4037" s="9"/>
      <c r="AK4037" s="9"/>
      <c r="AL4037" s="9"/>
      <c r="AM4037" s="9"/>
      <c r="AN4037" s="9"/>
      <c r="AO4037" s="9"/>
    </row>
    <row r="4038" spans="1:41" ht="14.25" x14ac:dyDescent="0.2">
      <c r="A4038" s="2">
        <v>810904</v>
      </c>
      <c r="B4038" s="3" t="s">
        <v>1065</v>
      </c>
      <c r="C4038" s="9"/>
      <c r="D4038" s="9"/>
      <c r="E4038" s="9"/>
      <c r="F4038" s="9"/>
      <c r="G4038" s="9"/>
      <c r="H4038" s="9"/>
      <c r="I4038" s="9"/>
      <c r="J4038" s="9"/>
      <c r="K4038" s="9"/>
      <c r="L4038" s="9"/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9"/>
      <c r="AC4038" s="9"/>
      <c r="AD4038" s="9"/>
      <c r="AE4038" s="9"/>
      <c r="AF4038" s="9"/>
      <c r="AG4038" s="9"/>
      <c r="AH4038" s="9"/>
      <c r="AI4038" s="9"/>
      <c r="AJ4038" s="9"/>
      <c r="AK4038" s="9"/>
      <c r="AL4038" s="9"/>
      <c r="AM4038" s="9"/>
      <c r="AN4038" s="9"/>
      <c r="AO4038" s="9"/>
    </row>
    <row r="4039" spans="1:41" ht="14.25" x14ac:dyDescent="0.2">
      <c r="A4039" s="2">
        <v>810905</v>
      </c>
      <c r="B4039" s="3" t="s">
        <v>1066</v>
      </c>
      <c r="C4039" s="9"/>
      <c r="D4039" s="9"/>
      <c r="E4039" s="9"/>
      <c r="F4039" s="9"/>
      <c r="G4039" s="9"/>
      <c r="H4039" s="9"/>
      <c r="I4039" s="9"/>
      <c r="J4039" s="9"/>
      <c r="K4039" s="9"/>
      <c r="L4039" s="9"/>
      <c r="M4039" s="9"/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9"/>
      <c r="AB4039" s="9"/>
      <c r="AC4039" s="9"/>
      <c r="AD4039" s="9"/>
      <c r="AE4039" s="9"/>
      <c r="AF4039" s="9"/>
      <c r="AG4039" s="9"/>
      <c r="AH4039" s="9"/>
      <c r="AI4039" s="9"/>
      <c r="AJ4039" s="9"/>
      <c r="AK4039" s="9"/>
      <c r="AL4039" s="9"/>
      <c r="AM4039" s="9"/>
      <c r="AN4039" s="9"/>
      <c r="AO4039" s="9"/>
    </row>
    <row r="4040" spans="1:41" ht="14.25" x14ac:dyDescent="0.2">
      <c r="A4040" s="2">
        <v>810906</v>
      </c>
      <c r="B4040" s="3" t="s">
        <v>1067</v>
      </c>
      <c r="C4040" s="9"/>
      <c r="D4040" s="9"/>
      <c r="E4040" s="9"/>
      <c r="F4040" s="9"/>
      <c r="G4040" s="9"/>
      <c r="H4040" s="9"/>
      <c r="I4040" s="9"/>
      <c r="J4040" s="9"/>
      <c r="K4040" s="9"/>
      <c r="L4040" s="9"/>
      <c r="M4040" s="9"/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  <c r="AA4040" s="9"/>
      <c r="AB4040" s="9"/>
      <c r="AC4040" s="9"/>
      <c r="AD4040" s="9"/>
      <c r="AE4040" s="9"/>
      <c r="AF4040" s="9"/>
      <c r="AG4040" s="9"/>
      <c r="AH4040" s="9"/>
      <c r="AI4040" s="9"/>
      <c r="AJ4040" s="9"/>
      <c r="AK4040" s="9"/>
      <c r="AL4040" s="9"/>
      <c r="AM4040" s="9"/>
      <c r="AN4040" s="9"/>
      <c r="AO4040" s="9"/>
    </row>
    <row r="4041" spans="1:41" ht="14.25" x14ac:dyDescent="0.2">
      <c r="A4041" s="2">
        <v>810908</v>
      </c>
      <c r="B4041" s="3" t="s">
        <v>1068</v>
      </c>
      <c r="C4041" s="9"/>
      <c r="D4041" s="9"/>
      <c r="E4041" s="9"/>
      <c r="F4041" s="9"/>
      <c r="G4041" s="9"/>
      <c r="H4041" s="9"/>
      <c r="I4041" s="9"/>
      <c r="J4041" s="9"/>
      <c r="K4041" s="9"/>
      <c r="L4041" s="9"/>
      <c r="M4041" s="9"/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  <c r="AA4041" s="9"/>
      <c r="AB4041" s="9"/>
      <c r="AC4041" s="9"/>
      <c r="AD4041" s="9"/>
      <c r="AE4041" s="9"/>
      <c r="AF4041" s="9"/>
      <c r="AG4041" s="9"/>
      <c r="AH4041" s="9"/>
      <c r="AI4041" s="9"/>
      <c r="AJ4041" s="9"/>
      <c r="AK4041" s="9"/>
      <c r="AL4041" s="9"/>
      <c r="AM4041" s="9"/>
      <c r="AN4041" s="9"/>
      <c r="AO4041" s="9"/>
    </row>
    <row r="4042" spans="1:41" ht="14.25" x14ac:dyDescent="0.2">
      <c r="A4042" s="2">
        <v>810913</v>
      </c>
      <c r="B4042" s="3" t="s">
        <v>1069</v>
      </c>
      <c r="C4042" s="9"/>
      <c r="D4042" s="9"/>
      <c r="E4042" s="9"/>
      <c r="F4042" s="9"/>
      <c r="G4042" s="9"/>
      <c r="H4042" s="9"/>
      <c r="I4042" s="9"/>
      <c r="J4042" s="9"/>
      <c r="K4042" s="9"/>
      <c r="L4042" s="9"/>
      <c r="M4042" s="9"/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9"/>
      <c r="AB4042" s="9"/>
      <c r="AC4042" s="9"/>
      <c r="AD4042" s="9"/>
      <c r="AE4042" s="9"/>
      <c r="AF4042" s="9"/>
      <c r="AG4042" s="9"/>
      <c r="AH4042" s="9"/>
      <c r="AI4042" s="9"/>
      <c r="AJ4042" s="9"/>
      <c r="AK4042" s="9"/>
      <c r="AL4042" s="9"/>
      <c r="AM4042" s="9"/>
      <c r="AN4042" s="9"/>
      <c r="AO4042" s="9"/>
    </row>
    <row r="4043" spans="1:41" ht="28.5" x14ac:dyDescent="0.2">
      <c r="A4043" s="2">
        <v>810919</v>
      </c>
      <c r="B4043" s="4" t="s">
        <v>577</v>
      </c>
      <c r="C4043" s="11"/>
      <c r="D4043" s="11"/>
      <c r="E4043" s="11"/>
      <c r="F4043" s="11"/>
      <c r="G4043" s="11"/>
      <c r="H4043" s="11"/>
      <c r="I4043" s="11"/>
      <c r="J4043" s="11"/>
      <c r="K4043" s="11"/>
      <c r="L4043" s="11"/>
      <c r="M4043" s="11"/>
      <c r="N4043" s="11"/>
      <c r="O4043" s="11"/>
      <c r="P4043" s="11"/>
      <c r="Q4043" s="11"/>
      <c r="R4043" s="11"/>
      <c r="S4043" s="11"/>
      <c r="T4043" s="11"/>
      <c r="U4043" s="11"/>
      <c r="V4043" s="11"/>
      <c r="W4043" s="11"/>
      <c r="X4043" s="11"/>
      <c r="Y4043" s="11"/>
      <c r="Z4043" s="11"/>
      <c r="AA4043" s="11"/>
      <c r="AB4043" s="11"/>
      <c r="AC4043" s="11"/>
      <c r="AD4043" s="11"/>
      <c r="AE4043" s="11"/>
      <c r="AF4043" s="11"/>
      <c r="AG4043" s="11"/>
      <c r="AH4043" s="11"/>
      <c r="AI4043" s="11"/>
      <c r="AJ4043" s="11"/>
      <c r="AK4043" s="11"/>
      <c r="AL4043" s="11"/>
      <c r="AM4043" s="11"/>
      <c r="AN4043" s="11"/>
      <c r="AO4043" s="11"/>
    </row>
    <row r="4044" spans="1:41" ht="14.25" x14ac:dyDescent="0.2">
      <c r="A4044" s="2">
        <v>81091902</v>
      </c>
      <c r="B4044" s="3" t="s">
        <v>94</v>
      </c>
      <c r="C4044" s="9"/>
      <c r="D4044" s="9"/>
      <c r="E4044" s="9"/>
      <c r="F4044" s="9"/>
      <c r="G4044" s="9"/>
      <c r="H4044" s="9"/>
      <c r="I4044" s="9"/>
      <c r="J4044" s="9"/>
      <c r="K4044" s="9"/>
      <c r="L4044" s="9"/>
      <c r="M4044" s="9"/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9"/>
      <c r="AB4044" s="9"/>
      <c r="AC4044" s="9"/>
      <c r="AD4044" s="9"/>
      <c r="AE4044" s="9"/>
      <c r="AF4044" s="9"/>
      <c r="AG4044" s="9"/>
      <c r="AH4044" s="9"/>
      <c r="AI4044" s="9"/>
      <c r="AJ4044" s="9"/>
      <c r="AK4044" s="9"/>
      <c r="AL4044" s="9"/>
      <c r="AM4044" s="9"/>
      <c r="AN4044" s="9"/>
      <c r="AO4044" s="9"/>
    </row>
    <row r="4045" spans="1:41" ht="14.25" x14ac:dyDescent="0.2">
      <c r="A4045" s="2">
        <v>81091903</v>
      </c>
      <c r="B4045" s="3" t="s">
        <v>120</v>
      </c>
      <c r="C4045" s="9"/>
      <c r="D4045" s="9"/>
      <c r="E4045" s="9"/>
      <c r="F4045" s="9"/>
      <c r="G4045" s="9"/>
      <c r="H4045" s="9"/>
      <c r="I4045" s="9"/>
      <c r="J4045" s="9"/>
      <c r="K4045" s="9"/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9"/>
      <c r="AB4045" s="9"/>
      <c r="AC4045" s="9"/>
      <c r="AD4045" s="9"/>
      <c r="AE4045" s="9"/>
      <c r="AF4045" s="9"/>
      <c r="AG4045" s="9"/>
      <c r="AH4045" s="9"/>
      <c r="AI4045" s="9"/>
      <c r="AJ4045" s="9"/>
      <c r="AK4045" s="9"/>
      <c r="AL4045" s="9"/>
      <c r="AM4045" s="9"/>
      <c r="AN4045" s="9"/>
      <c r="AO4045" s="9"/>
    </row>
    <row r="4046" spans="1:41" ht="14.25" x14ac:dyDescent="0.2">
      <c r="A4046" s="2">
        <v>81091904</v>
      </c>
      <c r="B4046" s="3" t="s">
        <v>130</v>
      </c>
      <c r="C4046" s="9"/>
      <c r="D4046" s="9"/>
      <c r="E4046" s="9"/>
      <c r="F4046" s="9"/>
      <c r="G4046" s="9"/>
      <c r="H4046" s="9"/>
      <c r="I4046" s="9"/>
      <c r="J4046" s="9"/>
      <c r="K4046" s="9"/>
      <c r="L4046" s="9"/>
      <c r="M4046" s="9"/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9"/>
      <c r="AB4046" s="9"/>
      <c r="AC4046" s="9"/>
      <c r="AD4046" s="9"/>
      <c r="AE4046" s="9"/>
      <c r="AF4046" s="9"/>
      <c r="AG4046" s="9"/>
      <c r="AH4046" s="9"/>
      <c r="AI4046" s="9"/>
      <c r="AJ4046" s="9"/>
      <c r="AK4046" s="9"/>
      <c r="AL4046" s="9"/>
      <c r="AM4046" s="9"/>
      <c r="AN4046" s="9"/>
      <c r="AO4046" s="9"/>
    </row>
    <row r="4047" spans="1:41" x14ac:dyDescent="0.2">
      <c r="A4047" s="5">
        <v>81091907</v>
      </c>
      <c r="B4047" s="6" t="s">
        <v>138</v>
      </c>
      <c r="C4047" s="12"/>
      <c r="D4047" s="12"/>
      <c r="E4047" s="12"/>
      <c r="F4047" s="12"/>
      <c r="G4047" s="12"/>
      <c r="H4047" s="12"/>
      <c r="I4047" s="12"/>
      <c r="J4047" s="12"/>
      <c r="K4047" s="12"/>
      <c r="L4047" s="12"/>
      <c r="M4047" s="12"/>
      <c r="N4047" s="12"/>
      <c r="O4047" s="12"/>
      <c r="P4047" s="12"/>
      <c r="Q4047" s="12"/>
      <c r="R4047" s="12"/>
      <c r="S4047" s="12"/>
      <c r="T4047" s="12"/>
      <c r="U4047" s="12"/>
      <c r="V4047" s="12"/>
      <c r="W4047" s="12"/>
      <c r="X4047" s="12"/>
      <c r="Y4047" s="12"/>
      <c r="Z4047" s="12"/>
      <c r="AA4047" s="12"/>
      <c r="AB4047" s="12"/>
      <c r="AC4047" s="12"/>
      <c r="AD4047" s="12"/>
      <c r="AE4047" s="12"/>
      <c r="AF4047" s="12"/>
      <c r="AG4047" s="12"/>
      <c r="AH4047" s="12"/>
      <c r="AI4047" s="12"/>
      <c r="AJ4047" s="12"/>
      <c r="AK4047" s="12"/>
      <c r="AL4047" s="12"/>
      <c r="AM4047" s="12"/>
      <c r="AN4047" s="12"/>
      <c r="AO4047" s="12"/>
    </row>
    <row r="4048" spans="1:41" ht="14.25" x14ac:dyDescent="0.2">
      <c r="A4048" s="2">
        <v>81091909</v>
      </c>
      <c r="B4048" s="3" t="s">
        <v>159</v>
      </c>
      <c r="C4048" s="9"/>
      <c r="D4048" s="9"/>
      <c r="E4048" s="9"/>
      <c r="F4048" s="9"/>
      <c r="G4048" s="9"/>
      <c r="H4048" s="9"/>
      <c r="I4048" s="9"/>
      <c r="J4048" s="9"/>
      <c r="K4048" s="9"/>
      <c r="L4048" s="9"/>
      <c r="M4048" s="9"/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9"/>
      <c r="AB4048" s="9"/>
      <c r="AC4048" s="9"/>
      <c r="AD4048" s="9"/>
      <c r="AE4048" s="9"/>
      <c r="AF4048" s="9"/>
      <c r="AG4048" s="9"/>
      <c r="AH4048" s="9"/>
      <c r="AI4048" s="9"/>
      <c r="AJ4048" s="9"/>
      <c r="AK4048" s="9"/>
      <c r="AL4048" s="9"/>
      <c r="AM4048" s="9"/>
      <c r="AN4048" s="9"/>
      <c r="AO4048" s="9"/>
    </row>
    <row r="4049" spans="1:41" ht="14.25" x14ac:dyDescent="0.2">
      <c r="A4049" s="2">
        <v>81091910</v>
      </c>
      <c r="B4049" s="3" t="s">
        <v>162</v>
      </c>
      <c r="C4049" s="9"/>
      <c r="D4049" s="9"/>
      <c r="E4049" s="9"/>
      <c r="F4049" s="9"/>
      <c r="G4049" s="9"/>
      <c r="H4049" s="9"/>
      <c r="I4049" s="9"/>
      <c r="J4049" s="9"/>
      <c r="K4049" s="9"/>
      <c r="L4049" s="9"/>
      <c r="M4049" s="9"/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9"/>
      <c r="AB4049" s="9"/>
      <c r="AC4049" s="9"/>
      <c r="AD4049" s="9"/>
      <c r="AE4049" s="9"/>
      <c r="AF4049" s="9"/>
      <c r="AG4049" s="9"/>
      <c r="AH4049" s="9"/>
      <c r="AI4049" s="9"/>
      <c r="AJ4049" s="9"/>
      <c r="AK4049" s="9"/>
      <c r="AL4049" s="9"/>
      <c r="AM4049" s="9"/>
      <c r="AN4049" s="9"/>
      <c r="AO4049" s="9"/>
    </row>
    <row r="4050" spans="1:41" ht="14.25" x14ac:dyDescent="0.2">
      <c r="A4050" s="2">
        <v>81091911</v>
      </c>
      <c r="B4050" s="3" t="s">
        <v>172</v>
      </c>
      <c r="C4050" s="9"/>
      <c r="D4050" s="9"/>
      <c r="E4050" s="9"/>
      <c r="F4050" s="9"/>
      <c r="G4050" s="9"/>
      <c r="H4050" s="9"/>
      <c r="I4050" s="9"/>
      <c r="J4050" s="9"/>
      <c r="K4050" s="9"/>
      <c r="L4050" s="9"/>
      <c r="M4050" s="9"/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9"/>
      <c r="AB4050" s="9"/>
      <c r="AC4050" s="9"/>
      <c r="AD4050" s="9"/>
      <c r="AE4050" s="9"/>
      <c r="AF4050" s="9"/>
      <c r="AG4050" s="9"/>
      <c r="AH4050" s="9"/>
      <c r="AI4050" s="9"/>
      <c r="AJ4050" s="9"/>
      <c r="AK4050" s="9"/>
      <c r="AL4050" s="9"/>
      <c r="AM4050" s="9"/>
      <c r="AN4050" s="9"/>
      <c r="AO4050" s="9"/>
    </row>
    <row r="4051" spans="1:41" ht="14.25" x14ac:dyDescent="0.2">
      <c r="A4051" s="2">
        <v>81091912</v>
      </c>
      <c r="B4051" s="3" t="s">
        <v>174</v>
      </c>
      <c r="C4051" s="9"/>
      <c r="D4051" s="9"/>
      <c r="E4051" s="9"/>
      <c r="F4051" s="9"/>
      <c r="G4051" s="9"/>
      <c r="H4051" s="9"/>
      <c r="I4051" s="9"/>
      <c r="J4051" s="9"/>
      <c r="K4051" s="9"/>
      <c r="L4051" s="9"/>
      <c r="M4051" s="9"/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  <c r="AA4051" s="9"/>
      <c r="AB4051" s="9"/>
      <c r="AC4051" s="9"/>
      <c r="AD4051" s="9"/>
      <c r="AE4051" s="9"/>
      <c r="AF4051" s="9"/>
      <c r="AG4051" s="9"/>
      <c r="AH4051" s="9"/>
      <c r="AI4051" s="9"/>
      <c r="AJ4051" s="9"/>
      <c r="AK4051" s="9"/>
      <c r="AL4051" s="9"/>
      <c r="AM4051" s="9"/>
      <c r="AN4051" s="9"/>
      <c r="AO4051" s="9"/>
    </row>
    <row r="4052" spans="1:41" ht="14.25" x14ac:dyDescent="0.2">
      <c r="A4052" s="2">
        <v>81091913</v>
      </c>
      <c r="B4052" s="3" t="s">
        <v>175</v>
      </c>
      <c r="C4052" s="9"/>
      <c r="D4052" s="9"/>
      <c r="E4052" s="9"/>
      <c r="F4052" s="9"/>
      <c r="G4052" s="9"/>
      <c r="H4052" s="9"/>
      <c r="I4052" s="9"/>
      <c r="J4052" s="9"/>
      <c r="K4052" s="9"/>
      <c r="L4052" s="9"/>
      <c r="M4052" s="9"/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9"/>
      <c r="AB4052" s="9"/>
      <c r="AC4052" s="9"/>
      <c r="AD4052" s="9"/>
      <c r="AE4052" s="9"/>
      <c r="AF4052" s="9"/>
      <c r="AG4052" s="9"/>
      <c r="AH4052" s="9"/>
      <c r="AI4052" s="9"/>
      <c r="AJ4052" s="9"/>
      <c r="AK4052" s="9"/>
      <c r="AL4052" s="9"/>
      <c r="AM4052" s="9"/>
      <c r="AN4052" s="9"/>
      <c r="AO4052" s="9"/>
    </row>
    <row r="4053" spans="1:41" ht="14.25" x14ac:dyDescent="0.2">
      <c r="A4053" s="2">
        <v>810922</v>
      </c>
      <c r="B4053" s="3" t="s">
        <v>1070</v>
      </c>
      <c r="C4053" s="9"/>
      <c r="D4053" s="9"/>
      <c r="E4053" s="9"/>
      <c r="F4053" s="9"/>
      <c r="G4053" s="9"/>
      <c r="H4053" s="9"/>
      <c r="I4053" s="9"/>
      <c r="J4053" s="9"/>
      <c r="K4053" s="9"/>
      <c r="L4053" s="9"/>
      <c r="M4053" s="9"/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9"/>
      <c r="AB4053" s="9"/>
      <c r="AC4053" s="9"/>
      <c r="AD4053" s="9"/>
      <c r="AE4053" s="9"/>
      <c r="AF4053" s="9"/>
      <c r="AG4053" s="9"/>
      <c r="AH4053" s="9"/>
      <c r="AI4053" s="9"/>
      <c r="AJ4053" s="9"/>
      <c r="AK4053" s="9"/>
      <c r="AL4053" s="9"/>
      <c r="AM4053" s="9"/>
      <c r="AN4053" s="9"/>
      <c r="AO4053" s="9"/>
    </row>
    <row r="4054" spans="1:41" ht="14.25" x14ac:dyDescent="0.2">
      <c r="A4054" s="2">
        <v>810923</v>
      </c>
      <c r="B4054" s="3" t="s">
        <v>1071</v>
      </c>
      <c r="C4054" s="9"/>
      <c r="D4054" s="9"/>
      <c r="E4054" s="9"/>
      <c r="F4054" s="9"/>
      <c r="G4054" s="9"/>
      <c r="H4054" s="9"/>
      <c r="I4054" s="9"/>
      <c r="J4054" s="9"/>
      <c r="K4054" s="9"/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9"/>
      <c r="AC4054" s="9"/>
      <c r="AD4054" s="9"/>
      <c r="AE4054" s="9"/>
      <c r="AF4054" s="9"/>
      <c r="AG4054" s="9"/>
      <c r="AH4054" s="9"/>
      <c r="AI4054" s="9"/>
      <c r="AJ4054" s="9"/>
      <c r="AK4054" s="9"/>
      <c r="AL4054" s="9"/>
      <c r="AM4054" s="9"/>
      <c r="AN4054" s="9"/>
      <c r="AO4054" s="9"/>
    </row>
    <row r="4055" spans="1:41" s="15" customFormat="1" ht="14.25" x14ac:dyDescent="0.2">
      <c r="A4055" s="18" t="s">
        <v>2128</v>
      </c>
      <c r="B4055" s="19" t="s">
        <v>2129</v>
      </c>
      <c r="C4055" s="20">
        <v>764159.6</v>
      </c>
      <c r="D4055" s="20">
        <v>752111.9</v>
      </c>
      <c r="E4055" s="20">
        <v>733674.21</v>
      </c>
      <c r="F4055" s="20">
        <v>721276.27</v>
      </c>
      <c r="G4055" s="20">
        <v>691805.02</v>
      </c>
      <c r="H4055" s="20">
        <v>669857.89</v>
      </c>
      <c r="I4055" s="20">
        <v>659662.74</v>
      </c>
      <c r="J4055" s="20">
        <v>642944.12</v>
      </c>
      <c r="K4055" s="20">
        <v>620165.09</v>
      </c>
      <c r="L4055" s="20">
        <v>610479.27</v>
      </c>
      <c r="M4055" s="20">
        <v>574531.46</v>
      </c>
      <c r="N4055" s="20">
        <v>566677.47</v>
      </c>
      <c r="O4055" s="20">
        <v>559935.72</v>
      </c>
      <c r="P4055" s="20">
        <v>553528.06999999995</v>
      </c>
      <c r="Q4055" s="20">
        <v>546421.56999999995</v>
      </c>
      <c r="R4055" s="20">
        <v>534297.75</v>
      </c>
      <c r="S4055" s="20">
        <v>529308.22</v>
      </c>
      <c r="T4055" s="20">
        <v>523193.94</v>
      </c>
      <c r="U4055" s="20">
        <v>518968.8</v>
      </c>
      <c r="V4055" s="20">
        <v>514720.44</v>
      </c>
      <c r="W4055" s="20">
        <v>510514.23</v>
      </c>
      <c r="X4055" s="20">
        <v>504553.86</v>
      </c>
      <c r="Y4055" s="20">
        <v>489014.54</v>
      </c>
      <c r="Z4055" s="20">
        <v>491718.49</v>
      </c>
      <c r="AA4055" s="20">
        <v>488045.47</v>
      </c>
      <c r="AB4055" s="20">
        <v>481350.67</v>
      </c>
      <c r="AC4055" s="20">
        <v>476766.45</v>
      </c>
      <c r="AD4055" s="20">
        <v>471475.3</v>
      </c>
      <c r="AE4055" s="20">
        <v>468030.43</v>
      </c>
      <c r="AF4055" s="20">
        <v>463891.20000000001</v>
      </c>
      <c r="AG4055" s="20">
        <v>452457.33</v>
      </c>
      <c r="AH4055" s="20">
        <v>446975.18</v>
      </c>
      <c r="AI4055" s="20">
        <v>441210.91</v>
      </c>
      <c r="AJ4055" s="20">
        <v>434272.83</v>
      </c>
      <c r="AK4055" s="20">
        <v>427370.62</v>
      </c>
      <c r="AL4055" s="20">
        <v>421597.79</v>
      </c>
      <c r="AM4055" s="20">
        <v>416095.4</v>
      </c>
      <c r="AN4055" s="20">
        <v>410137.59</v>
      </c>
      <c r="AO4055" s="20">
        <v>402252.31</v>
      </c>
    </row>
    <row r="4056" spans="1:41" ht="14.25" x14ac:dyDescent="0.2">
      <c r="A4056" s="2">
        <v>810925</v>
      </c>
      <c r="B4056" s="3" t="s">
        <v>1072</v>
      </c>
      <c r="C4056" s="9"/>
      <c r="D4056" s="9"/>
      <c r="E4056" s="9"/>
      <c r="F4056" s="9"/>
      <c r="G4056" s="9"/>
      <c r="H4056" s="9"/>
      <c r="I4056" s="9"/>
      <c r="J4056" s="9"/>
      <c r="K4056" s="9"/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9"/>
      <c r="AC4056" s="9"/>
      <c r="AD4056" s="9"/>
      <c r="AE4056" s="9"/>
      <c r="AF4056" s="9"/>
      <c r="AG4056" s="9"/>
      <c r="AH4056" s="9"/>
      <c r="AI4056" s="9"/>
      <c r="AJ4056" s="9"/>
      <c r="AK4056" s="9"/>
      <c r="AL4056" s="9"/>
      <c r="AM4056" s="9"/>
      <c r="AN4056" s="9"/>
      <c r="AO4056" s="9"/>
    </row>
    <row r="4057" spans="1:41" ht="14.25" x14ac:dyDescent="0.2">
      <c r="A4057" s="2">
        <v>81092501</v>
      </c>
      <c r="B4057" s="3" t="s">
        <v>1073</v>
      </c>
      <c r="C4057" s="9"/>
      <c r="D4057" s="9"/>
      <c r="E4057" s="9"/>
      <c r="F4057" s="9"/>
      <c r="G4057" s="9"/>
      <c r="H4057" s="9"/>
      <c r="I4057" s="9"/>
      <c r="J4057" s="9"/>
      <c r="K4057" s="9"/>
      <c r="L4057" s="9"/>
      <c r="M4057" s="9"/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9"/>
      <c r="AD4057" s="9"/>
      <c r="AE4057" s="9"/>
      <c r="AF4057" s="9"/>
      <c r="AG4057" s="9"/>
      <c r="AH4057" s="9"/>
      <c r="AI4057" s="9"/>
      <c r="AJ4057" s="9"/>
      <c r="AK4057" s="9"/>
      <c r="AL4057" s="9"/>
      <c r="AM4057" s="9"/>
      <c r="AN4057" s="9"/>
      <c r="AO4057" s="9"/>
    </row>
    <row r="4058" spans="1:41" ht="14.25" x14ac:dyDescent="0.2">
      <c r="A4058" s="2">
        <v>8109250101</v>
      </c>
      <c r="B4058" s="3" t="s">
        <v>1074</v>
      </c>
      <c r="C4058" s="9"/>
      <c r="D4058" s="9"/>
      <c r="E4058" s="9"/>
      <c r="F4058" s="9"/>
      <c r="G4058" s="9"/>
      <c r="H4058" s="9"/>
      <c r="I4058" s="9"/>
      <c r="J4058" s="9"/>
      <c r="K4058" s="9"/>
      <c r="L4058" s="9"/>
      <c r="M4058" s="9"/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9"/>
      <c r="AC4058" s="9"/>
      <c r="AD4058" s="9"/>
      <c r="AE4058" s="9"/>
      <c r="AF4058" s="9"/>
      <c r="AG4058" s="9"/>
      <c r="AH4058" s="9"/>
      <c r="AI4058" s="9"/>
      <c r="AJ4058" s="9"/>
      <c r="AK4058" s="9"/>
      <c r="AL4058" s="9"/>
      <c r="AM4058" s="9"/>
      <c r="AN4058" s="9"/>
      <c r="AO4058" s="9"/>
    </row>
    <row r="4059" spans="1:41" ht="14.25" x14ac:dyDescent="0.2">
      <c r="A4059" s="2">
        <v>8109250102</v>
      </c>
      <c r="B4059" s="3" t="s">
        <v>1075</v>
      </c>
      <c r="C4059" s="9"/>
      <c r="D4059" s="9"/>
      <c r="E4059" s="9"/>
      <c r="F4059" s="9"/>
      <c r="G4059" s="9"/>
      <c r="H4059" s="9"/>
      <c r="I4059" s="9"/>
      <c r="J4059" s="9"/>
      <c r="K4059" s="9"/>
      <c r="L4059" s="9"/>
      <c r="M4059" s="9"/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9"/>
      <c r="AC4059" s="9"/>
      <c r="AD4059" s="9"/>
      <c r="AE4059" s="9"/>
      <c r="AF4059" s="9"/>
      <c r="AG4059" s="9"/>
      <c r="AH4059" s="9"/>
      <c r="AI4059" s="9"/>
      <c r="AJ4059" s="9"/>
      <c r="AK4059" s="9"/>
      <c r="AL4059" s="9"/>
      <c r="AM4059" s="9"/>
      <c r="AN4059" s="9"/>
      <c r="AO4059" s="9"/>
    </row>
    <row r="4060" spans="1:41" ht="14.25" x14ac:dyDescent="0.2">
      <c r="A4060" s="2">
        <v>81092502</v>
      </c>
      <c r="B4060" s="3" t="s">
        <v>1076</v>
      </c>
      <c r="C4060" s="9"/>
      <c r="D4060" s="9"/>
      <c r="E4060" s="9"/>
      <c r="F4060" s="9"/>
      <c r="G4060" s="9"/>
      <c r="H4060" s="9"/>
      <c r="I4060" s="9"/>
      <c r="J4060" s="9"/>
      <c r="K4060" s="9"/>
      <c r="L4060" s="9"/>
      <c r="M4060" s="9"/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  <c r="AB4060" s="9"/>
      <c r="AC4060" s="9"/>
      <c r="AD4060" s="9"/>
      <c r="AE4060" s="9"/>
      <c r="AF4060" s="9"/>
      <c r="AG4060" s="9"/>
      <c r="AH4060" s="9"/>
      <c r="AI4060" s="9"/>
      <c r="AJ4060" s="9"/>
      <c r="AK4060" s="9"/>
      <c r="AL4060" s="9"/>
      <c r="AM4060" s="9"/>
      <c r="AN4060" s="9"/>
      <c r="AO4060" s="9"/>
    </row>
    <row r="4061" spans="1:41" ht="14.25" x14ac:dyDescent="0.2">
      <c r="A4061" s="2">
        <v>8109250201</v>
      </c>
      <c r="B4061" s="3" t="s">
        <v>1074</v>
      </c>
      <c r="C4061" s="9"/>
      <c r="D4061" s="9"/>
      <c r="E4061" s="9"/>
      <c r="F4061" s="9"/>
      <c r="G4061" s="9"/>
      <c r="H4061" s="9"/>
      <c r="I4061" s="9"/>
      <c r="J4061" s="9"/>
      <c r="K4061" s="9"/>
      <c r="L4061" s="9"/>
      <c r="M4061" s="9"/>
      <c r="N4061" s="9"/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9"/>
      <c r="Z4061" s="9"/>
      <c r="AA4061" s="9"/>
      <c r="AB4061" s="9"/>
      <c r="AC4061" s="9"/>
      <c r="AD4061" s="9"/>
      <c r="AE4061" s="9"/>
      <c r="AF4061" s="9"/>
      <c r="AG4061" s="9"/>
      <c r="AH4061" s="9"/>
      <c r="AI4061" s="9"/>
      <c r="AJ4061" s="9"/>
      <c r="AK4061" s="9"/>
      <c r="AL4061" s="9"/>
      <c r="AM4061" s="9"/>
      <c r="AN4061" s="9"/>
      <c r="AO4061" s="9"/>
    </row>
    <row r="4062" spans="1:41" ht="14.25" x14ac:dyDescent="0.2">
      <c r="A4062" s="2">
        <v>8109250202</v>
      </c>
      <c r="B4062" s="3" t="s">
        <v>1075</v>
      </c>
      <c r="C4062" s="9"/>
      <c r="D4062" s="9"/>
      <c r="E4062" s="9"/>
      <c r="F4062" s="9"/>
      <c r="G4062" s="9"/>
      <c r="H4062" s="9"/>
      <c r="I4062" s="9"/>
      <c r="J4062" s="9"/>
      <c r="K4062" s="9"/>
      <c r="L4062" s="9"/>
      <c r="M4062" s="9"/>
      <c r="N4062" s="9"/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9"/>
      <c r="AB4062" s="9"/>
      <c r="AC4062" s="9"/>
      <c r="AD4062" s="9"/>
      <c r="AE4062" s="9"/>
      <c r="AF4062" s="9"/>
      <c r="AG4062" s="9"/>
      <c r="AH4062" s="9"/>
      <c r="AI4062" s="9"/>
      <c r="AJ4062" s="9"/>
      <c r="AK4062" s="9"/>
      <c r="AL4062" s="9"/>
      <c r="AM4062" s="9"/>
      <c r="AN4062" s="9"/>
      <c r="AO4062" s="9"/>
    </row>
    <row r="4063" spans="1:41" ht="14.25" x14ac:dyDescent="0.2">
      <c r="A4063" s="2">
        <v>81092503</v>
      </c>
      <c r="B4063" s="3" t="s">
        <v>1077</v>
      </c>
      <c r="C4063" s="9"/>
      <c r="D4063" s="9"/>
      <c r="E4063" s="9"/>
      <c r="F4063" s="9"/>
      <c r="G4063" s="9"/>
      <c r="H4063" s="9"/>
      <c r="I4063" s="9"/>
      <c r="J4063" s="9"/>
      <c r="K4063" s="9"/>
      <c r="L4063" s="9"/>
      <c r="M4063" s="9"/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  <c r="AA4063" s="9"/>
      <c r="AB4063" s="9"/>
      <c r="AC4063" s="9"/>
      <c r="AD4063" s="9"/>
      <c r="AE4063" s="9"/>
      <c r="AF4063" s="9"/>
      <c r="AG4063" s="9"/>
      <c r="AH4063" s="9"/>
      <c r="AI4063" s="9"/>
      <c r="AJ4063" s="9"/>
      <c r="AK4063" s="9"/>
      <c r="AL4063" s="9"/>
      <c r="AM4063" s="9"/>
      <c r="AN4063" s="9"/>
      <c r="AO4063" s="9"/>
    </row>
    <row r="4064" spans="1:41" ht="14.25" x14ac:dyDescent="0.2">
      <c r="A4064" s="2">
        <v>8109250301</v>
      </c>
      <c r="B4064" s="3" t="s">
        <v>1074</v>
      </c>
      <c r="C4064" s="9"/>
      <c r="D4064" s="9"/>
      <c r="E4064" s="9"/>
      <c r="F4064" s="9"/>
      <c r="G4064" s="9"/>
      <c r="H4064" s="9"/>
      <c r="I4064" s="9"/>
      <c r="J4064" s="9"/>
      <c r="K4064" s="9"/>
      <c r="L4064" s="9"/>
      <c r="M4064" s="9"/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  <c r="AA4064" s="9"/>
      <c r="AB4064" s="9"/>
      <c r="AC4064" s="9"/>
      <c r="AD4064" s="9"/>
      <c r="AE4064" s="9"/>
      <c r="AF4064" s="9"/>
      <c r="AG4064" s="9"/>
      <c r="AH4064" s="9"/>
      <c r="AI4064" s="9"/>
      <c r="AJ4064" s="9"/>
      <c r="AK4064" s="9"/>
      <c r="AL4064" s="9"/>
      <c r="AM4064" s="9"/>
      <c r="AN4064" s="9"/>
      <c r="AO4064" s="9"/>
    </row>
    <row r="4065" spans="1:41" ht="14.25" x14ac:dyDescent="0.2">
      <c r="A4065" s="2">
        <v>8109250302</v>
      </c>
      <c r="B4065" s="3" t="s">
        <v>1075</v>
      </c>
      <c r="C4065" s="9"/>
      <c r="D4065" s="9"/>
      <c r="E4065" s="9"/>
      <c r="F4065" s="9"/>
      <c r="G4065" s="9"/>
      <c r="H4065" s="9"/>
      <c r="I4065" s="9"/>
      <c r="J4065" s="9"/>
      <c r="K4065" s="9"/>
      <c r="L4065" s="9"/>
      <c r="M4065" s="9"/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9"/>
      <c r="AB4065" s="9"/>
      <c r="AC4065" s="9"/>
      <c r="AD4065" s="9"/>
      <c r="AE4065" s="9"/>
      <c r="AF4065" s="9"/>
      <c r="AG4065" s="9"/>
      <c r="AH4065" s="9"/>
      <c r="AI4065" s="9"/>
      <c r="AJ4065" s="9"/>
      <c r="AK4065" s="9"/>
      <c r="AL4065" s="9"/>
      <c r="AM4065" s="9"/>
      <c r="AN4065" s="9"/>
      <c r="AO4065" s="9"/>
    </row>
    <row r="4066" spans="1:41" ht="14.25" x14ac:dyDescent="0.2">
      <c r="A4066" s="2">
        <v>81092504</v>
      </c>
      <c r="B4066" s="3" t="s">
        <v>1078</v>
      </c>
      <c r="C4066" s="9"/>
      <c r="D4066" s="9"/>
      <c r="E4066" s="9"/>
      <c r="F4066" s="9"/>
      <c r="G4066" s="9"/>
      <c r="H4066" s="9"/>
      <c r="I4066" s="9"/>
      <c r="J4066" s="9"/>
      <c r="K4066" s="9"/>
      <c r="L4066" s="9"/>
      <c r="M4066" s="9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  <c r="AB4066" s="9"/>
      <c r="AC4066" s="9"/>
      <c r="AD4066" s="9"/>
      <c r="AE4066" s="9"/>
      <c r="AF4066" s="9"/>
      <c r="AG4066" s="9"/>
      <c r="AH4066" s="9"/>
      <c r="AI4066" s="9"/>
      <c r="AJ4066" s="9"/>
      <c r="AK4066" s="9"/>
      <c r="AL4066" s="9"/>
      <c r="AM4066" s="9"/>
      <c r="AN4066" s="9"/>
      <c r="AO4066" s="9"/>
    </row>
    <row r="4067" spans="1:41" ht="14.25" x14ac:dyDescent="0.2">
      <c r="A4067" s="2">
        <v>8109250401</v>
      </c>
      <c r="B4067" s="3" t="s">
        <v>1074</v>
      </c>
      <c r="C4067" s="9"/>
      <c r="D4067" s="9"/>
      <c r="E4067" s="9"/>
      <c r="F4067" s="9"/>
      <c r="G4067" s="9"/>
      <c r="H4067" s="9"/>
      <c r="I4067" s="9"/>
      <c r="J4067" s="9"/>
      <c r="K4067" s="9"/>
      <c r="L4067" s="9"/>
      <c r="M4067" s="9"/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  <c r="AB4067" s="9"/>
      <c r="AC4067" s="9"/>
      <c r="AD4067" s="9"/>
      <c r="AE4067" s="9"/>
      <c r="AF4067" s="9"/>
      <c r="AG4067" s="9"/>
      <c r="AH4067" s="9"/>
      <c r="AI4067" s="9"/>
      <c r="AJ4067" s="9"/>
      <c r="AK4067" s="9"/>
      <c r="AL4067" s="9"/>
      <c r="AM4067" s="9"/>
      <c r="AN4067" s="9"/>
      <c r="AO4067" s="9"/>
    </row>
    <row r="4068" spans="1:41" ht="14.25" x14ac:dyDescent="0.2">
      <c r="A4068" s="2">
        <v>8109250402</v>
      </c>
      <c r="B4068" s="3" t="s">
        <v>1075</v>
      </c>
      <c r="C4068" s="9"/>
      <c r="D4068" s="9"/>
      <c r="E4068" s="9"/>
      <c r="F4068" s="9"/>
      <c r="G4068" s="9"/>
      <c r="H4068" s="9"/>
      <c r="I4068" s="9"/>
      <c r="J4068" s="9"/>
      <c r="K4068" s="9"/>
      <c r="L4068" s="9"/>
      <c r="M4068" s="9"/>
      <c r="N4068" s="9"/>
      <c r="O4068" s="9"/>
      <c r="P4068" s="9"/>
      <c r="Q4068" s="9"/>
      <c r="R4068" s="9"/>
      <c r="S4068" s="9"/>
      <c r="T4068" s="9"/>
      <c r="U4068" s="9"/>
      <c r="V4068" s="9"/>
      <c r="W4068" s="9"/>
      <c r="X4068" s="9"/>
      <c r="Y4068" s="9"/>
      <c r="Z4068" s="9"/>
      <c r="AA4068" s="9"/>
      <c r="AB4068" s="9"/>
      <c r="AC4068" s="9"/>
      <c r="AD4068" s="9"/>
      <c r="AE4068" s="9"/>
      <c r="AF4068" s="9"/>
      <c r="AG4068" s="9"/>
      <c r="AH4068" s="9"/>
      <c r="AI4068" s="9"/>
      <c r="AJ4068" s="9"/>
      <c r="AK4068" s="9"/>
      <c r="AL4068" s="9"/>
      <c r="AM4068" s="9"/>
      <c r="AN4068" s="9"/>
      <c r="AO4068" s="9"/>
    </row>
    <row r="4069" spans="1:41" ht="14.25" x14ac:dyDescent="0.2">
      <c r="A4069" s="2">
        <v>81092505</v>
      </c>
      <c r="B4069" s="3" t="s">
        <v>1079</v>
      </c>
      <c r="C4069" s="9"/>
      <c r="D4069" s="9"/>
      <c r="E4069" s="9"/>
      <c r="F4069" s="9"/>
      <c r="G4069" s="9"/>
      <c r="H4069" s="9"/>
      <c r="I4069" s="9"/>
      <c r="J4069" s="9"/>
      <c r="K4069" s="9"/>
      <c r="L4069" s="9"/>
      <c r="M4069" s="9"/>
      <c r="N4069" s="9"/>
      <c r="O4069" s="9"/>
      <c r="P4069" s="9"/>
      <c r="Q4069" s="9"/>
      <c r="R4069" s="9"/>
      <c r="S4069" s="9"/>
      <c r="T4069" s="9"/>
      <c r="U4069" s="9"/>
      <c r="V4069" s="9"/>
      <c r="W4069" s="9"/>
      <c r="X4069" s="9"/>
      <c r="Y4069" s="9"/>
      <c r="Z4069" s="9"/>
      <c r="AA4069" s="9"/>
      <c r="AB4069" s="9"/>
      <c r="AC4069" s="9"/>
      <c r="AD4069" s="9"/>
      <c r="AE4069" s="9"/>
      <c r="AF4069" s="9"/>
      <c r="AG4069" s="9"/>
      <c r="AH4069" s="9"/>
      <c r="AI4069" s="9"/>
      <c r="AJ4069" s="9"/>
      <c r="AK4069" s="9"/>
      <c r="AL4069" s="9"/>
      <c r="AM4069" s="9"/>
      <c r="AN4069" s="9"/>
      <c r="AO4069" s="9"/>
    </row>
    <row r="4070" spans="1:41" ht="14.25" x14ac:dyDescent="0.2">
      <c r="A4070" s="2">
        <v>8109250501</v>
      </c>
      <c r="B4070" s="3" t="s">
        <v>1074</v>
      </c>
      <c r="C4070" s="9"/>
      <c r="D4070" s="9"/>
      <c r="E4070" s="9"/>
      <c r="F4070" s="9"/>
      <c r="G4070" s="9"/>
      <c r="H4070" s="9"/>
      <c r="I4070" s="9"/>
      <c r="J4070" s="9"/>
      <c r="K4070" s="9"/>
      <c r="L4070" s="9"/>
      <c r="M4070" s="9"/>
      <c r="N4070" s="9"/>
      <c r="O4070" s="9"/>
      <c r="P4070" s="9"/>
      <c r="Q4070" s="9"/>
      <c r="R4070" s="9"/>
      <c r="S4070" s="9"/>
      <c r="T4070" s="9"/>
      <c r="U4070" s="9"/>
      <c r="V4070" s="9"/>
      <c r="W4070" s="9"/>
      <c r="X4070" s="9"/>
      <c r="Y4070" s="9"/>
      <c r="Z4070" s="9"/>
      <c r="AA4070" s="9"/>
      <c r="AB4070" s="9"/>
      <c r="AC4070" s="9"/>
      <c r="AD4070" s="9"/>
      <c r="AE4070" s="9"/>
      <c r="AF4070" s="9"/>
      <c r="AG4070" s="9"/>
      <c r="AH4070" s="9"/>
      <c r="AI4070" s="9"/>
      <c r="AJ4070" s="9"/>
      <c r="AK4070" s="9"/>
      <c r="AL4070" s="9"/>
      <c r="AM4070" s="9"/>
      <c r="AN4070" s="9"/>
      <c r="AO4070" s="9"/>
    </row>
    <row r="4071" spans="1:41" ht="14.25" x14ac:dyDescent="0.2">
      <c r="A4071" s="2">
        <v>8109250502</v>
      </c>
      <c r="B4071" s="3" t="s">
        <v>1075</v>
      </c>
      <c r="C4071" s="9"/>
      <c r="D4071" s="9"/>
      <c r="E4071" s="9"/>
      <c r="F4071" s="9"/>
      <c r="G4071" s="9"/>
      <c r="H4071" s="9"/>
      <c r="I4071" s="9"/>
      <c r="J4071" s="9"/>
      <c r="K4071" s="9"/>
      <c r="L4071" s="9"/>
      <c r="M4071" s="9"/>
      <c r="N4071" s="9"/>
      <c r="O4071" s="9"/>
      <c r="P4071" s="9"/>
      <c r="Q4071" s="9"/>
      <c r="R4071" s="9"/>
      <c r="S4071" s="9"/>
      <c r="T4071" s="9"/>
      <c r="U4071" s="9"/>
      <c r="V4071" s="9"/>
      <c r="W4071" s="9"/>
      <c r="X4071" s="9"/>
      <c r="Y4071" s="9"/>
      <c r="Z4071" s="9"/>
      <c r="AA4071" s="9"/>
      <c r="AB4071" s="9"/>
      <c r="AC4071" s="9"/>
      <c r="AD4071" s="9"/>
      <c r="AE4071" s="9"/>
      <c r="AF4071" s="9"/>
      <c r="AG4071" s="9"/>
      <c r="AH4071" s="9"/>
      <c r="AI4071" s="9"/>
      <c r="AJ4071" s="9"/>
      <c r="AK4071" s="9"/>
      <c r="AL4071" s="9"/>
      <c r="AM4071" s="9"/>
      <c r="AN4071" s="9"/>
      <c r="AO4071" s="9"/>
    </row>
    <row r="4072" spans="1:41" ht="14.25" x14ac:dyDescent="0.2">
      <c r="A4072" s="2">
        <v>81092506</v>
      </c>
      <c r="B4072" s="3" t="s">
        <v>1080</v>
      </c>
      <c r="C4072" s="9"/>
      <c r="D4072" s="9"/>
      <c r="E4072" s="9"/>
      <c r="F4072" s="9"/>
      <c r="G4072" s="9"/>
      <c r="H4072" s="9"/>
      <c r="I4072" s="9"/>
      <c r="J4072" s="9"/>
      <c r="K4072" s="9"/>
      <c r="L4072" s="9"/>
      <c r="M4072" s="9"/>
      <c r="N4072" s="9"/>
      <c r="O4072" s="9"/>
      <c r="P4072" s="9"/>
      <c r="Q4072" s="9"/>
      <c r="R4072" s="9"/>
      <c r="S4072" s="9"/>
      <c r="T4072" s="9"/>
      <c r="U4072" s="9"/>
      <c r="V4072" s="9"/>
      <c r="W4072" s="9"/>
      <c r="X4072" s="9"/>
      <c r="Y4072" s="9"/>
      <c r="Z4072" s="9"/>
      <c r="AA4072" s="9"/>
      <c r="AB4072" s="9"/>
      <c r="AC4072" s="9"/>
      <c r="AD4072" s="9"/>
      <c r="AE4072" s="9"/>
      <c r="AF4072" s="9"/>
      <c r="AG4072" s="9"/>
      <c r="AH4072" s="9"/>
      <c r="AI4072" s="9"/>
      <c r="AJ4072" s="9"/>
      <c r="AK4072" s="9"/>
      <c r="AL4072" s="9"/>
      <c r="AM4072" s="9"/>
      <c r="AN4072" s="9"/>
      <c r="AO4072" s="9"/>
    </row>
    <row r="4073" spans="1:41" ht="14.25" x14ac:dyDescent="0.2">
      <c r="A4073" s="2">
        <v>8109250601</v>
      </c>
      <c r="B4073" s="3" t="s">
        <v>1074</v>
      </c>
      <c r="C4073" s="9"/>
      <c r="D4073" s="9"/>
      <c r="E4073" s="9"/>
      <c r="F4073" s="9"/>
      <c r="G4073" s="9"/>
      <c r="H4073" s="9"/>
      <c r="I4073" s="9"/>
      <c r="J4073" s="9"/>
      <c r="K4073" s="9"/>
      <c r="L4073" s="9"/>
      <c r="M4073" s="9"/>
      <c r="N4073" s="9"/>
      <c r="O4073" s="9"/>
      <c r="P4073" s="9"/>
      <c r="Q4073" s="9"/>
      <c r="R4073" s="9"/>
      <c r="S4073" s="9"/>
      <c r="T4073" s="9"/>
      <c r="U4073" s="9"/>
      <c r="V4073" s="9"/>
      <c r="W4073" s="9"/>
      <c r="X4073" s="9"/>
      <c r="Y4073" s="9"/>
      <c r="Z4073" s="9"/>
      <c r="AA4073" s="9"/>
      <c r="AB4073" s="9"/>
      <c r="AC4073" s="9"/>
      <c r="AD4073" s="9"/>
      <c r="AE4073" s="9"/>
      <c r="AF4073" s="9"/>
      <c r="AG4073" s="9"/>
      <c r="AH4073" s="9"/>
      <c r="AI4073" s="9"/>
      <c r="AJ4073" s="9"/>
      <c r="AK4073" s="9"/>
      <c r="AL4073" s="9"/>
      <c r="AM4073" s="9"/>
      <c r="AN4073" s="9"/>
      <c r="AO4073" s="9"/>
    </row>
    <row r="4074" spans="1:41" ht="14.25" x14ac:dyDescent="0.2">
      <c r="A4074" s="2">
        <v>8109250602</v>
      </c>
      <c r="B4074" s="3" t="s">
        <v>1075</v>
      </c>
      <c r="C4074" s="9"/>
      <c r="D4074" s="9"/>
      <c r="E4074" s="9"/>
      <c r="F4074" s="9"/>
      <c r="G4074" s="9"/>
      <c r="H4074" s="9"/>
      <c r="I4074" s="9"/>
      <c r="J4074" s="9"/>
      <c r="K4074" s="9"/>
      <c r="L4074" s="9"/>
      <c r="M4074" s="9"/>
      <c r="N4074" s="9"/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  <c r="AA4074" s="9"/>
      <c r="AB4074" s="9"/>
      <c r="AC4074" s="9"/>
      <c r="AD4074" s="9"/>
      <c r="AE4074" s="9"/>
      <c r="AF4074" s="9"/>
      <c r="AG4074" s="9"/>
      <c r="AH4074" s="9"/>
      <c r="AI4074" s="9"/>
      <c r="AJ4074" s="9"/>
      <c r="AK4074" s="9"/>
      <c r="AL4074" s="9"/>
      <c r="AM4074" s="9"/>
      <c r="AN4074" s="9"/>
      <c r="AO4074" s="9"/>
    </row>
    <row r="4075" spans="1:41" ht="14.25" x14ac:dyDescent="0.2">
      <c r="A4075" s="2">
        <v>81092507</v>
      </c>
      <c r="B4075" s="3" t="s">
        <v>1081</v>
      </c>
      <c r="C4075" s="9"/>
      <c r="D4075" s="9"/>
      <c r="E4075" s="9"/>
      <c r="F4075" s="9"/>
      <c r="G4075" s="9"/>
      <c r="H4075" s="9"/>
      <c r="I4075" s="9"/>
      <c r="J4075" s="9"/>
      <c r="K4075" s="9"/>
      <c r="L4075" s="9"/>
      <c r="M4075" s="9"/>
      <c r="N4075" s="9"/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9"/>
      <c r="AB4075" s="9"/>
      <c r="AC4075" s="9"/>
      <c r="AD4075" s="9"/>
      <c r="AE4075" s="9"/>
      <c r="AF4075" s="9"/>
      <c r="AG4075" s="9"/>
      <c r="AH4075" s="9"/>
      <c r="AI4075" s="9"/>
      <c r="AJ4075" s="9"/>
      <c r="AK4075" s="9"/>
      <c r="AL4075" s="9"/>
      <c r="AM4075" s="9"/>
      <c r="AN4075" s="9"/>
      <c r="AO4075" s="9"/>
    </row>
    <row r="4076" spans="1:41" ht="14.25" x14ac:dyDescent="0.2">
      <c r="A4076" s="2">
        <v>8109250701</v>
      </c>
      <c r="B4076" s="3" t="s">
        <v>1074</v>
      </c>
      <c r="C4076" s="9"/>
      <c r="D4076" s="9"/>
      <c r="E4076" s="9"/>
      <c r="F4076" s="9"/>
      <c r="G4076" s="9"/>
      <c r="H4076" s="9"/>
      <c r="I4076" s="9"/>
      <c r="J4076" s="9"/>
      <c r="K4076" s="9"/>
      <c r="L4076" s="9"/>
      <c r="M4076" s="9"/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9"/>
      <c r="AC4076" s="9"/>
      <c r="AD4076" s="9"/>
      <c r="AE4076" s="9"/>
      <c r="AF4076" s="9"/>
      <c r="AG4076" s="9"/>
      <c r="AH4076" s="9"/>
      <c r="AI4076" s="9"/>
      <c r="AJ4076" s="9"/>
      <c r="AK4076" s="9"/>
      <c r="AL4076" s="9"/>
      <c r="AM4076" s="9"/>
      <c r="AN4076" s="9"/>
      <c r="AO4076" s="9"/>
    </row>
    <row r="4077" spans="1:41" ht="14.25" x14ac:dyDescent="0.2">
      <c r="A4077" s="2">
        <v>8109250702</v>
      </c>
      <c r="B4077" s="3" t="s">
        <v>1075</v>
      </c>
      <c r="C4077" s="9"/>
      <c r="D4077" s="9"/>
      <c r="E4077" s="9"/>
      <c r="F4077" s="9"/>
      <c r="G4077" s="9"/>
      <c r="H4077" s="9"/>
      <c r="I4077" s="9"/>
      <c r="J4077" s="9"/>
      <c r="K4077" s="9"/>
      <c r="L4077" s="9"/>
      <c r="M4077" s="9"/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  <c r="AB4077" s="9"/>
      <c r="AC4077" s="9"/>
      <c r="AD4077" s="9"/>
      <c r="AE4077" s="9"/>
      <c r="AF4077" s="9"/>
      <c r="AG4077" s="9"/>
      <c r="AH4077" s="9"/>
      <c r="AI4077" s="9"/>
      <c r="AJ4077" s="9"/>
      <c r="AK4077" s="9"/>
      <c r="AL4077" s="9"/>
      <c r="AM4077" s="9"/>
      <c r="AN4077" s="9"/>
      <c r="AO4077" s="9"/>
    </row>
    <row r="4078" spans="1:41" ht="14.25" x14ac:dyDescent="0.2">
      <c r="A4078" s="2">
        <v>81092508</v>
      </c>
      <c r="B4078" s="3" t="s">
        <v>1082</v>
      </c>
      <c r="C4078" s="9"/>
      <c r="D4078" s="9"/>
      <c r="E4078" s="9"/>
      <c r="F4078" s="9"/>
      <c r="G4078" s="9"/>
      <c r="H4078" s="9"/>
      <c r="I4078" s="9"/>
      <c r="J4078" s="9"/>
      <c r="K4078" s="9"/>
      <c r="L4078" s="9"/>
      <c r="M4078" s="9"/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9"/>
      <c r="AC4078" s="9"/>
      <c r="AD4078" s="9"/>
      <c r="AE4078" s="9"/>
      <c r="AF4078" s="9"/>
      <c r="AG4078" s="9"/>
      <c r="AH4078" s="9"/>
      <c r="AI4078" s="9"/>
      <c r="AJ4078" s="9"/>
      <c r="AK4078" s="9"/>
      <c r="AL4078" s="9"/>
      <c r="AM4078" s="9"/>
      <c r="AN4078" s="9"/>
      <c r="AO4078" s="9"/>
    </row>
    <row r="4079" spans="1:41" ht="14.25" x14ac:dyDescent="0.2">
      <c r="A4079" s="2">
        <v>8109250801</v>
      </c>
      <c r="B4079" s="3" t="s">
        <v>1074</v>
      </c>
      <c r="C4079" s="9"/>
      <c r="D4079" s="9"/>
      <c r="E4079" s="9"/>
      <c r="F4079" s="9"/>
      <c r="G4079" s="9"/>
      <c r="H4079" s="9"/>
      <c r="I4079" s="9"/>
      <c r="J4079" s="9"/>
      <c r="K4079" s="9"/>
      <c r="L4079" s="9"/>
      <c r="M4079" s="9"/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  <c r="AB4079" s="9"/>
      <c r="AC4079" s="9"/>
      <c r="AD4079" s="9"/>
      <c r="AE4079" s="9"/>
      <c r="AF4079" s="9"/>
      <c r="AG4079" s="9"/>
      <c r="AH4079" s="9"/>
      <c r="AI4079" s="9"/>
      <c r="AJ4079" s="9"/>
      <c r="AK4079" s="9"/>
      <c r="AL4079" s="9"/>
      <c r="AM4079" s="9"/>
      <c r="AN4079" s="9"/>
      <c r="AO4079" s="9"/>
    </row>
    <row r="4080" spans="1:41" ht="14.25" x14ac:dyDescent="0.2">
      <c r="A4080" s="2">
        <v>8109250802</v>
      </c>
      <c r="B4080" s="3" t="s">
        <v>1075</v>
      </c>
      <c r="C4080" s="9"/>
      <c r="D4080" s="9"/>
      <c r="E4080" s="9"/>
      <c r="F4080" s="9"/>
      <c r="G4080" s="9"/>
      <c r="H4080" s="9"/>
      <c r="I4080" s="9"/>
      <c r="J4080" s="9"/>
      <c r="K4080" s="9"/>
      <c r="L4080" s="9"/>
      <c r="M4080" s="9"/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  <c r="AB4080" s="9"/>
      <c r="AC4080" s="9"/>
      <c r="AD4080" s="9"/>
      <c r="AE4080" s="9"/>
      <c r="AF4080" s="9"/>
      <c r="AG4080" s="9"/>
      <c r="AH4080" s="9"/>
      <c r="AI4080" s="9"/>
      <c r="AJ4080" s="9"/>
      <c r="AK4080" s="9"/>
      <c r="AL4080" s="9"/>
      <c r="AM4080" s="9"/>
      <c r="AN4080" s="9"/>
      <c r="AO4080" s="9"/>
    </row>
    <row r="4081" spans="1:41" ht="14.25" x14ac:dyDescent="0.2">
      <c r="A4081" s="2">
        <v>81092509</v>
      </c>
      <c r="B4081" s="3" t="s">
        <v>1083</v>
      </c>
      <c r="C4081" s="9"/>
      <c r="D4081" s="9"/>
      <c r="E4081" s="9"/>
      <c r="F4081" s="9"/>
      <c r="G4081" s="9"/>
      <c r="H4081" s="9"/>
      <c r="I4081" s="9"/>
      <c r="J4081" s="9"/>
      <c r="K4081" s="9"/>
      <c r="L4081" s="9"/>
      <c r="M4081" s="9"/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  <c r="AB4081" s="9"/>
      <c r="AC4081" s="9"/>
      <c r="AD4081" s="9"/>
      <c r="AE4081" s="9"/>
      <c r="AF4081" s="9"/>
      <c r="AG4081" s="9"/>
      <c r="AH4081" s="9"/>
      <c r="AI4081" s="9"/>
      <c r="AJ4081" s="9"/>
      <c r="AK4081" s="9"/>
      <c r="AL4081" s="9"/>
      <c r="AM4081" s="9"/>
      <c r="AN4081" s="9"/>
      <c r="AO4081" s="9"/>
    </row>
    <row r="4082" spans="1:41" ht="14.25" x14ac:dyDescent="0.2">
      <c r="A4082" s="2">
        <v>8109250901</v>
      </c>
      <c r="B4082" s="3" t="s">
        <v>1074</v>
      </c>
      <c r="C4082" s="9"/>
      <c r="D4082" s="9"/>
      <c r="E4082" s="9"/>
      <c r="F4082" s="9"/>
      <c r="G4082" s="9"/>
      <c r="H4082" s="9"/>
      <c r="I4082" s="9"/>
      <c r="J4082" s="9"/>
      <c r="K4082" s="9"/>
      <c r="L4082" s="9"/>
      <c r="M4082" s="9"/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9"/>
      <c r="AE4082" s="9"/>
      <c r="AF4082" s="9"/>
      <c r="AG4082" s="9"/>
      <c r="AH4082" s="9"/>
      <c r="AI4082" s="9"/>
      <c r="AJ4082" s="9"/>
      <c r="AK4082" s="9"/>
      <c r="AL4082" s="9"/>
      <c r="AM4082" s="9"/>
      <c r="AN4082" s="9"/>
      <c r="AO4082" s="9"/>
    </row>
    <row r="4083" spans="1:41" ht="14.25" x14ac:dyDescent="0.2">
      <c r="A4083" s="2">
        <v>8109250902</v>
      </c>
      <c r="B4083" s="3" t="s">
        <v>1075</v>
      </c>
      <c r="C4083" s="9"/>
      <c r="D4083" s="9"/>
      <c r="E4083" s="9"/>
      <c r="F4083" s="9"/>
      <c r="G4083" s="9"/>
      <c r="H4083" s="9"/>
      <c r="I4083" s="9"/>
      <c r="J4083" s="9"/>
      <c r="K4083" s="9"/>
      <c r="L4083" s="9"/>
      <c r="M4083" s="9"/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9"/>
      <c r="AE4083" s="9"/>
      <c r="AF4083" s="9"/>
      <c r="AG4083" s="9"/>
      <c r="AH4083" s="9"/>
      <c r="AI4083" s="9"/>
      <c r="AJ4083" s="9"/>
      <c r="AK4083" s="9"/>
      <c r="AL4083" s="9"/>
      <c r="AM4083" s="9"/>
      <c r="AN4083" s="9"/>
      <c r="AO4083" s="9"/>
    </row>
    <row r="4084" spans="1:41" ht="14.25" x14ac:dyDescent="0.2">
      <c r="A4084" s="2">
        <v>81092511</v>
      </c>
      <c r="B4084" s="3" t="s">
        <v>1084</v>
      </c>
      <c r="C4084" s="9"/>
      <c r="D4084" s="9"/>
      <c r="E4084" s="9"/>
      <c r="F4084" s="9"/>
      <c r="G4084" s="9"/>
      <c r="H4084" s="9"/>
      <c r="I4084" s="9"/>
      <c r="J4084" s="9"/>
      <c r="K4084" s="9"/>
      <c r="L4084" s="9"/>
      <c r="M4084" s="9"/>
      <c r="N4084" s="9"/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  <c r="AB4084" s="9"/>
      <c r="AC4084" s="9"/>
      <c r="AD4084" s="9"/>
      <c r="AE4084" s="9"/>
      <c r="AF4084" s="9"/>
      <c r="AG4084" s="9"/>
      <c r="AH4084" s="9"/>
      <c r="AI4084" s="9"/>
      <c r="AJ4084" s="9"/>
      <c r="AK4084" s="9"/>
      <c r="AL4084" s="9"/>
      <c r="AM4084" s="9"/>
      <c r="AN4084" s="9"/>
      <c r="AO4084" s="9"/>
    </row>
    <row r="4085" spans="1:41" ht="14.25" x14ac:dyDescent="0.2">
      <c r="A4085" s="2">
        <v>8109251101</v>
      </c>
      <c r="B4085" s="3" t="s">
        <v>1085</v>
      </c>
      <c r="C4085" s="9"/>
      <c r="D4085" s="9"/>
      <c r="E4085" s="9"/>
      <c r="F4085" s="9"/>
      <c r="G4085" s="9"/>
      <c r="H4085" s="9"/>
      <c r="I4085" s="9"/>
      <c r="J4085" s="9"/>
      <c r="K4085" s="9"/>
      <c r="L4085" s="9"/>
      <c r="M4085" s="9"/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  <c r="AE4085" s="9"/>
      <c r="AF4085" s="9"/>
      <c r="AG4085" s="9"/>
      <c r="AH4085" s="9"/>
      <c r="AI4085" s="9"/>
      <c r="AJ4085" s="9"/>
      <c r="AK4085" s="9"/>
      <c r="AL4085" s="9"/>
      <c r="AM4085" s="9"/>
      <c r="AN4085" s="9"/>
      <c r="AO4085" s="9"/>
    </row>
    <row r="4086" spans="1:41" ht="14.25" x14ac:dyDescent="0.2">
      <c r="A4086" s="2">
        <v>8109251102</v>
      </c>
      <c r="B4086" s="3" t="s">
        <v>1086</v>
      </c>
      <c r="C4086" s="9"/>
      <c r="D4086" s="9"/>
      <c r="E4086" s="9"/>
      <c r="F4086" s="9"/>
      <c r="G4086" s="9"/>
      <c r="H4086" s="9"/>
      <c r="I4086" s="9"/>
      <c r="J4086" s="9"/>
      <c r="K4086" s="9"/>
      <c r="L4086" s="9"/>
      <c r="M4086" s="9"/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9"/>
      <c r="AG4086" s="9"/>
      <c r="AH4086" s="9"/>
      <c r="AI4086" s="9"/>
      <c r="AJ4086" s="9"/>
      <c r="AK4086" s="9"/>
      <c r="AL4086" s="9"/>
      <c r="AM4086" s="9"/>
      <c r="AN4086" s="9"/>
      <c r="AO4086" s="9"/>
    </row>
    <row r="4087" spans="1:41" ht="14.25" x14ac:dyDescent="0.2">
      <c r="A4087" s="2">
        <v>81092512</v>
      </c>
      <c r="B4087" s="3" t="s">
        <v>1087</v>
      </c>
      <c r="C4087" s="9"/>
      <c r="D4087" s="9"/>
      <c r="E4087" s="9"/>
      <c r="F4087" s="9"/>
      <c r="G4087" s="9"/>
      <c r="H4087" s="9"/>
      <c r="I4087" s="9"/>
      <c r="J4087" s="9"/>
      <c r="K4087" s="9"/>
      <c r="L4087" s="9"/>
      <c r="M4087" s="9"/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  <c r="AE4087" s="9"/>
      <c r="AF4087" s="9"/>
      <c r="AG4087" s="9"/>
      <c r="AH4087" s="9"/>
      <c r="AI4087" s="9"/>
      <c r="AJ4087" s="9"/>
      <c r="AK4087" s="9"/>
      <c r="AL4087" s="9"/>
      <c r="AM4087" s="9"/>
      <c r="AN4087" s="9"/>
      <c r="AO4087" s="9"/>
    </row>
    <row r="4088" spans="1:41" ht="14.25" x14ac:dyDescent="0.2">
      <c r="A4088" s="2">
        <v>8109251201</v>
      </c>
      <c r="B4088" s="3" t="s">
        <v>1085</v>
      </c>
      <c r="C4088" s="9"/>
      <c r="D4088" s="9"/>
      <c r="E4088" s="9"/>
      <c r="F4088" s="9"/>
      <c r="G4088" s="9"/>
      <c r="H4088" s="9"/>
      <c r="I4088" s="9"/>
      <c r="J4088" s="9"/>
      <c r="K4088" s="9"/>
      <c r="L4088" s="9"/>
      <c r="M4088" s="9"/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9"/>
      <c r="AC4088" s="9"/>
      <c r="AD4088" s="9"/>
      <c r="AE4088" s="9"/>
      <c r="AF4088" s="9"/>
      <c r="AG4088" s="9"/>
      <c r="AH4088" s="9"/>
      <c r="AI4088" s="9"/>
      <c r="AJ4088" s="9"/>
      <c r="AK4088" s="9"/>
      <c r="AL4088" s="9"/>
      <c r="AM4088" s="9"/>
      <c r="AN4088" s="9"/>
      <c r="AO4088" s="9"/>
    </row>
    <row r="4089" spans="1:41" ht="14.25" x14ac:dyDescent="0.2">
      <c r="A4089" s="2">
        <v>8109251202</v>
      </c>
      <c r="B4089" s="3" t="s">
        <v>1086</v>
      </c>
      <c r="C4089" s="9"/>
      <c r="D4089" s="9"/>
      <c r="E4089" s="9"/>
      <c r="F4089" s="9"/>
      <c r="G4089" s="9"/>
      <c r="H4089" s="9"/>
      <c r="I4089" s="9"/>
      <c r="J4089" s="9"/>
      <c r="K4089" s="9"/>
      <c r="L4089" s="9"/>
      <c r="M4089" s="9"/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9"/>
      <c r="AF4089" s="9"/>
      <c r="AG4089" s="9"/>
      <c r="AH4089" s="9"/>
      <c r="AI4089" s="9"/>
      <c r="AJ4089" s="9"/>
      <c r="AK4089" s="9"/>
      <c r="AL4089" s="9"/>
      <c r="AM4089" s="9"/>
      <c r="AN4089" s="9"/>
      <c r="AO4089" s="9"/>
    </row>
    <row r="4090" spans="1:41" ht="14.25" x14ac:dyDescent="0.2">
      <c r="A4090" s="2">
        <v>81092513</v>
      </c>
      <c r="B4090" s="3" t="s">
        <v>1088</v>
      </c>
      <c r="C4090" s="9"/>
      <c r="D4090" s="9"/>
      <c r="E4090" s="9"/>
      <c r="F4090" s="9"/>
      <c r="G4090" s="9"/>
      <c r="H4090" s="9"/>
      <c r="I4090" s="9"/>
      <c r="J4090" s="9"/>
      <c r="K4090" s="9"/>
      <c r="L4090" s="9"/>
      <c r="M4090" s="9"/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9"/>
      <c r="AC4090" s="9"/>
      <c r="AD4090" s="9"/>
      <c r="AE4090" s="9"/>
      <c r="AF4090" s="9"/>
      <c r="AG4090" s="9"/>
      <c r="AH4090" s="9"/>
      <c r="AI4090" s="9"/>
      <c r="AJ4090" s="9"/>
      <c r="AK4090" s="9"/>
      <c r="AL4090" s="9"/>
      <c r="AM4090" s="9"/>
      <c r="AN4090" s="9"/>
      <c r="AO4090" s="9"/>
    </row>
    <row r="4091" spans="1:41" ht="14.25" x14ac:dyDescent="0.2">
      <c r="A4091" s="2">
        <v>8109251301</v>
      </c>
      <c r="B4091" s="3" t="s">
        <v>1085</v>
      </c>
      <c r="C4091" s="9"/>
      <c r="D4091" s="9"/>
      <c r="E4091" s="9"/>
      <c r="F4091" s="9"/>
      <c r="G4091" s="9"/>
      <c r="H4091" s="9"/>
      <c r="I4091" s="9"/>
      <c r="J4091" s="9"/>
      <c r="K4091" s="9"/>
      <c r="L4091" s="9"/>
      <c r="M4091" s="9"/>
      <c r="N4091" s="9"/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9"/>
      <c r="AC4091" s="9"/>
      <c r="AD4091" s="9"/>
      <c r="AE4091" s="9"/>
      <c r="AF4091" s="9"/>
      <c r="AG4091" s="9"/>
      <c r="AH4091" s="9"/>
      <c r="AI4091" s="9"/>
      <c r="AJ4091" s="9"/>
      <c r="AK4091" s="9"/>
      <c r="AL4091" s="9"/>
      <c r="AM4091" s="9"/>
      <c r="AN4091" s="9"/>
      <c r="AO4091" s="9"/>
    </row>
    <row r="4092" spans="1:41" ht="14.25" x14ac:dyDescent="0.2">
      <c r="A4092" s="2">
        <v>8109251302</v>
      </c>
      <c r="B4092" s="3" t="s">
        <v>1086</v>
      </c>
      <c r="C4092" s="9"/>
      <c r="D4092" s="9"/>
      <c r="E4092" s="9"/>
      <c r="F4092" s="9"/>
      <c r="G4092" s="9"/>
      <c r="H4092" s="9"/>
      <c r="I4092" s="9"/>
      <c r="J4092" s="9"/>
      <c r="K4092" s="9"/>
      <c r="L4092" s="9"/>
      <c r="M4092" s="9"/>
      <c r="N4092" s="9"/>
      <c r="O4092" s="9"/>
      <c r="P4092" s="9"/>
      <c r="Q4092" s="9"/>
      <c r="R4092" s="9"/>
      <c r="S4092" s="9"/>
      <c r="T4092" s="9"/>
      <c r="U4092" s="9"/>
      <c r="V4092" s="9"/>
      <c r="W4092" s="9"/>
      <c r="X4092" s="9"/>
      <c r="Y4092" s="9"/>
      <c r="Z4092" s="9"/>
      <c r="AA4092" s="9"/>
      <c r="AB4092" s="9"/>
      <c r="AC4092" s="9"/>
      <c r="AD4092" s="9"/>
      <c r="AE4092" s="9"/>
      <c r="AF4092" s="9"/>
      <c r="AG4092" s="9"/>
      <c r="AH4092" s="9"/>
      <c r="AI4092" s="9"/>
      <c r="AJ4092" s="9"/>
      <c r="AK4092" s="9"/>
      <c r="AL4092" s="9"/>
      <c r="AM4092" s="9"/>
      <c r="AN4092" s="9"/>
      <c r="AO4092" s="9"/>
    </row>
    <row r="4093" spans="1:41" ht="14.25" x14ac:dyDescent="0.2">
      <c r="A4093" s="2">
        <v>810926</v>
      </c>
      <c r="B4093" s="3" t="s">
        <v>1089</v>
      </c>
      <c r="C4093" s="9"/>
      <c r="D4093" s="9"/>
      <c r="E4093" s="9"/>
      <c r="F4093" s="9"/>
      <c r="G4093" s="9"/>
      <c r="H4093" s="9"/>
      <c r="I4093" s="9"/>
      <c r="J4093" s="9"/>
      <c r="K4093" s="9"/>
      <c r="L4093" s="9"/>
      <c r="M4093" s="9"/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9"/>
      <c r="AD4093" s="9"/>
      <c r="AE4093" s="9"/>
      <c r="AF4093" s="9"/>
      <c r="AG4093" s="9"/>
      <c r="AH4093" s="9"/>
      <c r="AI4093" s="9"/>
      <c r="AJ4093" s="9"/>
      <c r="AK4093" s="9"/>
      <c r="AL4093" s="9"/>
      <c r="AM4093" s="9"/>
      <c r="AN4093" s="9"/>
      <c r="AO4093" s="9"/>
    </row>
    <row r="4094" spans="1:41" ht="14.25" x14ac:dyDescent="0.2">
      <c r="A4094" s="2">
        <v>81092601</v>
      </c>
      <c r="B4094" s="3" t="s">
        <v>1073</v>
      </c>
      <c r="C4094" s="9"/>
      <c r="D4094" s="9"/>
      <c r="E4094" s="9"/>
      <c r="F4094" s="9"/>
      <c r="G4094" s="9"/>
      <c r="H4094" s="9"/>
      <c r="I4094" s="9"/>
      <c r="J4094" s="9"/>
      <c r="K4094" s="9"/>
      <c r="L4094" s="9"/>
      <c r="M4094" s="9"/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9"/>
      <c r="AD4094" s="9"/>
      <c r="AE4094" s="9"/>
      <c r="AF4094" s="9"/>
      <c r="AG4094" s="9"/>
      <c r="AH4094" s="9"/>
      <c r="AI4094" s="9"/>
      <c r="AJ4094" s="9"/>
      <c r="AK4094" s="9"/>
      <c r="AL4094" s="9"/>
      <c r="AM4094" s="9"/>
      <c r="AN4094" s="9"/>
      <c r="AO4094" s="9"/>
    </row>
    <row r="4095" spans="1:41" ht="14.25" x14ac:dyDescent="0.2">
      <c r="A4095" s="2">
        <v>8109260101</v>
      </c>
      <c r="B4095" s="3" t="s">
        <v>1074</v>
      </c>
      <c r="C4095" s="9"/>
      <c r="D4095" s="9"/>
      <c r="E4095" s="9"/>
      <c r="F4095" s="9"/>
      <c r="G4095" s="9"/>
      <c r="H4095" s="9"/>
      <c r="I4095" s="9"/>
      <c r="J4095" s="9"/>
      <c r="K4095" s="9"/>
      <c r="L4095" s="9"/>
      <c r="M4095" s="9"/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  <c r="AB4095" s="9"/>
      <c r="AC4095" s="9"/>
      <c r="AD4095" s="9"/>
      <c r="AE4095" s="9"/>
      <c r="AF4095" s="9"/>
      <c r="AG4095" s="9"/>
      <c r="AH4095" s="9"/>
      <c r="AI4095" s="9"/>
      <c r="AJ4095" s="9"/>
      <c r="AK4095" s="9"/>
      <c r="AL4095" s="9"/>
      <c r="AM4095" s="9"/>
      <c r="AN4095" s="9"/>
      <c r="AO4095" s="9"/>
    </row>
    <row r="4096" spans="1:41" ht="14.25" x14ac:dyDescent="0.2">
      <c r="A4096" s="2">
        <v>8109260102</v>
      </c>
      <c r="B4096" s="3" t="s">
        <v>1075</v>
      </c>
      <c r="C4096" s="9"/>
      <c r="D4096" s="9"/>
      <c r="E4096" s="9"/>
      <c r="F4096" s="9"/>
      <c r="G4096" s="9"/>
      <c r="H4096" s="9"/>
      <c r="I4096" s="9"/>
      <c r="J4096" s="9"/>
      <c r="K4096" s="9"/>
      <c r="L4096" s="9"/>
      <c r="M4096" s="9"/>
      <c r="N4096" s="9"/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  <c r="Z4096" s="9"/>
      <c r="AA4096" s="9"/>
      <c r="AB4096" s="9"/>
      <c r="AC4096" s="9"/>
      <c r="AD4096" s="9"/>
      <c r="AE4096" s="9"/>
      <c r="AF4096" s="9"/>
      <c r="AG4096" s="9"/>
      <c r="AH4096" s="9"/>
      <c r="AI4096" s="9"/>
      <c r="AJ4096" s="9"/>
      <c r="AK4096" s="9"/>
      <c r="AL4096" s="9"/>
      <c r="AM4096" s="9"/>
      <c r="AN4096" s="9"/>
      <c r="AO4096" s="9"/>
    </row>
    <row r="4097" spans="1:41" ht="14.25" x14ac:dyDescent="0.2">
      <c r="A4097" s="2">
        <v>81092602</v>
      </c>
      <c r="B4097" s="3" t="s">
        <v>1076</v>
      </c>
      <c r="C4097" s="9"/>
      <c r="D4097" s="9"/>
      <c r="E4097" s="9"/>
      <c r="F4097" s="9"/>
      <c r="G4097" s="9"/>
      <c r="H4097" s="9"/>
      <c r="I4097" s="9"/>
      <c r="J4097" s="9"/>
      <c r="K4097" s="9"/>
      <c r="L4097" s="9"/>
      <c r="M4097" s="9"/>
      <c r="N4097" s="9"/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  <c r="AA4097" s="9"/>
      <c r="AB4097" s="9"/>
      <c r="AC4097" s="9"/>
      <c r="AD4097" s="9"/>
      <c r="AE4097" s="9"/>
      <c r="AF4097" s="9"/>
      <c r="AG4097" s="9"/>
      <c r="AH4097" s="9"/>
      <c r="AI4097" s="9"/>
      <c r="AJ4097" s="9"/>
      <c r="AK4097" s="9"/>
      <c r="AL4097" s="9"/>
      <c r="AM4097" s="9"/>
      <c r="AN4097" s="9"/>
      <c r="AO4097" s="9"/>
    </row>
    <row r="4098" spans="1:41" ht="14.25" x14ac:dyDescent="0.2">
      <c r="A4098" s="2">
        <v>8109260201</v>
      </c>
      <c r="B4098" s="3" t="s">
        <v>1074</v>
      </c>
      <c r="C4098" s="9"/>
      <c r="D4098" s="9"/>
      <c r="E4098" s="9"/>
      <c r="F4098" s="9"/>
      <c r="G4098" s="9"/>
      <c r="H4098" s="9"/>
      <c r="I4098" s="9"/>
      <c r="J4098" s="9"/>
      <c r="K4098" s="9"/>
      <c r="L4098" s="9"/>
      <c r="M4098" s="9"/>
      <c r="N4098" s="9"/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9"/>
      <c r="AB4098" s="9"/>
      <c r="AC4098" s="9"/>
      <c r="AD4098" s="9"/>
      <c r="AE4098" s="9"/>
      <c r="AF4098" s="9"/>
      <c r="AG4098" s="9"/>
      <c r="AH4098" s="9"/>
      <c r="AI4098" s="9"/>
      <c r="AJ4098" s="9"/>
      <c r="AK4098" s="9"/>
      <c r="AL4098" s="9"/>
      <c r="AM4098" s="9"/>
      <c r="AN4098" s="9"/>
      <c r="AO4098" s="9"/>
    </row>
    <row r="4099" spans="1:41" ht="14.25" x14ac:dyDescent="0.2">
      <c r="A4099" s="2">
        <v>8109260202</v>
      </c>
      <c r="B4099" s="3" t="s">
        <v>1075</v>
      </c>
      <c r="C4099" s="9"/>
      <c r="D4099" s="9"/>
      <c r="E4099" s="9"/>
      <c r="F4099" s="9"/>
      <c r="G4099" s="9"/>
      <c r="H4099" s="9"/>
      <c r="I4099" s="9"/>
      <c r="J4099" s="9"/>
      <c r="K4099" s="9"/>
      <c r="L4099" s="9"/>
      <c r="M4099" s="9"/>
      <c r="N4099" s="9"/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  <c r="AA4099" s="9"/>
      <c r="AB4099" s="9"/>
      <c r="AC4099" s="9"/>
      <c r="AD4099" s="9"/>
      <c r="AE4099" s="9"/>
      <c r="AF4099" s="9"/>
      <c r="AG4099" s="9"/>
      <c r="AH4099" s="9"/>
      <c r="AI4099" s="9"/>
      <c r="AJ4099" s="9"/>
      <c r="AK4099" s="9"/>
      <c r="AL4099" s="9"/>
      <c r="AM4099" s="9"/>
      <c r="AN4099" s="9"/>
      <c r="AO4099" s="9"/>
    </row>
    <row r="4100" spans="1:41" ht="14.25" x14ac:dyDescent="0.2">
      <c r="A4100" s="2">
        <v>81092603</v>
      </c>
      <c r="B4100" s="3" t="s">
        <v>1077</v>
      </c>
      <c r="C4100" s="9"/>
      <c r="D4100" s="9"/>
      <c r="E4100" s="9"/>
      <c r="F4100" s="9"/>
      <c r="G4100" s="9"/>
      <c r="H4100" s="9"/>
      <c r="I4100" s="9"/>
      <c r="J4100" s="9"/>
      <c r="K4100" s="9"/>
      <c r="L4100" s="9"/>
      <c r="M4100" s="9"/>
      <c r="N4100" s="9"/>
      <c r="O4100" s="9"/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  <c r="AA4100" s="9"/>
      <c r="AB4100" s="9"/>
      <c r="AC4100" s="9"/>
      <c r="AD4100" s="9"/>
      <c r="AE4100" s="9"/>
      <c r="AF4100" s="9"/>
      <c r="AG4100" s="9"/>
      <c r="AH4100" s="9"/>
      <c r="AI4100" s="9"/>
      <c r="AJ4100" s="9"/>
      <c r="AK4100" s="9"/>
      <c r="AL4100" s="9"/>
      <c r="AM4100" s="9"/>
      <c r="AN4100" s="9"/>
      <c r="AO4100" s="9"/>
    </row>
    <row r="4101" spans="1:41" ht="14.25" x14ac:dyDescent="0.2">
      <c r="A4101" s="2">
        <v>8109260301</v>
      </c>
      <c r="B4101" s="3" t="s">
        <v>1074</v>
      </c>
      <c r="C4101" s="9"/>
      <c r="D4101" s="9"/>
      <c r="E4101" s="9"/>
      <c r="F4101" s="9"/>
      <c r="G4101" s="9"/>
      <c r="H4101" s="9"/>
      <c r="I4101" s="9"/>
      <c r="J4101" s="9"/>
      <c r="K4101" s="9"/>
      <c r="L4101" s="9"/>
      <c r="M4101" s="9"/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  <c r="AB4101" s="9"/>
      <c r="AC4101" s="9"/>
      <c r="AD4101" s="9"/>
      <c r="AE4101" s="9"/>
      <c r="AF4101" s="9"/>
      <c r="AG4101" s="9"/>
      <c r="AH4101" s="9"/>
      <c r="AI4101" s="9"/>
      <c r="AJ4101" s="9"/>
      <c r="AK4101" s="9"/>
      <c r="AL4101" s="9"/>
      <c r="AM4101" s="9"/>
      <c r="AN4101" s="9"/>
      <c r="AO4101" s="9"/>
    </row>
    <row r="4102" spans="1:41" ht="14.25" x14ac:dyDescent="0.2">
      <c r="A4102" s="2">
        <v>8109260302</v>
      </c>
      <c r="B4102" s="3" t="s">
        <v>1075</v>
      </c>
      <c r="C4102" s="9"/>
      <c r="D4102" s="9"/>
      <c r="E4102" s="9"/>
      <c r="F4102" s="9"/>
      <c r="G4102" s="9"/>
      <c r="H4102" s="9"/>
      <c r="I4102" s="9"/>
      <c r="J4102" s="9"/>
      <c r="K4102" s="9"/>
      <c r="L4102" s="9"/>
      <c r="M4102" s="9"/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9"/>
      <c r="AE4102" s="9"/>
      <c r="AF4102" s="9"/>
      <c r="AG4102" s="9"/>
      <c r="AH4102" s="9"/>
      <c r="AI4102" s="9"/>
      <c r="AJ4102" s="9"/>
      <c r="AK4102" s="9"/>
      <c r="AL4102" s="9"/>
      <c r="AM4102" s="9"/>
      <c r="AN4102" s="9"/>
      <c r="AO4102" s="9"/>
    </row>
    <row r="4103" spans="1:41" ht="14.25" x14ac:dyDescent="0.2">
      <c r="A4103" s="2">
        <v>81092604</v>
      </c>
      <c r="B4103" s="3" t="s">
        <v>1078</v>
      </c>
      <c r="C4103" s="9"/>
      <c r="D4103" s="9"/>
      <c r="E4103" s="9"/>
      <c r="F4103" s="9"/>
      <c r="G4103" s="9"/>
      <c r="H4103" s="9"/>
      <c r="I4103" s="9"/>
      <c r="J4103" s="9"/>
      <c r="K4103" s="9"/>
      <c r="L4103" s="9"/>
      <c r="M4103" s="9"/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  <c r="AE4103" s="9"/>
      <c r="AF4103" s="9"/>
      <c r="AG4103" s="9"/>
      <c r="AH4103" s="9"/>
      <c r="AI4103" s="9"/>
      <c r="AJ4103" s="9"/>
      <c r="AK4103" s="9"/>
      <c r="AL4103" s="9"/>
      <c r="AM4103" s="9"/>
      <c r="AN4103" s="9"/>
      <c r="AO4103" s="9"/>
    </row>
    <row r="4104" spans="1:41" ht="14.25" x14ac:dyDescent="0.2">
      <c r="A4104" s="2">
        <v>8109260401</v>
      </c>
      <c r="B4104" s="3" t="s">
        <v>1074</v>
      </c>
      <c r="C4104" s="9"/>
      <c r="D4104" s="9"/>
      <c r="E4104" s="9"/>
      <c r="F4104" s="9"/>
      <c r="G4104" s="9"/>
      <c r="H4104" s="9"/>
      <c r="I4104" s="9"/>
      <c r="J4104" s="9"/>
      <c r="K4104" s="9"/>
      <c r="L4104" s="9"/>
      <c r="M4104" s="9"/>
      <c r="N4104" s="9"/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/>
      <c r="AA4104" s="9"/>
      <c r="AB4104" s="9"/>
      <c r="AC4104" s="9"/>
      <c r="AD4104" s="9"/>
      <c r="AE4104" s="9"/>
      <c r="AF4104" s="9"/>
      <c r="AG4104" s="9"/>
      <c r="AH4104" s="9"/>
      <c r="AI4104" s="9"/>
      <c r="AJ4104" s="9"/>
      <c r="AK4104" s="9"/>
      <c r="AL4104" s="9"/>
      <c r="AM4104" s="9"/>
      <c r="AN4104" s="9"/>
      <c r="AO4104" s="9"/>
    </row>
    <row r="4105" spans="1:41" ht="14.25" x14ac:dyDescent="0.2">
      <c r="A4105" s="2">
        <v>8109260402</v>
      </c>
      <c r="B4105" s="3" t="s">
        <v>1075</v>
      </c>
      <c r="C4105" s="9"/>
      <c r="D4105" s="9"/>
      <c r="E4105" s="9"/>
      <c r="F4105" s="9"/>
      <c r="G4105" s="9"/>
      <c r="H4105" s="9"/>
      <c r="I4105" s="9"/>
      <c r="J4105" s="9"/>
      <c r="K4105" s="9"/>
      <c r="L4105" s="9"/>
      <c r="M4105" s="9"/>
      <c r="N4105" s="9"/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9"/>
      <c r="AC4105" s="9"/>
      <c r="AD4105" s="9"/>
      <c r="AE4105" s="9"/>
      <c r="AF4105" s="9"/>
      <c r="AG4105" s="9"/>
      <c r="AH4105" s="9"/>
      <c r="AI4105" s="9"/>
      <c r="AJ4105" s="9"/>
      <c r="AK4105" s="9"/>
      <c r="AL4105" s="9"/>
      <c r="AM4105" s="9"/>
      <c r="AN4105" s="9"/>
      <c r="AO4105" s="9"/>
    </row>
    <row r="4106" spans="1:41" ht="14.25" x14ac:dyDescent="0.2">
      <c r="A4106" s="2">
        <v>81092605</v>
      </c>
      <c r="B4106" s="3" t="s">
        <v>1079</v>
      </c>
      <c r="C4106" s="9"/>
      <c r="D4106" s="9"/>
      <c r="E4106" s="9"/>
      <c r="F4106" s="9"/>
      <c r="G4106" s="9"/>
      <c r="H4106" s="9"/>
      <c r="I4106" s="9"/>
      <c r="J4106" s="9"/>
      <c r="K4106" s="9"/>
      <c r="L4106" s="9"/>
      <c r="M4106" s="9"/>
      <c r="N4106" s="9"/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  <c r="AB4106" s="9"/>
      <c r="AC4106" s="9"/>
      <c r="AD4106" s="9"/>
      <c r="AE4106" s="9"/>
      <c r="AF4106" s="9"/>
      <c r="AG4106" s="9"/>
      <c r="AH4106" s="9"/>
      <c r="AI4106" s="9"/>
      <c r="AJ4106" s="9"/>
      <c r="AK4106" s="9"/>
      <c r="AL4106" s="9"/>
      <c r="AM4106" s="9"/>
      <c r="AN4106" s="9"/>
      <c r="AO4106" s="9"/>
    </row>
    <row r="4107" spans="1:41" ht="14.25" x14ac:dyDescent="0.2">
      <c r="A4107" s="2">
        <v>8109260501</v>
      </c>
      <c r="B4107" s="3" t="s">
        <v>1074</v>
      </c>
      <c r="C4107" s="9"/>
      <c r="D4107" s="9"/>
      <c r="E4107" s="9"/>
      <c r="F4107" s="9"/>
      <c r="G4107" s="9"/>
      <c r="H4107" s="9"/>
      <c r="I4107" s="9"/>
      <c r="J4107" s="9"/>
      <c r="K4107" s="9"/>
      <c r="L4107" s="9"/>
      <c r="M4107" s="9"/>
      <c r="N4107" s="9"/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  <c r="AB4107" s="9"/>
      <c r="AC4107" s="9"/>
      <c r="AD4107" s="9"/>
      <c r="AE4107" s="9"/>
      <c r="AF4107" s="9"/>
      <c r="AG4107" s="9"/>
      <c r="AH4107" s="9"/>
      <c r="AI4107" s="9"/>
      <c r="AJ4107" s="9"/>
      <c r="AK4107" s="9"/>
      <c r="AL4107" s="9"/>
      <c r="AM4107" s="9"/>
      <c r="AN4107" s="9"/>
      <c r="AO4107" s="9"/>
    </row>
    <row r="4108" spans="1:41" ht="14.25" x14ac:dyDescent="0.2">
      <c r="A4108" s="2">
        <v>8109260502</v>
      </c>
      <c r="B4108" s="3" t="s">
        <v>1075</v>
      </c>
      <c r="C4108" s="9"/>
      <c r="D4108" s="9"/>
      <c r="E4108" s="9"/>
      <c r="F4108" s="9"/>
      <c r="G4108" s="9"/>
      <c r="H4108" s="9"/>
      <c r="I4108" s="9"/>
      <c r="J4108" s="9"/>
      <c r="K4108" s="9"/>
      <c r="L4108" s="9"/>
      <c r="M4108" s="9"/>
      <c r="N4108" s="9"/>
      <c r="O4108" s="9"/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9"/>
      <c r="AB4108" s="9"/>
      <c r="AC4108" s="9"/>
      <c r="AD4108" s="9"/>
      <c r="AE4108" s="9"/>
      <c r="AF4108" s="9"/>
      <c r="AG4108" s="9"/>
      <c r="AH4108" s="9"/>
      <c r="AI4108" s="9"/>
      <c r="AJ4108" s="9"/>
      <c r="AK4108" s="9"/>
      <c r="AL4108" s="9"/>
      <c r="AM4108" s="9"/>
      <c r="AN4108" s="9"/>
      <c r="AO4108" s="9"/>
    </row>
    <row r="4109" spans="1:41" ht="14.25" x14ac:dyDescent="0.2">
      <c r="A4109" s="2">
        <v>81092606</v>
      </c>
      <c r="B4109" s="3" t="s">
        <v>1080</v>
      </c>
      <c r="C4109" s="9"/>
      <c r="D4109" s="9"/>
      <c r="E4109" s="9"/>
      <c r="F4109" s="9"/>
      <c r="G4109" s="9"/>
      <c r="H4109" s="9"/>
      <c r="I4109" s="9"/>
      <c r="J4109" s="9"/>
      <c r="K4109" s="9"/>
      <c r="L4109" s="9"/>
      <c r="M4109" s="9"/>
      <c r="N4109" s="9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9"/>
      <c r="AD4109" s="9"/>
      <c r="AE4109" s="9"/>
      <c r="AF4109" s="9"/>
      <c r="AG4109" s="9"/>
      <c r="AH4109" s="9"/>
      <c r="AI4109" s="9"/>
      <c r="AJ4109" s="9"/>
      <c r="AK4109" s="9"/>
      <c r="AL4109" s="9"/>
      <c r="AM4109" s="9"/>
      <c r="AN4109" s="9"/>
      <c r="AO4109" s="9"/>
    </row>
    <row r="4110" spans="1:41" ht="14.25" x14ac:dyDescent="0.2">
      <c r="A4110" s="2">
        <v>8109260601</v>
      </c>
      <c r="B4110" s="3" t="s">
        <v>1074</v>
      </c>
      <c r="C4110" s="9"/>
      <c r="D4110" s="9"/>
      <c r="E4110" s="9"/>
      <c r="F4110" s="9"/>
      <c r="G4110" s="9"/>
      <c r="H4110" s="9"/>
      <c r="I4110" s="9"/>
      <c r="J4110" s="9"/>
      <c r="K4110" s="9"/>
      <c r="L4110" s="9"/>
      <c r="M4110" s="9"/>
      <c r="N4110" s="9"/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  <c r="AB4110" s="9"/>
      <c r="AC4110" s="9"/>
      <c r="AD4110" s="9"/>
      <c r="AE4110" s="9"/>
      <c r="AF4110" s="9"/>
      <c r="AG4110" s="9"/>
      <c r="AH4110" s="9"/>
      <c r="AI4110" s="9"/>
      <c r="AJ4110" s="9"/>
      <c r="AK4110" s="9"/>
      <c r="AL4110" s="9"/>
      <c r="AM4110" s="9"/>
      <c r="AN4110" s="9"/>
      <c r="AO4110" s="9"/>
    </row>
    <row r="4111" spans="1:41" ht="14.25" x14ac:dyDescent="0.2">
      <c r="A4111" s="2">
        <v>8109260602</v>
      </c>
      <c r="B4111" s="3" t="s">
        <v>1075</v>
      </c>
      <c r="C4111" s="9"/>
      <c r="D4111" s="9"/>
      <c r="E4111" s="9"/>
      <c r="F4111" s="9"/>
      <c r="G4111" s="9"/>
      <c r="H4111" s="9"/>
      <c r="I4111" s="9"/>
      <c r="J4111" s="9"/>
      <c r="K4111" s="9"/>
      <c r="L4111" s="9"/>
      <c r="M4111" s="9"/>
      <c r="N4111" s="9"/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  <c r="AB4111" s="9"/>
      <c r="AC4111" s="9"/>
      <c r="AD4111" s="9"/>
      <c r="AE4111" s="9"/>
      <c r="AF4111" s="9"/>
      <c r="AG4111" s="9"/>
      <c r="AH4111" s="9"/>
      <c r="AI4111" s="9"/>
      <c r="AJ4111" s="9"/>
      <c r="AK4111" s="9"/>
      <c r="AL4111" s="9"/>
      <c r="AM4111" s="9"/>
      <c r="AN4111" s="9"/>
      <c r="AO4111" s="9"/>
    </row>
    <row r="4112" spans="1:41" ht="14.25" x14ac:dyDescent="0.2">
      <c r="A4112" s="2">
        <v>81092607</v>
      </c>
      <c r="B4112" s="3" t="s">
        <v>1081</v>
      </c>
      <c r="C4112" s="9"/>
      <c r="D4112" s="9"/>
      <c r="E4112" s="9"/>
      <c r="F4112" s="9"/>
      <c r="G4112" s="9"/>
      <c r="H4112" s="9"/>
      <c r="I4112" s="9"/>
      <c r="J4112" s="9"/>
      <c r="K4112" s="9"/>
      <c r="L4112" s="9"/>
      <c r="M4112" s="9"/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9"/>
      <c r="AD4112" s="9"/>
      <c r="AE4112" s="9"/>
      <c r="AF4112" s="9"/>
      <c r="AG4112" s="9"/>
      <c r="AH4112" s="9"/>
      <c r="AI4112" s="9"/>
      <c r="AJ4112" s="9"/>
      <c r="AK4112" s="9"/>
      <c r="AL4112" s="9"/>
      <c r="AM4112" s="9"/>
      <c r="AN4112" s="9"/>
      <c r="AO4112" s="9"/>
    </row>
    <row r="4113" spans="1:41" ht="14.25" x14ac:dyDescent="0.2">
      <c r="A4113" s="2">
        <v>8109260701</v>
      </c>
      <c r="B4113" s="3" t="s">
        <v>1074</v>
      </c>
      <c r="C4113" s="9"/>
      <c r="D4113" s="9"/>
      <c r="E4113" s="9"/>
      <c r="F4113" s="9"/>
      <c r="G4113" s="9"/>
      <c r="H4113" s="9"/>
      <c r="I4113" s="9"/>
      <c r="J4113" s="9"/>
      <c r="K4113" s="9"/>
      <c r="L4113" s="9"/>
      <c r="M4113" s="9"/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9"/>
      <c r="AD4113" s="9"/>
      <c r="AE4113" s="9"/>
      <c r="AF4113" s="9"/>
      <c r="AG4113" s="9"/>
      <c r="AH4113" s="9"/>
      <c r="AI4113" s="9"/>
      <c r="AJ4113" s="9"/>
      <c r="AK4113" s="9"/>
      <c r="AL4113" s="9"/>
      <c r="AM4113" s="9"/>
      <c r="AN4113" s="9"/>
      <c r="AO4113" s="9"/>
    </row>
    <row r="4114" spans="1:41" ht="14.25" x14ac:dyDescent="0.2">
      <c r="A4114" s="2">
        <v>8109260702</v>
      </c>
      <c r="B4114" s="3" t="s">
        <v>1075</v>
      </c>
      <c r="C4114" s="9"/>
      <c r="D4114" s="9"/>
      <c r="E4114" s="9"/>
      <c r="F4114" s="9"/>
      <c r="G4114" s="9"/>
      <c r="H4114" s="9"/>
      <c r="I4114" s="9"/>
      <c r="J4114" s="9"/>
      <c r="K4114" s="9"/>
      <c r="L4114" s="9"/>
      <c r="M4114" s="9"/>
      <c r="N4114" s="9"/>
      <c r="O4114" s="9"/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  <c r="AA4114" s="9"/>
      <c r="AB4114" s="9"/>
      <c r="AC4114" s="9"/>
      <c r="AD4114" s="9"/>
      <c r="AE4114" s="9"/>
      <c r="AF4114" s="9"/>
      <c r="AG4114" s="9"/>
      <c r="AH4114" s="9"/>
      <c r="AI4114" s="9"/>
      <c r="AJ4114" s="9"/>
      <c r="AK4114" s="9"/>
      <c r="AL4114" s="9"/>
      <c r="AM4114" s="9"/>
      <c r="AN4114" s="9"/>
      <c r="AO4114" s="9"/>
    </row>
    <row r="4115" spans="1:41" ht="14.25" x14ac:dyDescent="0.2">
      <c r="A4115" s="2">
        <v>81092608</v>
      </c>
      <c r="B4115" s="3" t="s">
        <v>1082</v>
      </c>
      <c r="C4115" s="9"/>
      <c r="D4115" s="9"/>
      <c r="E4115" s="9"/>
      <c r="F4115" s="9"/>
      <c r="G4115" s="9"/>
      <c r="H4115" s="9"/>
      <c r="I4115" s="9"/>
      <c r="J4115" s="9"/>
      <c r="K4115" s="9"/>
      <c r="L4115" s="9"/>
      <c r="M4115" s="9"/>
      <c r="N4115" s="9"/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  <c r="AB4115" s="9"/>
      <c r="AC4115" s="9"/>
      <c r="AD4115" s="9"/>
      <c r="AE4115" s="9"/>
      <c r="AF4115" s="9"/>
      <c r="AG4115" s="9"/>
      <c r="AH4115" s="9"/>
      <c r="AI4115" s="9"/>
      <c r="AJ4115" s="9"/>
      <c r="AK4115" s="9"/>
      <c r="AL4115" s="9"/>
      <c r="AM4115" s="9"/>
      <c r="AN4115" s="9"/>
      <c r="AO4115" s="9"/>
    </row>
    <row r="4116" spans="1:41" ht="14.25" x14ac:dyDescent="0.2">
      <c r="A4116" s="2">
        <v>8109260801</v>
      </c>
      <c r="B4116" s="3" t="s">
        <v>1074</v>
      </c>
      <c r="C4116" s="9"/>
      <c r="D4116" s="9"/>
      <c r="E4116" s="9"/>
      <c r="F4116" s="9"/>
      <c r="G4116" s="9"/>
      <c r="H4116" s="9"/>
      <c r="I4116" s="9"/>
      <c r="J4116" s="9"/>
      <c r="K4116" s="9"/>
      <c r="L4116" s="9"/>
      <c r="M4116" s="9"/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9"/>
      <c r="AC4116" s="9"/>
      <c r="AD4116" s="9"/>
      <c r="AE4116" s="9"/>
      <c r="AF4116" s="9"/>
      <c r="AG4116" s="9"/>
      <c r="AH4116" s="9"/>
      <c r="AI4116" s="9"/>
      <c r="AJ4116" s="9"/>
      <c r="AK4116" s="9"/>
      <c r="AL4116" s="9"/>
      <c r="AM4116" s="9"/>
      <c r="AN4116" s="9"/>
      <c r="AO4116" s="9"/>
    </row>
    <row r="4117" spans="1:41" ht="14.25" x14ac:dyDescent="0.2">
      <c r="A4117" s="2">
        <v>8109260802</v>
      </c>
      <c r="B4117" s="3" t="s">
        <v>1075</v>
      </c>
      <c r="C4117" s="9"/>
      <c r="D4117" s="9"/>
      <c r="E4117" s="9"/>
      <c r="F4117" s="9"/>
      <c r="G4117" s="9"/>
      <c r="H4117" s="9"/>
      <c r="I4117" s="9"/>
      <c r="J4117" s="9"/>
      <c r="K4117" s="9"/>
      <c r="L4117" s="9"/>
      <c r="M4117" s="9"/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9"/>
      <c r="AE4117" s="9"/>
      <c r="AF4117" s="9"/>
      <c r="AG4117" s="9"/>
      <c r="AH4117" s="9"/>
      <c r="AI4117" s="9"/>
      <c r="AJ4117" s="9"/>
      <c r="AK4117" s="9"/>
      <c r="AL4117" s="9"/>
      <c r="AM4117" s="9"/>
      <c r="AN4117" s="9"/>
      <c r="AO4117" s="9"/>
    </row>
    <row r="4118" spans="1:41" ht="14.25" x14ac:dyDescent="0.2">
      <c r="A4118" s="2">
        <v>81092609</v>
      </c>
      <c r="B4118" s="3" t="s">
        <v>1083</v>
      </c>
      <c r="C4118" s="9"/>
      <c r="D4118" s="9"/>
      <c r="E4118" s="9"/>
      <c r="F4118" s="9"/>
      <c r="G4118" s="9"/>
      <c r="H4118" s="9"/>
      <c r="I4118" s="9"/>
      <c r="J4118" s="9"/>
      <c r="K4118" s="9"/>
      <c r="L4118" s="9"/>
      <c r="M4118" s="9"/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9"/>
      <c r="AD4118" s="9"/>
      <c r="AE4118" s="9"/>
      <c r="AF4118" s="9"/>
      <c r="AG4118" s="9"/>
      <c r="AH4118" s="9"/>
      <c r="AI4118" s="9"/>
      <c r="AJ4118" s="9"/>
      <c r="AK4118" s="9"/>
      <c r="AL4118" s="9"/>
      <c r="AM4118" s="9"/>
      <c r="AN4118" s="9"/>
      <c r="AO4118" s="9"/>
    </row>
    <row r="4119" spans="1:41" ht="14.25" x14ac:dyDescent="0.2">
      <c r="A4119" s="2">
        <v>8109260901</v>
      </c>
      <c r="B4119" s="3" t="s">
        <v>1074</v>
      </c>
      <c r="C4119" s="9"/>
      <c r="D4119" s="9"/>
      <c r="E4119" s="9"/>
      <c r="F4119" s="9"/>
      <c r="G4119" s="9"/>
      <c r="H4119" s="9"/>
      <c r="I4119" s="9"/>
      <c r="J4119" s="9"/>
      <c r="K4119" s="9"/>
      <c r="L4119" s="9"/>
      <c r="M4119" s="9"/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9"/>
      <c r="AE4119" s="9"/>
      <c r="AF4119" s="9"/>
      <c r="AG4119" s="9"/>
      <c r="AH4119" s="9"/>
      <c r="AI4119" s="9"/>
      <c r="AJ4119" s="9"/>
      <c r="AK4119" s="9"/>
      <c r="AL4119" s="9"/>
      <c r="AM4119" s="9"/>
      <c r="AN4119" s="9"/>
      <c r="AO4119" s="9"/>
    </row>
    <row r="4120" spans="1:41" ht="14.25" x14ac:dyDescent="0.2">
      <c r="A4120" s="2">
        <v>8109260902</v>
      </c>
      <c r="B4120" s="3" t="s">
        <v>1075</v>
      </c>
      <c r="C4120" s="9"/>
      <c r="D4120" s="9"/>
      <c r="E4120" s="9"/>
      <c r="F4120" s="9"/>
      <c r="G4120" s="9"/>
      <c r="H4120" s="9"/>
      <c r="I4120" s="9"/>
      <c r="J4120" s="9"/>
      <c r="K4120" s="9"/>
      <c r="L4120" s="9"/>
      <c r="M4120" s="9"/>
      <c r="N4120" s="9"/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  <c r="AB4120" s="9"/>
      <c r="AC4120" s="9"/>
      <c r="AD4120" s="9"/>
      <c r="AE4120" s="9"/>
      <c r="AF4120" s="9"/>
      <c r="AG4120" s="9"/>
      <c r="AH4120" s="9"/>
      <c r="AI4120" s="9"/>
      <c r="AJ4120" s="9"/>
      <c r="AK4120" s="9"/>
      <c r="AL4120" s="9"/>
      <c r="AM4120" s="9"/>
      <c r="AN4120" s="9"/>
      <c r="AO4120" s="9"/>
    </row>
    <row r="4121" spans="1:41" ht="14.25" x14ac:dyDescent="0.2">
      <c r="A4121" s="2">
        <v>81092611</v>
      </c>
      <c r="B4121" s="3" t="s">
        <v>1084</v>
      </c>
      <c r="C4121" s="9"/>
      <c r="D4121" s="9"/>
      <c r="E4121" s="9"/>
      <c r="F4121" s="9"/>
      <c r="G4121" s="9"/>
      <c r="H4121" s="9"/>
      <c r="I4121" s="9"/>
      <c r="J4121" s="9"/>
      <c r="K4121" s="9"/>
      <c r="L4121" s="9"/>
      <c r="M4121" s="9"/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9"/>
      <c r="AD4121" s="9"/>
      <c r="AE4121" s="9"/>
      <c r="AF4121" s="9"/>
      <c r="AG4121" s="9"/>
      <c r="AH4121" s="9"/>
      <c r="AI4121" s="9"/>
      <c r="AJ4121" s="9"/>
      <c r="AK4121" s="9"/>
      <c r="AL4121" s="9"/>
      <c r="AM4121" s="9"/>
      <c r="AN4121" s="9"/>
      <c r="AO4121" s="9"/>
    </row>
    <row r="4122" spans="1:41" ht="14.25" x14ac:dyDescent="0.2">
      <c r="A4122" s="2">
        <v>8109261101</v>
      </c>
      <c r="B4122" s="3" t="s">
        <v>1085</v>
      </c>
      <c r="C4122" s="9"/>
      <c r="D4122" s="9"/>
      <c r="E4122" s="9"/>
      <c r="F4122" s="9"/>
      <c r="G4122" s="9"/>
      <c r="H4122" s="9"/>
      <c r="I4122" s="9"/>
      <c r="J4122" s="9"/>
      <c r="K4122" s="9"/>
      <c r="L4122" s="9"/>
      <c r="M4122" s="9"/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9"/>
      <c r="AD4122" s="9"/>
      <c r="AE4122" s="9"/>
      <c r="AF4122" s="9"/>
      <c r="AG4122" s="9"/>
      <c r="AH4122" s="9"/>
      <c r="AI4122" s="9"/>
      <c r="AJ4122" s="9"/>
      <c r="AK4122" s="9"/>
      <c r="AL4122" s="9"/>
      <c r="AM4122" s="9"/>
      <c r="AN4122" s="9"/>
      <c r="AO4122" s="9"/>
    </row>
    <row r="4123" spans="1:41" ht="14.25" x14ac:dyDescent="0.2">
      <c r="A4123" s="2">
        <v>8109261102</v>
      </c>
      <c r="B4123" s="3" t="s">
        <v>1086</v>
      </c>
      <c r="C4123" s="9"/>
      <c r="D4123" s="9"/>
      <c r="E4123" s="9"/>
      <c r="F4123" s="9"/>
      <c r="G4123" s="9"/>
      <c r="H4123" s="9"/>
      <c r="I4123" s="9"/>
      <c r="J4123" s="9"/>
      <c r="K4123" s="9"/>
      <c r="L4123" s="9"/>
      <c r="M4123" s="9"/>
      <c r="N4123" s="9"/>
      <c r="O4123" s="9"/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9"/>
      <c r="AD4123" s="9"/>
      <c r="AE4123" s="9"/>
      <c r="AF4123" s="9"/>
      <c r="AG4123" s="9"/>
      <c r="AH4123" s="9"/>
      <c r="AI4123" s="9"/>
      <c r="AJ4123" s="9"/>
      <c r="AK4123" s="9"/>
      <c r="AL4123" s="9"/>
      <c r="AM4123" s="9"/>
      <c r="AN4123" s="9"/>
      <c r="AO4123" s="9"/>
    </row>
    <row r="4124" spans="1:41" ht="14.25" x14ac:dyDescent="0.2">
      <c r="A4124" s="2">
        <v>81092612</v>
      </c>
      <c r="B4124" s="3" t="s">
        <v>1087</v>
      </c>
      <c r="C4124" s="9"/>
      <c r="D4124" s="9"/>
      <c r="E4124" s="9"/>
      <c r="F4124" s="9"/>
      <c r="G4124" s="9"/>
      <c r="H4124" s="9"/>
      <c r="I4124" s="9"/>
      <c r="J4124" s="9"/>
      <c r="K4124" s="9"/>
      <c r="L4124" s="9"/>
      <c r="M4124" s="9"/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9"/>
      <c r="AD4124" s="9"/>
      <c r="AE4124" s="9"/>
      <c r="AF4124" s="9"/>
      <c r="AG4124" s="9"/>
      <c r="AH4124" s="9"/>
      <c r="AI4124" s="9"/>
      <c r="AJ4124" s="9"/>
      <c r="AK4124" s="9"/>
      <c r="AL4124" s="9"/>
      <c r="AM4124" s="9"/>
      <c r="AN4124" s="9"/>
      <c r="AO4124" s="9"/>
    </row>
    <row r="4125" spans="1:41" ht="14.25" x14ac:dyDescent="0.2">
      <c r="A4125" s="2">
        <v>8109261201</v>
      </c>
      <c r="B4125" s="3" t="s">
        <v>1085</v>
      </c>
      <c r="C4125" s="9"/>
      <c r="D4125" s="9"/>
      <c r="E4125" s="9"/>
      <c r="F4125" s="9"/>
      <c r="G4125" s="9"/>
      <c r="H4125" s="9"/>
      <c r="I4125" s="9"/>
      <c r="J4125" s="9"/>
      <c r="K4125" s="9"/>
      <c r="L4125" s="9"/>
      <c r="M4125" s="9"/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9"/>
      <c r="AD4125" s="9"/>
      <c r="AE4125" s="9"/>
      <c r="AF4125" s="9"/>
      <c r="AG4125" s="9"/>
      <c r="AH4125" s="9"/>
      <c r="AI4125" s="9"/>
      <c r="AJ4125" s="9"/>
      <c r="AK4125" s="9"/>
      <c r="AL4125" s="9"/>
      <c r="AM4125" s="9"/>
      <c r="AN4125" s="9"/>
      <c r="AO4125" s="9"/>
    </row>
    <row r="4126" spans="1:41" ht="14.25" x14ac:dyDescent="0.2">
      <c r="A4126" s="2">
        <v>8109261202</v>
      </c>
      <c r="B4126" s="3" t="s">
        <v>1086</v>
      </c>
      <c r="C4126" s="9"/>
      <c r="D4126" s="9"/>
      <c r="E4126" s="9"/>
      <c r="F4126" s="9"/>
      <c r="G4126" s="9"/>
      <c r="H4126" s="9"/>
      <c r="I4126" s="9"/>
      <c r="J4126" s="9"/>
      <c r="K4126" s="9"/>
      <c r="L4126" s="9"/>
      <c r="M4126" s="9"/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  <c r="AB4126" s="9"/>
      <c r="AC4126" s="9"/>
      <c r="AD4126" s="9"/>
      <c r="AE4126" s="9"/>
      <c r="AF4126" s="9"/>
      <c r="AG4126" s="9"/>
      <c r="AH4126" s="9"/>
      <c r="AI4126" s="9"/>
      <c r="AJ4126" s="9"/>
      <c r="AK4126" s="9"/>
      <c r="AL4126" s="9"/>
      <c r="AM4126" s="9"/>
      <c r="AN4126" s="9"/>
      <c r="AO4126" s="9"/>
    </row>
    <row r="4127" spans="1:41" ht="14.25" x14ac:dyDescent="0.2">
      <c r="A4127" s="2">
        <v>81092613</v>
      </c>
      <c r="B4127" s="3" t="s">
        <v>1088</v>
      </c>
      <c r="C4127" s="9"/>
      <c r="D4127" s="9"/>
      <c r="E4127" s="9"/>
      <c r="F4127" s="9"/>
      <c r="G4127" s="9"/>
      <c r="H4127" s="9"/>
      <c r="I4127" s="9"/>
      <c r="J4127" s="9"/>
      <c r="K4127" s="9"/>
      <c r="L4127" s="9"/>
      <c r="M4127" s="9"/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9"/>
      <c r="AD4127" s="9"/>
      <c r="AE4127" s="9"/>
      <c r="AF4127" s="9"/>
      <c r="AG4127" s="9"/>
      <c r="AH4127" s="9"/>
      <c r="AI4127" s="9"/>
      <c r="AJ4127" s="9"/>
      <c r="AK4127" s="9"/>
      <c r="AL4127" s="9"/>
      <c r="AM4127" s="9"/>
      <c r="AN4127" s="9"/>
      <c r="AO4127" s="9"/>
    </row>
    <row r="4128" spans="1:41" ht="14.25" x14ac:dyDescent="0.2">
      <c r="A4128" s="2">
        <v>8109261301</v>
      </c>
      <c r="B4128" s="3" t="s">
        <v>1085</v>
      </c>
      <c r="C4128" s="9"/>
      <c r="D4128" s="9"/>
      <c r="E4128" s="9"/>
      <c r="F4128" s="9"/>
      <c r="G4128" s="9"/>
      <c r="H4128" s="9"/>
      <c r="I4128" s="9"/>
      <c r="J4128" s="9"/>
      <c r="K4128" s="9"/>
      <c r="L4128" s="9"/>
      <c r="M4128" s="9"/>
      <c r="N4128" s="9"/>
      <c r="O4128" s="9"/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  <c r="AB4128" s="9"/>
      <c r="AC4128" s="9"/>
      <c r="AD4128" s="9"/>
      <c r="AE4128" s="9"/>
      <c r="AF4128" s="9"/>
      <c r="AG4128" s="9"/>
      <c r="AH4128" s="9"/>
      <c r="AI4128" s="9"/>
      <c r="AJ4128" s="9"/>
      <c r="AK4128" s="9"/>
      <c r="AL4128" s="9"/>
      <c r="AM4128" s="9"/>
      <c r="AN4128" s="9"/>
      <c r="AO4128" s="9"/>
    </row>
    <row r="4129" spans="1:41" ht="14.25" x14ac:dyDescent="0.2">
      <c r="A4129" s="2">
        <v>8109261302</v>
      </c>
      <c r="B4129" s="3" t="s">
        <v>1086</v>
      </c>
      <c r="C4129" s="9"/>
      <c r="D4129" s="9"/>
      <c r="E4129" s="9"/>
      <c r="F4129" s="9"/>
      <c r="G4129" s="9"/>
      <c r="H4129" s="9"/>
      <c r="I4129" s="9"/>
      <c r="J4129" s="9"/>
      <c r="K4129" s="9"/>
      <c r="L4129" s="9"/>
      <c r="M4129" s="9"/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9"/>
      <c r="AI4129" s="9"/>
      <c r="AJ4129" s="9"/>
      <c r="AK4129" s="9"/>
      <c r="AL4129" s="9"/>
      <c r="AM4129" s="9"/>
      <c r="AN4129" s="9"/>
      <c r="AO4129" s="9"/>
    </row>
    <row r="4130" spans="1:41" ht="14.25" x14ac:dyDescent="0.2">
      <c r="A4130" s="2">
        <v>810929</v>
      </c>
      <c r="B4130" s="3" t="s">
        <v>266</v>
      </c>
      <c r="C4130" s="9"/>
      <c r="D4130" s="9"/>
      <c r="E4130" s="9"/>
      <c r="F4130" s="9"/>
      <c r="G4130" s="9"/>
      <c r="H4130" s="9"/>
      <c r="I4130" s="9"/>
      <c r="J4130" s="9"/>
      <c r="K4130" s="9"/>
      <c r="L4130" s="9"/>
      <c r="M4130" s="9"/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9"/>
      <c r="AE4130" s="9"/>
      <c r="AF4130" s="9"/>
      <c r="AG4130" s="9"/>
      <c r="AH4130" s="9"/>
      <c r="AI4130" s="9"/>
      <c r="AJ4130" s="9"/>
      <c r="AK4130" s="9"/>
      <c r="AL4130" s="9"/>
      <c r="AM4130" s="9"/>
      <c r="AN4130" s="9"/>
      <c r="AO4130" s="9"/>
    </row>
    <row r="4131" spans="1:41" s="15" customFormat="1" ht="14.25" x14ac:dyDescent="0.2">
      <c r="A4131" s="18" t="s">
        <v>2130</v>
      </c>
      <c r="B4131" s="19" t="s">
        <v>2131</v>
      </c>
      <c r="C4131" s="20">
        <v>318475.5</v>
      </c>
      <c r="D4131" s="20">
        <v>318492</v>
      </c>
      <c r="E4131" s="20">
        <v>318497</v>
      </c>
      <c r="F4131" s="20">
        <v>318510.5</v>
      </c>
      <c r="G4131" s="20">
        <v>318514.5</v>
      </c>
      <c r="H4131" s="20">
        <v>318514.5</v>
      </c>
      <c r="I4131" s="20">
        <v>318517.5</v>
      </c>
      <c r="J4131" s="20">
        <v>318517.5</v>
      </c>
      <c r="K4131" s="20">
        <v>318517.5</v>
      </c>
      <c r="L4131" s="20">
        <v>318517.5</v>
      </c>
      <c r="M4131" s="20">
        <v>318519.5</v>
      </c>
      <c r="N4131" s="20">
        <v>318521.5</v>
      </c>
      <c r="O4131" s="20">
        <v>318545.5</v>
      </c>
      <c r="P4131" s="20">
        <v>318567.5</v>
      </c>
      <c r="Q4131" s="20">
        <v>318632.5</v>
      </c>
      <c r="R4131" s="20">
        <v>318943</v>
      </c>
      <c r="S4131" s="20">
        <v>319083</v>
      </c>
      <c r="T4131" s="20">
        <v>319093.5</v>
      </c>
      <c r="U4131" s="20">
        <v>319093.5</v>
      </c>
      <c r="V4131" s="20">
        <v>319098.5</v>
      </c>
      <c r="W4131" s="20">
        <v>319098.5</v>
      </c>
      <c r="X4131" s="20">
        <v>319100</v>
      </c>
      <c r="Y4131" s="20">
        <v>319104</v>
      </c>
      <c r="Z4131" s="20">
        <v>319104</v>
      </c>
      <c r="AA4131" s="20">
        <v>319110</v>
      </c>
      <c r="AB4131" s="20">
        <v>319115.5</v>
      </c>
      <c r="AC4131" s="20">
        <v>319130.5</v>
      </c>
      <c r="AD4131" s="20">
        <v>319130.5</v>
      </c>
      <c r="AE4131" s="20">
        <v>319134.5</v>
      </c>
      <c r="AF4131" s="20">
        <v>319152</v>
      </c>
      <c r="AG4131" s="20">
        <v>319158</v>
      </c>
      <c r="AH4131" s="20">
        <v>319160.5</v>
      </c>
      <c r="AI4131" s="20">
        <v>319172.5</v>
      </c>
      <c r="AJ4131" s="20">
        <v>319174</v>
      </c>
      <c r="AK4131" s="20">
        <v>319174</v>
      </c>
      <c r="AL4131" s="20">
        <v>319174</v>
      </c>
      <c r="AM4131" s="20">
        <v>319356.7</v>
      </c>
      <c r="AN4131" s="20">
        <v>319362.2</v>
      </c>
      <c r="AO4131" s="20">
        <v>319367.2</v>
      </c>
    </row>
    <row r="4132" spans="1:41" s="15" customFormat="1" ht="14.25" x14ac:dyDescent="0.2">
      <c r="A4132" s="18" t="s">
        <v>2132</v>
      </c>
      <c r="B4132" s="19" t="s">
        <v>2133</v>
      </c>
      <c r="C4132" s="20">
        <v>14075519.25</v>
      </c>
      <c r="D4132" s="20">
        <v>14117489.25</v>
      </c>
      <c r="E4132" s="20">
        <v>14143120.25</v>
      </c>
      <c r="F4132" s="20">
        <v>14197117.25</v>
      </c>
      <c r="G4132" s="20">
        <v>14217482.25</v>
      </c>
      <c r="H4132" s="20">
        <v>14232695.25</v>
      </c>
      <c r="I4132" s="20">
        <v>14246174.25</v>
      </c>
      <c r="J4132" s="20">
        <v>14253638.25</v>
      </c>
      <c r="K4132" s="20">
        <v>14258201.25</v>
      </c>
      <c r="L4132" s="20">
        <v>14261003.25</v>
      </c>
      <c r="M4132" s="20">
        <v>14262584.25</v>
      </c>
      <c r="N4132" s="20">
        <v>18839986.75</v>
      </c>
      <c r="O4132" s="20">
        <v>18846418.75</v>
      </c>
      <c r="P4132" s="20">
        <v>18854618.75</v>
      </c>
      <c r="Q4132" s="20">
        <v>18860726.75</v>
      </c>
      <c r="R4132" s="20">
        <v>18897236.75</v>
      </c>
      <c r="S4132" s="20">
        <v>18920808.75</v>
      </c>
      <c r="T4132" s="20">
        <v>18958336.75</v>
      </c>
      <c r="U4132" s="20">
        <v>18978586.75</v>
      </c>
      <c r="V4132" s="20">
        <v>18990808.75</v>
      </c>
      <c r="W4132" s="20">
        <v>18997648.75</v>
      </c>
      <c r="X4132" s="20">
        <v>19003219.75</v>
      </c>
      <c r="Y4132" s="20">
        <v>19006639.75</v>
      </c>
      <c r="Z4132" s="20">
        <v>23538457.75</v>
      </c>
      <c r="AA4132" s="20">
        <v>23550637.75</v>
      </c>
      <c r="AB4132" s="20">
        <v>23560888.75</v>
      </c>
      <c r="AC4132" s="20">
        <v>23607826.75</v>
      </c>
      <c r="AD4132" s="20">
        <v>23629939.75</v>
      </c>
      <c r="AE4132" s="20">
        <v>23647387.75</v>
      </c>
      <c r="AF4132" s="20">
        <v>23680042.75</v>
      </c>
      <c r="AG4132" s="20">
        <v>23693812.75</v>
      </c>
      <c r="AH4132" s="20">
        <v>23700685.75</v>
      </c>
      <c r="AI4132" s="20">
        <v>23706961.75</v>
      </c>
      <c r="AJ4132" s="20">
        <v>23711276.75</v>
      </c>
      <c r="AK4132" s="20">
        <v>23714252.75</v>
      </c>
      <c r="AL4132" s="20">
        <v>28248872.75</v>
      </c>
      <c r="AM4132" s="20">
        <v>28271276.75</v>
      </c>
      <c r="AN4132" s="20">
        <v>28281026.75</v>
      </c>
      <c r="AO4132" s="20">
        <v>28315862.75</v>
      </c>
    </row>
    <row r="4133" spans="1:41" s="15" customFormat="1" ht="14.25" x14ac:dyDescent="0.2">
      <c r="A4133" s="18" t="s">
        <v>2134</v>
      </c>
      <c r="B4133" s="19" t="s">
        <v>2135</v>
      </c>
      <c r="C4133" s="20">
        <v>1243570</v>
      </c>
      <c r="D4133" s="20">
        <v>1255230</v>
      </c>
      <c r="E4133" s="20">
        <v>1264325</v>
      </c>
      <c r="F4133" s="20">
        <v>1285680</v>
      </c>
      <c r="G4133" s="20">
        <v>1294820</v>
      </c>
      <c r="H4133" s="20">
        <v>1302395</v>
      </c>
      <c r="I4133" s="20">
        <v>1310540</v>
      </c>
      <c r="J4133" s="20">
        <v>1316370</v>
      </c>
      <c r="K4133" s="20">
        <v>1320880</v>
      </c>
      <c r="L4133" s="20">
        <v>1324125</v>
      </c>
      <c r="M4133" s="20">
        <v>1326765</v>
      </c>
      <c r="N4133" s="20">
        <v>2810315</v>
      </c>
      <c r="O4133" s="20">
        <v>2812130</v>
      </c>
      <c r="P4133" s="20">
        <v>2814665</v>
      </c>
      <c r="Q4133" s="20">
        <v>2816535</v>
      </c>
      <c r="R4133" s="20">
        <v>2830725</v>
      </c>
      <c r="S4133" s="20">
        <v>2841615</v>
      </c>
      <c r="T4133" s="20">
        <v>2860150</v>
      </c>
      <c r="U4133" s="20">
        <v>2870820</v>
      </c>
      <c r="V4133" s="20">
        <v>2879410</v>
      </c>
      <c r="W4133" s="20">
        <v>2886370</v>
      </c>
      <c r="X4133" s="20">
        <v>2892070</v>
      </c>
      <c r="Y4133" s="20">
        <v>2897590</v>
      </c>
      <c r="Z4133" s="20">
        <v>4372450</v>
      </c>
      <c r="AA4133" s="20">
        <v>4376470</v>
      </c>
      <c r="AB4133" s="20">
        <v>4379710</v>
      </c>
      <c r="AC4133" s="20">
        <v>4399000</v>
      </c>
      <c r="AD4133" s="20">
        <v>4408480</v>
      </c>
      <c r="AE4133" s="20">
        <v>4416760</v>
      </c>
      <c r="AF4133" s="20">
        <v>4435780</v>
      </c>
      <c r="AG4133" s="20">
        <v>4445200</v>
      </c>
      <c r="AH4133" s="20">
        <v>4451140</v>
      </c>
      <c r="AI4133" s="20">
        <v>4457140</v>
      </c>
      <c r="AJ4133" s="20">
        <v>4462480</v>
      </c>
      <c r="AK4133" s="20">
        <v>4468120</v>
      </c>
      <c r="AL4133" s="20">
        <v>5951200</v>
      </c>
      <c r="AM4133" s="20">
        <v>5958460</v>
      </c>
      <c r="AN4133" s="20">
        <v>5961940</v>
      </c>
      <c r="AO4133" s="20">
        <v>5976460</v>
      </c>
    </row>
    <row r="4134" spans="1:41" s="15" customFormat="1" ht="14.25" x14ac:dyDescent="0.2">
      <c r="A4134" s="18" t="s">
        <v>2136</v>
      </c>
      <c r="B4134" s="19" t="s">
        <v>2137</v>
      </c>
      <c r="C4134" s="20">
        <v>1227394.06</v>
      </c>
      <c r="D4134" s="20">
        <v>1227394.06</v>
      </c>
      <c r="E4134" s="20">
        <v>1187674.75</v>
      </c>
      <c r="F4134" s="20">
        <v>1187674.75</v>
      </c>
      <c r="G4134" s="20">
        <v>1187674.75</v>
      </c>
      <c r="H4134" s="20">
        <v>1187674.75</v>
      </c>
      <c r="I4134" s="20">
        <v>1160260.25</v>
      </c>
      <c r="J4134" s="20">
        <v>1154492.1100000001</v>
      </c>
      <c r="K4134" s="20">
        <v>1150575.79</v>
      </c>
      <c r="L4134" s="20">
        <v>1123361.6100000001</v>
      </c>
      <c r="M4134" s="20">
        <v>1123361.6100000001</v>
      </c>
      <c r="N4134" s="20">
        <v>1123361.6100000001</v>
      </c>
      <c r="O4134" s="20">
        <v>1123361.6100000001</v>
      </c>
      <c r="P4134" s="20">
        <v>1123361.6100000001</v>
      </c>
      <c r="Q4134" s="20">
        <v>1123361.6100000001</v>
      </c>
      <c r="R4134" s="20">
        <v>1123361.6100000001</v>
      </c>
      <c r="S4134" s="20">
        <v>1123361.6100000001</v>
      </c>
      <c r="T4134" s="20">
        <v>1123361.6100000001</v>
      </c>
      <c r="U4134" s="20">
        <v>1123361.6100000001</v>
      </c>
      <c r="V4134" s="20">
        <v>1123361.6100000001</v>
      </c>
      <c r="W4134" s="20">
        <v>1043009.58</v>
      </c>
      <c r="X4134" s="20">
        <v>1043009.58</v>
      </c>
      <c r="Y4134" s="20">
        <v>1043009.58</v>
      </c>
      <c r="Z4134" s="20">
        <v>1018167.26</v>
      </c>
      <c r="AA4134" s="20">
        <v>1018167.26</v>
      </c>
      <c r="AB4134" s="20">
        <v>1018167.26</v>
      </c>
      <c r="AC4134" s="20">
        <v>995155.31</v>
      </c>
      <c r="AD4134" s="20">
        <v>995155.31</v>
      </c>
      <c r="AE4134" s="20">
        <v>995155.31</v>
      </c>
      <c r="AF4134" s="20">
        <v>995155.31</v>
      </c>
      <c r="AG4134" s="20">
        <v>995155.31</v>
      </c>
      <c r="AH4134" s="20">
        <v>995155.31</v>
      </c>
      <c r="AI4134" s="20">
        <v>995155.31</v>
      </c>
      <c r="AJ4134" s="20">
        <v>995155.31</v>
      </c>
      <c r="AK4134" s="20">
        <v>995155.31</v>
      </c>
      <c r="AL4134" s="20">
        <v>995155.31</v>
      </c>
      <c r="AM4134" s="20">
        <v>995155.31</v>
      </c>
      <c r="AN4134" s="20">
        <v>995155.31</v>
      </c>
      <c r="AO4134" s="20">
        <v>995155.31</v>
      </c>
    </row>
    <row r="4135" spans="1:41" ht="14.25" x14ac:dyDescent="0.2">
      <c r="A4135" s="2">
        <v>82</v>
      </c>
      <c r="B4135" s="3" t="s">
        <v>1090</v>
      </c>
      <c r="C4135" s="20">
        <f>+C4136+C4137+C4138</f>
        <v>-99053940.429999992</v>
      </c>
      <c r="D4135" s="20">
        <f t="shared" ref="D4135:AO4135" si="108">+D4136+D4137+D4138</f>
        <v>-96500935.310000002</v>
      </c>
      <c r="E4135" s="20">
        <f t="shared" si="108"/>
        <v>-98593222.020000011</v>
      </c>
      <c r="F4135" s="20">
        <f t="shared" si="108"/>
        <v>-102932481.08</v>
      </c>
      <c r="G4135" s="20">
        <f t="shared" si="108"/>
        <v>-105523930.81</v>
      </c>
      <c r="H4135" s="20">
        <f t="shared" si="108"/>
        <v>-106670598.05</v>
      </c>
      <c r="I4135" s="20">
        <f t="shared" si="108"/>
        <v>-108595546.64</v>
      </c>
      <c r="J4135" s="20">
        <f t="shared" si="108"/>
        <v>-111889459.68000001</v>
      </c>
      <c r="K4135" s="20">
        <f t="shared" si="108"/>
        <v>-112450774.01999998</v>
      </c>
      <c r="L4135" s="20">
        <f t="shared" si="108"/>
        <v>-112481393.69</v>
      </c>
      <c r="M4135" s="20">
        <f t="shared" si="108"/>
        <v>-111441409.25</v>
      </c>
      <c r="N4135" s="20">
        <f t="shared" si="108"/>
        <v>-117381540.34999999</v>
      </c>
      <c r="O4135" s="20">
        <f t="shared" si="108"/>
        <v>-116210049.25</v>
      </c>
      <c r="P4135" s="20">
        <f t="shared" si="108"/>
        <v>-108683918.62</v>
      </c>
      <c r="Q4135" s="20">
        <f t="shared" si="108"/>
        <v>-105873534.27000001</v>
      </c>
      <c r="R4135" s="20">
        <f t="shared" si="108"/>
        <v>-104729864.47</v>
      </c>
      <c r="S4135" s="20">
        <f t="shared" si="108"/>
        <v>-103166610.42999999</v>
      </c>
      <c r="T4135" s="20">
        <f t="shared" si="108"/>
        <v>-106886227.97999999</v>
      </c>
      <c r="U4135" s="20">
        <f t="shared" si="108"/>
        <v>-107758972.72</v>
      </c>
      <c r="V4135" s="20">
        <f t="shared" si="108"/>
        <v>-111305796.48999999</v>
      </c>
      <c r="W4135" s="20">
        <f t="shared" si="108"/>
        <v>-112564099.61</v>
      </c>
      <c r="X4135" s="20">
        <f t="shared" si="108"/>
        <v>-114325285.31999999</v>
      </c>
      <c r="Y4135" s="20">
        <f t="shared" si="108"/>
        <v>-114331260.59</v>
      </c>
      <c r="Z4135" s="20">
        <f t="shared" si="108"/>
        <v>-126796907.41</v>
      </c>
      <c r="AA4135" s="20">
        <f t="shared" si="108"/>
        <v>-125801272.72000001</v>
      </c>
      <c r="AB4135" s="20">
        <f t="shared" si="108"/>
        <v>-123837150.31999999</v>
      </c>
      <c r="AC4135" s="20">
        <f t="shared" si="108"/>
        <v>-124094099.33000001</v>
      </c>
      <c r="AD4135" s="20">
        <f t="shared" si="108"/>
        <v>-121944320.68000001</v>
      </c>
      <c r="AE4135" s="20">
        <f t="shared" si="108"/>
        <v>-120584321.08</v>
      </c>
      <c r="AF4135" s="20">
        <f t="shared" si="108"/>
        <v>-123522016.63</v>
      </c>
      <c r="AG4135" s="20">
        <f t="shared" si="108"/>
        <v>-123412788.32000001</v>
      </c>
      <c r="AH4135" s="20">
        <f t="shared" si="108"/>
        <v>-124791291.61</v>
      </c>
      <c r="AI4135" s="20">
        <f t="shared" si="108"/>
        <v>-125750616.07000001</v>
      </c>
      <c r="AJ4135" s="20">
        <f t="shared" si="108"/>
        <v>-127500425.09</v>
      </c>
      <c r="AK4135" s="20">
        <f t="shared" si="108"/>
        <v>-130110246.31999999</v>
      </c>
      <c r="AL4135" s="20">
        <f t="shared" si="108"/>
        <v>-141263592.84999999</v>
      </c>
      <c r="AM4135" s="20">
        <f t="shared" si="108"/>
        <v>-139872373.33999997</v>
      </c>
      <c r="AN4135" s="20">
        <f t="shared" si="108"/>
        <v>-138799946.44999999</v>
      </c>
      <c r="AO4135" s="20">
        <f t="shared" si="108"/>
        <v>-137866053</v>
      </c>
    </row>
    <row r="4136" spans="1:41" s="15" customFormat="1" ht="14.25" x14ac:dyDescent="0.2">
      <c r="A4136" s="18" t="s">
        <v>2138</v>
      </c>
      <c r="B4136" s="19" t="s">
        <v>2139</v>
      </c>
      <c r="C4136" s="20">
        <v>-79460377.859999999</v>
      </c>
      <c r="D4136" s="20">
        <v>-76841778.420000002</v>
      </c>
      <c r="E4136" s="20">
        <v>-77224330.560000002</v>
      </c>
      <c r="F4136" s="20">
        <v>-81400763.390000001</v>
      </c>
      <c r="G4136" s="20">
        <v>-83858369.75</v>
      </c>
      <c r="H4136" s="20">
        <v>-84896821.939999998</v>
      </c>
      <c r="I4136" s="20">
        <v>-86697219.680000007</v>
      </c>
      <c r="J4136" s="20">
        <v>-89846145.920000002</v>
      </c>
      <c r="K4136" s="20">
        <v>-90412842.819999993</v>
      </c>
      <c r="L4136" s="20">
        <v>-90342689.260000005</v>
      </c>
      <c r="M4136" s="20">
        <v>-89239479.230000004</v>
      </c>
      <c r="N4136" s="20">
        <v>-88993518.269999996</v>
      </c>
      <c r="O4136" s="20">
        <v>-87696353.790000007</v>
      </c>
      <c r="P4136" s="20">
        <v>-80062869.239999995</v>
      </c>
      <c r="Q4136" s="20">
        <v>-77110659.040000007</v>
      </c>
      <c r="R4136" s="20">
        <v>-75839230.719999999</v>
      </c>
      <c r="S4136" s="20">
        <v>-74077203.310000002</v>
      </c>
      <c r="T4136" s="20">
        <v>-77664140.799999997</v>
      </c>
      <c r="U4136" s="20">
        <v>-78342458.209999993</v>
      </c>
      <c r="V4136" s="20">
        <v>-81715909.359999999</v>
      </c>
      <c r="W4136" s="20">
        <v>-82920348.75</v>
      </c>
      <c r="X4136" s="20">
        <v>-84494877.349999994</v>
      </c>
      <c r="Y4136" s="20">
        <v>-85727688</v>
      </c>
      <c r="Z4136" s="20">
        <v>-90627789.629999995</v>
      </c>
      <c r="AA4136" s="20">
        <v>-89461400.560000002</v>
      </c>
      <c r="AB4136" s="20">
        <v>-87434316.120000005</v>
      </c>
      <c r="AC4136" s="20">
        <v>-87465232.480000004</v>
      </c>
      <c r="AD4136" s="20">
        <v>-85162302.420000002</v>
      </c>
      <c r="AE4136" s="20">
        <v>-83612851.359999999</v>
      </c>
      <c r="AF4136" s="20">
        <v>-86386484.489999995</v>
      </c>
      <c r="AG4136" s="20">
        <v>-86437254.540000007</v>
      </c>
      <c r="AH4136" s="20">
        <v>-87684102.469999999</v>
      </c>
      <c r="AI4136" s="20">
        <v>-88564509.760000005</v>
      </c>
      <c r="AJ4136" s="20">
        <v>-90179104.180000007</v>
      </c>
      <c r="AK4136" s="20">
        <v>-92674305.769999996</v>
      </c>
      <c r="AL4136" s="20">
        <v>-97759646.769999996</v>
      </c>
      <c r="AM4136" s="20">
        <v>-96221685.969999999</v>
      </c>
      <c r="AN4136" s="20">
        <v>-95097246.909999996</v>
      </c>
      <c r="AO4136" s="20">
        <v>-94002213.920000002</v>
      </c>
    </row>
    <row r="4137" spans="1:41" s="15" customFormat="1" ht="14.25" x14ac:dyDescent="0.2">
      <c r="A4137" s="18" t="s">
        <v>2140</v>
      </c>
      <c r="B4137" s="19" t="s">
        <v>2141</v>
      </c>
      <c r="C4137" s="20">
        <v>-1964444.16</v>
      </c>
      <c r="D4137" s="20">
        <v>-1988439.68</v>
      </c>
      <c r="E4137" s="20">
        <v>-3721600.25</v>
      </c>
      <c r="F4137" s="20">
        <v>-3821458.92</v>
      </c>
      <c r="G4137" s="20">
        <v>-3955264.54</v>
      </c>
      <c r="H4137" s="20">
        <v>-4062638.72</v>
      </c>
      <c r="I4137" s="20">
        <v>-4203172.22</v>
      </c>
      <c r="J4137" s="20">
        <v>-4357351.78</v>
      </c>
      <c r="K4137" s="20">
        <v>-4369591.57</v>
      </c>
      <c r="L4137" s="20">
        <v>-4501217.8</v>
      </c>
      <c r="M4137" s="20">
        <v>-4596168.2</v>
      </c>
      <c r="N4137" s="20">
        <v>-4729159.75</v>
      </c>
      <c r="O4137" s="20">
        <v>-4853303.88</v>
      </c>
      <c r="P4137" s="20">
        <v>-4956308.45</v>
      </c>
      <c r="Q4137" s="20">
        <v>-5097197.8</v>
      </c>
      <c r="R4137" s="20">
        <v>-5186054.2</v>
      </c>
      <c r="S4137" s="20">
        <v>-5355215.0999999996</v>
      </c>
      <c r="T4137" s="20">
        <v>-5437935.9400000004</v>
      </c>
      <c r="U4137" s="20">
        <v>-5605668.4100000001</v>
      </c>
      <c r="V4137" s="20">
        <v>-5762472.3899999997</v>
      </c>
      <c r="W4137" s="20">
        <v>-5887094.3600000003</v>
      </c>
      <c r="X4137" s="20">
        <v>-6068439.3399999999</v>
      </c>
      <c r="Y4137" s="20">
        <v>-4848199.28</v>
      </c>
      <c r="Z4137" s="20">
        <v>-6429220.2800000003</v>
      </c>
      <c r="AA4137" s="20">
        <v>-6587441.6799999997</v>
      </c>
      <c r="AB4137" s="20">
        <v>-6643602.0199999996</v>
      </c>
      <c r="AC4137" s="20">
        <v>-6830987.8399999999</v>
      </c>
      <c r="AD4137" s="20">
        <v>-6957837.4000000004</v>
      </c>
      <c r="AE4137" s="20">
        <v>-7125001.7300000004</v>
      </c>
      <c r="AF4137" s="20">
        <v>-7241510.8799999999</v>
      </c>
      <c r="AG4137" s="20">
        <v>-7069750.3899999997</v>
      </c>
      <c r="AH4137" s="20">
        <v>-7194072.4000000004</v>
      </c>
      <c r="AI4137" s="20">
        <v>-7266465.8399999999</v>
      </c>
      <c r="AJ4137" s="20">
        <v>-7398962.0199999996</v>
      </c>
      <c r="AK4137" s="20">
        <v>-7511867.8700000001</v>
      </c>
      <c r="AL4137" s="20">
        <v>-7567946.2300000004</v>
      </c>
      <c r="AM4137" s="20">
        <v>-7690343.21</v>
      </c>
      <c r="AN4137" s="20">
        <v>-7735077.6900000004</v>
      </c>
      <c r="AO4137" s="20">
        <v>-7854741.5099999998</v>
      </c>
    </row>
    <row r="4138" spans="1:41" s="15" customFormat="1" ht="14.25" x14ac:dyDescent="0.2">
      <c r="A4138" s="18" t="s">
        <v>2142</v>
      </c>
      <c r="B4138" s="19" t="s">
        <v>2143</v>
      </c>
      <c r="C4138" s="20">
        <v>-17629118.41</v>
      </c>
      <c r="D4138" s="20">
        <v>-17670717.210000001</v>
      </c>
      <c r="E4138" s="20">
        <v>-17647291.210000001</v>
      </c>
      <c r="F4138" s="20">
        <v>-17710258.77</v>
      </c>
      <c r="G4138" s="20">
        <v>-17710296.52</v>
      </c>
      <c r="H4138" s="20">
        <v>-17711137.390000001</v>
      </c>
      <c r="I4138" s="20">
        <v>-17695154.739999998</v>
      </c>
      <c r="J4138" s="20">
        <v>-17685961.98</v>
      </c>
      <c r="K4138" s="20">
        <v>-17668339.629999999</v>
      </c>
      <c r="L4138" s="20">
        <v>-17637486.629999999</v>
      </c>
      <c r="M4138" s="20">
        <v>-17605761.82</v>
      </c>
      <c r="N4138" s="20">
        <v>-23658862.329999998</v>
      </c>
      <c r="O4138" s="20">
        <v>-23660391.579999998</v>
      </c>
      <c r="P4138" s="20">
        <v>-23664740.93</v>
      </c>
      <c r="Q4138" s="20">
        <v>-23665677.43</v>
      </c>
      <c r="R4138" s="20">
        <v>-23704579.550000001</v>
      </c>
      <c r="S4138" s="20">
        <v>-23734192.02</v>
      </c>
      <c r="T4138" s="20">
        <v>-23784151.239999998</v>
      </c>
      <c r="U4138" s="20">
        <v>-23810846.100000001</v>
      </c>
      <c r="V4138" s="20">
        <v>-23827414.739999998</v>
      </c>
      <c r="W4138" s="20">
        <v>-23756656.5</v>
      </c>
      <c r="X4138" s="20">
        <v>-23761968.629999999</v>
      </c>
      <c r="Y4138" s="20">
        <v>-23755373.309999999</v>
      </c>
      <c r="Z4138" s="20">
        <v>-29739897.5</v>
      </c>
      <c r="AA4138" s="20">
        <v>-29752430.48</v>
      </c>
      <c r="AB4138" s="20">
        <v>-29759232.18</v>
      </c>
      <c r="AC4138" s="20">
        <v>-29797879.010000002</v>
      </c>
      <c r="AD4138" s="20">
        <v>-29824180.859999999</v>
      </c>
      <c r="AE4138" s="20">
        <v>-29846467.989999998</v>
      </c>
      <c r="AF4138" s="20">
        <v>-29894021.260000002</v>
      </c>
      <c r="AG4138" s="20">
        <v>-29905783.390000001</v>
      </c>
      <c r="AH4138" s="20">
        <v>-29913116.739999998</v>
      </c>
      <c r="AI4138" s="20">
        <v>-29919640.469999999</v>
      </c>
      <c r="AJ4138" s="20">
        <v>-29922358.890000001</v>
      </c>
      <c r="AK4138" s="20">
        <v>-29924072.68</v>
      </c>
      <c r="AL4138" s="20">
        <v>-35935999.850000001</v>
      </c>
      <c r="AM4138" s="20">
        <v>-35960344.159999996</v>
      </c>
      <c r="AN4138" s="20">
        <v>-35967621.850000001</v>
      </c>
      <c r="AO4138" s="20">
        <v>-36009097.57</v>
      </c>
    </row>
    <row r="4139" spans="1:41" ht="14.25" x14ac:dyDescent="0.2">
      <c r="A4139" s="2">
        <v>83</v>
      </c>
      <c r="B4139" s="3" t="s">
        <v>1091</v>
      </c>
      <c r="C4139" s="20">
        <f>+C4140+C4141</f>
        <v>332261.52</v>
      </c>
      <c r="D4139" s="20">
        <f t="shared" ref="D4139:AO4139" si="109">+D4140+D4141</f>
        <v>327261.06</v>
      </c>
      <c r="E4139" s="20">
        <f t="shared" si="109"/>
        <v>312187.63</v>
      </c>
      <c r="F4139" s="20">
        <f t="shared" si="109"/>
        <v>302794.11</v>
      </c>
      <c r="G4139" s="20">
        <f t="shared" si="109"/>
        <v>295679.73</v>
      </c>
      <c r="H4139" s="20">
        <f t="shared" si="109"/>
        <v>308745.77</v>
      </c>
      <c r="I4139" s="20">
        <f t="shared" si="109"/>
        <v>327008.25</v>
      </c>
      <c r="J4139" s="20">
        <f t="shared" si="109"/>
        <v>330042.44</v>
      </c>
      <c r="K4139" s="20">
        <f t="shared" si="109"/>
        <v>328880.27</v>
      </c>
      <c r="L4139" s="20">
        <f t="shared" si="109"/>
        <v>330449.68</v>
      </c>
      <c r="M4139" s="20">
        <f t="shared" si="109"/>
        <v>544328.35</v>
      </c>
      <c r="N4139" s="20">
        <f t="shared" si="109"/>
        <v>547546.58000000007</v>
      </c>
      <c r="O4139" s="20">
        <f t="shared" si="109"/>
        <v>772469.6</v>
      </c>
      <c r="P4139" s="20">
        <f t="shared" si="109"/>
        <v>669065.40999999992</v>
      </c>
      <c r="Q4139" s="20">
        <f t="shared" si="109"/>
        <v>669463.24</v>
      </c>
      <c r="R4139" s="20">
        <f t="shared" si="109"/>
        <v>621522.87</v>
      </c>
      <c r="S4139" s="20">
        <f t="shared" si="109"/>
        <v>632415.66999999993</v>
      </c>
      <c r="T4139" s="20">
        <f t="shared" si="109"/>
        <v>634810.96</v>
      </c>
      <c r="U4139" s="20">
        <f t="shared" si="109"/>
        <v>772818.15</v>
      </c>
      <c r="V4139" s="20">
        <f t="shared" si="109"/>
        <v>772195.3</v>
      </c>
      <c r="W4139" s="20">
        <f t="shared" si="109"/>
        <v>766535.71</v>
      </c>
      <c r="X4139" s="20">
        <f t="shared" si="109"/>
        <v>810217.44</v>
      </c>
      <c r="Y4139" s="20">
        <f t="shared" si="109"/>
        <v>769607.54</v>
      </c>
      <c r="Z4139" s="20">
        <f t="shared" si="109"/>
        <v>848632.72</v>
      </c>
      <c r="AA4139" s="20">
        <f t="shared" si="109"/>
        <v>839618.21</v>
      </c>
      <c r="AB4139" s="20">
        <f t="shared" si="109"/>
        <v>815182.15999999992</v>
      </c>
      <c r="AC4139" s="20">
        <f t="shared" si="109"/>
        <v>787471.59</v>
      </c>
      <c r="AD4139" s="20">
        <f t="shared" si="109"/>
        <v>771309.48</v>
      </c>
      <c r="AE4139" s="20">
        <f t="shared" si="109"/>
        <v>769439.88</v>
      </c>
      <c r="AF4139" s="20">
        <f t="shared" si="109"/>
        <v>887407.77</v>
      </c>
      <c r="AG4139" s="20">
        <f t="shared" si="109"/>
        <v>999795.81</v>
      </c>
      <c r="AH4139" s="20">
        <f t="shared" si="109"/>
        <v>972245.38</v>
      </c>
      <c r="AI4139" s="20">
        <f t="shared" si="109"/>
        <v>971329.65999999992</v>
      </c>
      <c r="AJ4139" s="20">
        <f t="shared" si="109"/>
        <v>967704.95</v>
      </c>
      <c r="AK4139" s="20">
        <f t="shared" si="109"/>
        <v>946208.92999999993</v>
      </c>
      <c r="AL4139" s="20">
        <f t="shared" si="109"/>
        <v>1044026.95</v>
      </c>
      <c r="AM4139" s="20">
        <f t="shared" si="109"/>
        <v>1019874.46</v>
      </c>
      <c r="AN4139" s="20">
        <f t="shared" si="109"/>
        <v>1025768.9299999999</v>
      </c>
      <c r="AO4139" s="20">
        <f t="shared" si="109"/>
        <v>1030958</v>
      </c>
    </row>
    <row r="4140" spans="1:41" s="15" customFormat="1" ht="14.25" x14ac:dyDescent="0.2">
      <c r="A4140" s="18" t="s">
        <v>2144</v>
      </c>
      <c r="B4140" s="19" t="s">
        <v>2145</v>
      </c>
      <c r="C4140" s="20">
        <v>171693.21</v>
      </c>
      <c r="D4140" s="20">
        <v>171477.96</v>
      </c>
      <c r="E4140" s="20">
        <v>171252.46</v>
      </c>
      <c r="F4140" s="20">
        <v>168302.35</v>
      </c>
      <c r="G4140" s="20">
        <v>167132.67000000001</v>
      </c>
      <c r="H4140" s="20">
        <v>165475.64000000001</v>
      </c>
      <c r="I4140" s="20">
        <v>164825.82</v>
      </c>
      <c r="J4140" s="20">
        <v>167652.53</v>
      </c>
      <c r="K4140" s="20">
        <v>170836.65</v>
      </c>
      <c r="L4140" s="20">
        <v>172298.74</v>
      </c>
      <c r="M4140" s="20">
        <v>294570.23</v>
      </c>
      <c r="N4140" s="20">
        <v>329483.65000000002</v>
      </c>
      <c r="O4140" s="20">
        <v>460583.31</v>
      </c>
      <c r="P4140" s="20">
        <v>404794.92</v>
      </c>
      <c r="Q4140" s="20">
        <v>406492.82</v>
      </c>
      <c r="R4140" s="20">
        <v>354100.89</v>
      </c>
      <c r="S4140" s="20">
        <v>390373.68</v>
      </c>
      <c r="T4140" s="20">
        <v>393395.34</v>
      </c>
      <c r="U4140" s="20">
        <v>386891.38</v>
      </c>
      <c r="V4140" s="20">
        <v>385299.33</v>
      </c>
      <c r="W4140" s="20">
        <v>386631.45</v>
      </c>
      <c r="X4140" s="20">
        <v>370794.47</v>
      </c>
      <c r="Y4140" s="20">
        <v>369949.7</v>
      </c>
      <c r="Z4140" s="20">
        <v>328843.90000000002</v>
      </c>
      <c r="AA4140" s="20">
        <v>333975.61</v>
      </c>
      <c r="AB4140" s="20">
        <v>312911.69</v>
      </c>
      <c r="AC4140" s="20">
        <v>312797.23</v>
      </c>
      <c r="AD4140" s="20">
        <v>313064.31</v>
      </c>
      <c r="AE4140" s="20">
        <v>311194.71000000002</v>
      </c>
      <c r="AF4140" s="20">
        <v>307989.71000000002</v>
      </c>
      <c r="AG4140" s="20">
        <v>309477.75</v>
      </c>
      <c r="AH4140" s="20">
        <v>306158.27</v>
      </c>
      <c r="AI4140" s="20">
        <v>305242.55</v>
      </c>
      <c r="AJ4140" s="20">
        <v>301617.84000000003</v>
      </c>
      <c r="AK4140" s="20">
        <v>301121.82</v>
      </c>
      <c r="AL4140" s="20">
        <v>301159.98</v>
      </c>
      <c r="AM4140" s="20">
        <v>300740.27</v>
      </c>
      <c r="AN4140" s="20">
        <v>300854.74</v>
      </c>
      <c r="AO4140" s="20">
        <v>306043.81</v>
      </c>
    </row>
    <row r="4141" spans="1:41" s="15" customFormat="1" ht="14.25" x14ac:dyDescent="0.2">
      <c r="A4141" s="18" t="s">
        <v>2146</v>
      </c>
      <c r="B4141" s="19" t="s">
        <v>2147</v>
      </c>
      <c r="C4141" s="20">
        <v>160568.31</v>
      </c>
      <c r="D4141" s="20">
        <v>155783.1</v>
      </c>
      <c r="E4141" s="20">
        <v>140935.17000000001</v>
      </c>
      <c r="F4141" s="20">
        <v>134491.76</v>
      </c>
      <c r="G4141" s="20">
        <v>128547.06</v>
      </c>
      <c r="H4141" s="20">
        <v>143270.13</v>
      </c>
      <c r="I4141" s="20">
        <v>162182.43</v>
      </c>
      <c r="J4141" s="20">
        <v>162389.91</v>
      </c>
      <c r="K4141" s="20">
        <v>158043.62</v>
      </c>
      <c r="L4141" s="20">
        <v>158150.94</v>
      </c>
      <c r="M4141" s="20">
        <v>249758.12</v>
      </c>
      <c r="N4141" s="20">
        <v>218062.93</v>
      </c>
      <c r="O4141" s="20">
        <v>311886.28999999998</v>
      </c>
      <c r="P4141" s="20">
        <v>264270.49</v>
      </c>
      <c r="Q4141" s="20">
        <v>262970.42</v>
      </c>
      <c r="R4141" s="20">
        <v>267421.98</v>
      </c>
      <c r="S4141" s="20">
        <v>242041.99</v>
      </c>
      <c r="T4141" s="20">
        <v>241415.62</v>
      </c>
      <c r="U4141" s="20">
        <v>385926.77</v>
      </c>
      <c r="V4141" s="20">
        <v>386895.97</v>
      </c>
      <c r="W4141" s="20">
        <v>379904.26</v>
      </c>
      <c r="X4141" s="20">
        <v>439422.97</v>
      </c>
      <c r="Y4141" s="20">
        <v>399657.84</v>
      </c>
      <c r="Z4141" s="20">
        <v>519788.82</v>
      </c>
      <c r="AA4141" s="20">
        <v>505642.6</v>
      </c>
      <c r="AB4141" s="20">
        <v>502270.47</v>
      </c>
      <c r="AC4141" s="20">
        <v>474674.36</v>
      </c>
      <c r="AD4141" s="20">
        <v>458245.17</v>
      </c>
      <c r="AE4141" s="20">
        <v>458245.17</v>
      </c>
      <c r="AF4141" s="20">
        <v>579418.06000000006</v>
      </c>
      <c r="AG4141" s="20">
        <v>690318.06</v>
      </c>
      <c r="AH4141" s="20">
        <v>666087.11</v>
      </c>
      <c r="AI4141" s="20">
        <v>666087.11</v>
      </c>
      <c r="AJ4141" s="20">
        <v>666087.11</v>
      </c>
      <c r="AK4141" s="20">
        <v>645087.11</v>
      </c>
      <c r="AL4141" s="20">
        <v>742866.97</v>
      </c>
      <c r="AM4141" s="20">
        <v>719134.19</v>
      </c>
      <c r="AN4141" s="20">
        <v>724914.19</v>
      </c>
      <c r="AO4141" s="20">
        <v>724914.19</v>
      </c>
    </row>
    <row r="4142" spans="1:41" ht="14.25" x14ac:dyDescent="0.2">
      <c r="A4142" s="2">
        <v>84</v>
      </c>
      <c r="B4142" s="3" t="s">
        <v>1092</v>
      </c>
      <c r="C4142" s="20">
        <f>+C4157+C4217+C4218</f>
        <v>-332261.52</v>
      </c>
      <c r="D4142" s="20">
        <f t="shared" ref="D4142:AO4142" si="110">+D4157+D4217+D4218</f>
        <v>-327261.06</v>
      </c>
      <c r="E4142" s="20">
        <f t="shared" si="110"/>
        <v>-312187.63</v>
      </c>
      <c r="F4142" s="20">
        <f t="shared" si="110"/>
        <v>-302794.11</v>
      </c>
      <c r="G4142" s="20">
        <f t="shared" si="110"/>
        <v>-295679.73</v>
      </c>
      <c r="H4142" s="20">
        <f t="shared" si="110"/>
        <v>-308745.77</v>
      </c>
      <c r="I4142" s="20">
        <f t="shared" si="110"/>
        <v>-327008.25</v>
      </c>
      <c r="J4142" s="20">
        <f t="shared" si="110"/>
        <v>-330042.44</v>
      </c>
      <c r="K4142" s="20">
        <f t="shared" si="110"/>
        <v>-328880.27</v>
      </c>
      <c r="L4142" s="20">
        <f t="shared" si="110"/>
        <v>-330449.68</v>
      </c>
      <c r="M4142" s="20">
        <f t="shared" si="110"/>
        <v>-544328.35</v>
      </c>
      <c r="N4142" s="20">
        <f t="shared" si="110"/>
        <v>-547546.58000000007</v>
      </c>
      <c r="O4142" s="20">
        <f t="shared" si="110"/>
        <v>-772469.60000000009</v>
      </c>
      <c r="P4142" s="20">
        <f t="shared" si="110"/>
        <v>-669065.41</v>
      </c>
      <c r="Q4142" s="20">
        <f t="shared" si="110"/>
        <v>-669463.24</v>
      </c>
      <c r="R4142" s="20">
        <f t="shared" si="110"/>
        <v>-621522.87</v>
      </c>
      <c r="S4142" s="20">
        <f t="shared" si="110"/>
        <v>-632415.66999999993</v>
      </c>
      <c r="T4142" s="20">
        <f t="shared" si="110"/>
        <v>-634810.96</v>
      </c>
      <c r="U4142" s="20">
        <f t="shared" si="110"/>
        <v>-772818.15</v>
      </c>
      <c r="V4142" s="20">
        <f t="shared" si="110"/>
        <v>-772195.3</v>
      </c>
      <c r="W4142" s="20">
        <f t="shared" si="110"/>
        <v>-766535.71</v>
      </c>
      <c r="X4142" s="20">
        <f t="shared" si="110"/>
        <v>-810217.44</v>
      </c>
      <c r="Y4142" s="20">
        <f t="shared" si="110"/>
        <v>-769607.54</v>
      </c>
      <c r="Z4142" s="20">
        <f t="shared" si="110"/>
        <v>-848632.72</v>
      </c>
      <c r="AA4142" s="20">
        <f t="shared" si="110"/>
        <v>-839618.21</v>
      </c>
      <c r="AB4142" s="20">
        <f t="shared" si="110"/>
        <v>-815182.16</v>
      </c>
      <c r="AC4142" s="20">
        <f t="shared" si="110"/>
        <v>-787471.59000000008</v>
      </c>
      <c r="AD4142" s="20">
        <f t="shared" si="110"/>
        <v>-750409.48</v>
      </c>
      <c r="AE4142" s="20">
        <f t="shared" si="110"/>
        <v>-748539.88</v>
      </c>
      <c r="AF4142" s="20">
        <f t="shared" si="110"/>
        <v>-866507.77</v>
      </c>
      <c r="AG4142" s="20">
        <f t="shared" si="110"/>
        <v>-978895.80999999994</v>
      </c>
      <c r="AH4142" s="20">
        <f t="shared" si="110"/>
        <v>-951345.37999999989</v>
      </c>
      <c r="AI4142" s="20">
        <f t="shared" si="110"/>
        <v>-950429.65999999992</v>
      </c>
      <c r="AJ4142" s="20">
        <f t="shared" si="110"/>
        <v>-946804.95</v>
      </c>
      <c r="AK4142" s="20">
        <f t="shared" si="110"/>
        <v>-925308.92999999993</v>
      </c>
      <c r="AL4142" s="20">
        <f t="shared" si="110"/>
        <v>-1023126.95</v>
      </c>
      <c r="AM4142" s="20">
        <f t="shared" si="110"/>
        <v>-1019874.46</v>
      </c>
      <c r="AN4142" s="20">
        <f t="shared" si="110"/>
        <v>-1025768.9299999999</v>
      </c>
      <c r="AO4142" s="20">
        <f t="shared" si="110"/>
        <v>-1030958</v>
      </c>
    </row>
    <row r="4143" spans="1:41" ht="14.25" x14ac:dyDescent="0.2">
      <c r="A4143" s="2">
        <v>8401</v>
      </c>
      <c r="B4143" s="3" t="s">
        <v>1093</v>
      </c>
      <c r="C4143" s="9"/>
      <c r="D4143" s="9"/>
      <c r="E4143" s="9"/>
      <c r="F4143" s="9"/>
      <c r="G4143" s="9"/>
      <c r="H4143" s="9"/>
      <c r="I4143" s="9"/>
      <c r="J4143" s="9"/>
      <c r="K4143" s="9"/>
      <c r="L4143" s="9"/>
      <c r="M4143" s="9"/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  <c r="AE4143" s="9"/>
      <c r="AF4143" s="9"/>
      <c r="AG4143" s="9"/>
      <c r="AH4143" s="9"/>
      <c r="AI4143" s="9"/>
      <c r="AJ4143" s="9"/>
      <c r="AK4143" s="9"/>
      <c r="AL4143" s="9"/>
      <c r="AM4143" s="9"/>
      <c r="AN4143" s="9"/>
      <c r="AO4143" s="9"/>
    </row>
    <row r="4144" spans="1:41" ht="14.25" x14ac:dyDescent="0.2">
      <c r="A4144" s="2">
        <v>840101</v>
      </c>
      <c r="B4144" s="3" t="s">
        <v>1094</v>
      </c>
      <c r="C4144" s="9"/>
      <c r="D4144" s="9"/>
      <c r="E4144" s="9"/>
      <c r="F4144" s="9"/>
      <c r="G4144" s="9"/>
      <c r="H4144" s="9"/>
      <c r="I4144" s="9"/>
      <c r="J4144" s="9"/>
      <c r="K4144" s="9"/>
      <c r="L4144" s="9"/>
      <c r="M4144" s="9"/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  <c r="AB4144" s="9"/>
      <c r="AC4144" s="9"/>
      <c r="AD4144" s="9"/>
      <c r="AE4144" s="9"/>
      <c r="AF4144" s="9"/>
      <c r="AG4144" s="9"/>
      <c r="AH4144" s="9"/>
      <c r="AI4144" s="9"/>
      <c r="AJ4144" s="9"/>
      <c r="AK4144" s="9"/>
      <c r="AL4144" s="9"/>
      <c r="AM4144" s="9"/>
      <c r="AN4144" s="9"/>
      <c r="AO4144" s="9"/>
    </row>
    <row r="4145" spans="1:41" ht="14.25" x14ac:dyDescent="0.2">
      <c r="A4145" s="2">
        <v>8402</v>
      </c>
      <c r="B4145" s="3" t="s">
        <v>1095</v>
      </c>
      <c r="C4145" s="9"/>
      <c r="D4145" s="9"/>
      <c r="E4145" s="9"/>
      <c r="F4145" s="9"/>
      <c r="G4145" s="9"/>
      <c r="H4145" s="9"/>
      <c r="I4145" s="9"/>
      <c r="J4145" s="9"/>
      <c r="K4145" s="9"/>
      <c r="L4145" s="9"/>
      <c r="M4145" s="9"/>
      <c r="N4145" s="9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9"/>
      <c r="AD4145" s="9"/>
      <c r="AE4145" s="9"/>
      <c r="AF4145" s="9"/>
      <c r="AG4145" s="9"/>
      <c r="AH4145" s="9"/>
      <c r="AI4145" s="9"/>
      <c r="AJ4145" s="9"/>
      <c r="AK4145" s="9"/>
      <c r="AL4145" s="9"/>
      <c r="AM4145" s="9"/>
      <c r="AN4145" s="9"/>
      <c r="AO4145" s="9"/>
    </row>
    <row r="4146" spans="1:41" ht="14.25" x14ac:dyDescent="0.2">
      <c r="A4146" s="2">
        <v>840201</v>
      </c>
      <c r="B4146" s="3" t="s">
        <v>1096</v>
      </c>
      <c r="C4146" s="9"/>
      <c r="D4146" s="9"/>
      <c r="E4146" s="9"/>
      <c r="F4146" s="9"/>
      <c r="G4146" s="9"/>
      <c r="H4146" s="9"/>
      <c r="I4146" s="9"/>
      <c r="J4146" s="9"/>
      <c r="K4146" s="9"/>
      <c r="L4146" s="9"/>
      <c r="M4146" s="9"/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9"/>
      <c r="AD4146" s="9"/>
      <c r="AE4146" s="9"/>
      <c r="AF4146" s="9"/>
      <c r="AG4146" s="9"/>
      <c r="AH4146" s="9"/>
      <c r="AI4146" s="9"/>
      <c r="AJ4146" s="9"/>
      <c r="AK4146" s="9"/>
      <c r="AL4146" s="9"/>
      <c r="AM4146" s="9"/>
      <c r="AN4146" s="9"/>
      <c r="AO4146" s="9"/>
    </row>
    <row r="4147" spans="1:41" ht="14.25" x14ac:dyDescent="0.2">
      <c r="A4147" s="2">
        <v>840202</v>
      </c>
      <c r="B4147" s="3" t="s">
        <v>1097</v>
      </c>
      <c r="C4147" s="9"/>
      <c r="D4147" s="9"/>
      <c r="E4147" s="9"/>
      <c r="F4147" s="9"/>
      <c r="G4147" s="9"/>
      <c r="H4147" s="9"/>
      <c r="I4147" s="9"/>
      <c r="J4147" s="9"/>
      <c r="K4147" s="9"/>
      <c r="L4147" s="9"/>
      <c r="M4147" s="9"/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  <c r="AE4147" s="9"/>
      <c r="AF4147" s="9"/>
      <c r="AG4147" s="9"/>
      <c r="AH4147" s="9"/>
      <c r="AI4147" s="9"/>
      <c r="AJ4147" s="9"/>
      <c r="AK4147" s="9"/>
      <c r="AL4147" s="9"/>
      <c r="AM4147" s="9"/>
      <c r="AN4147" s="9"/>
      <c r="AO4147" s="9"/>
    </row>
    <row r="4148" spans="1:41" ht="14.25" x14ac:dyDescent="0.2">
      <c r="A4148" s="2">
        <v>8404</v>
      </c>
      <c r="B4148" s="3" t="s">
        <v>1098</v>
      </c>
      <c r="C4148" s="9"/>
      <c r="D4148" s="9"/>
      <c r="E4148" s="9"/>
      <c r="F4148" s="9"/>
      <c r="G4148" s="9"/>
      <c r="H4148" s="9"/>
      <c r="I4148" s="9"/>
      <c r="J4148" s="9"/>
      <c r="K4148" s="9"/>
      <c r="L4148" s="9"/>
      <c r="M4148" s="9"/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9"/>
      <c r="AF4148" s="9"/>
      <c r="AG4148" s="9"/>
      <c r="AH4148" s="9"/>
      <c r="AI4148" s="9"/>
      <c r="AJ4148" s="9"/>
      <c r="AK4148" s="9"/>
      <c r="AL4148" s="9"/>
      <c r="AM4148" s="9"/>
      <c r="AN4148" s="9"/>
      <c r="AO4148" s="9"/>
    </row>
    <row r="4149" spans="1:41" ht="14.25" x14ac:dyDescent="0.2">
      <c r="A4149" s="2">
        <v>840401</v>
      </c>
      <c r="B4149" s="3" t="s">
        <v>1099</v>
      </c>
      <c r="C4149" s="9"/>
      <c r="D4149" s="9"/>
      <c r="E4149" s="9"/>
      <c r="F4149" s="9"/>
      <c r="G4149" s="9"/>
      <c r="H4149" s="9"/>
      <c r="I4149" s="9"/>
      <c r="J4149" s="9"/>
      <c r="K4149" s="9"/>
      <c r="L4149" s="9"/>
      <c r="M4149" s="9"/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9"/>
      <c r="AI4149" s="9"/>
      <c r="AJ4149" s="9"/>
      <c r="AK4149" s="9"/>
      <c r="AL4149" s="9"/>
      <c r="AM4149" s="9"/>
      <c r="AN4149" s="9"/>
      <c r="AO4149" s="9"/>
    </row>
    <row r="4150" spans="1:41" ht="28.5" x14ac:dyDescent="0.2">
      <c r="A4150" s="2">
        <v>84040102</v>
      </c>
      <c r="B4150" s="4" t="s">
        <v>1100</v>
      </c>
      <c r="C4150" s="11"/>
      <c r="D4150" s="11"/>
      <c r="E4150" s="11"/>
      <c r="F4150" s="11"/>
      <c r="G4150" s="11"/>
      <c r="H4150" s="11"/>
      <c r="I4150" s="11"/>
      <c r="J4150" s="11"/>
      <c r="K4150" s="11"/>
      <c r="L4150" s="11"/>
      <c r="M4150" s="11"/>
      <c r="N4150" s="11"/>
      <c r="O4150" s="11"/>
      <c r="P4150" s="11"/>
      <c r="Q4150" s="11"/>
      <c r="R4150" s="11"/>
      <c r="S4150" s="11"/>
      <c r="T4150" s="11"/>
      <c r="U4150" s="11"/>
      <c r="V4150" s="11"/>
      <c r="W4150" s="11"/>
      <c r="X4150" s="11"/>
      <c r="Y4150" s="11"/>
      <c r="Z4150" s="11"/>
      <c r="AA4150" s="11"/>
      <c r="AB4150" s="11"/>
      <c r="AC4150" s="11"/>
      <c r="AD4150" s="11"/>
      <c r="AE4150" s="11"/>
      <c r="AF4150" s="11"/>
      <c r="AG4150" s="11"/>
      <c r="AH4150" s="11"/>
      <c r="AI4150" s="11"/>
      <c r="AJ4150" s="11"/>
      <c r="AK4150" s="11"/>
      <c r="AL4150" s="11"/>
      <c r="AM4150" s="11"/>
      <c r="AN4150" s="11"/>
      <c r="AO4150" s="11"/>
    </row>
    <row r="4151" spans="1:41" ht="25.5" x14ac:dyDescent="0.2">
      <c r="A4151" s="5">
        <v>84040103</v>
      </c>
      <c r="B4151" s="4" t="s">
        <v>1101</v>
      </c>
      <c r="C4151" s="11"/>
      <c r="D4151" s="11"/>
      <c r="E4151" s="11"/>
      <c r="F4151" s="11"/>
      <c r="G4151" s="11"/>
      <c r="H4151" s="11"/>
      <c r="I4151" s="11"/>
      <c r="J4151" s="11"/>
      <c r="K4151" s="11"/>
      <c r="L4151" s="11"/>
      <c r="M4151" s="11"/>
      <c r="N4151" s="11"/>
      <c r="O4151" s="11"/>
      <c r="P4151" s="11"/>
      <c r="Q4151" s="11"/>
      <c r="R4151" s="11"/>
      <c r="S4151" s="11"/>
      <c r="T4151" s="11"/>
      <c r="U4151" s="11"/>
      <c r="V4151" s="11"/>
      <c r="W4151" s="11"/>
      <c r="X4151" s="11"/>
      <c r="Y4151" s="11"/>
      <c r="Z4151" s="11"/>
      <c r="AA4151" s="11"/>
      <c r="AB4151" s="11"/>
      <c r="AC4151" s="11"/>
      <c r="AD4151" s="11"/>
      <c r="AE4151" s="11"/>
      <c r="AF4151" s="11"/>
      <c r="AG4151" s="11"/>
      <c r="AH4151" s="11"/>
      <c r="AI4151" s="11"/>
      <c r="AJ4151" s="11"/>
      <c r="AK4151" s="11"/>
      <c r="AL4151" s="11"/>
      <c r="AM4151" s="11"/>
      <c r="AN4151" s="11"/>
      <c r="AO4151" s="11"/>
    </row>
    <row r="4152" spans="1:41" ht="25.5" x14ac:dyDescent="0.2">
      <c r="A4152" s="5">
        <v>84040104</v>
      </c>
      <c r="B4152" s="4" t="s">
        <v>1102</v>
      </c>
      <c r="C4152" s="11"/>
      <c r="D4152" s="11"/>
      <c r="E4152" s="11"/>
      <c r="F4152" s="11"/>
      <c r="G4152" s="11"/>
      <c r="H4152" s="11"/>
      <c r="I4152" s="11"/>
      <c r="J4152" s="11"/>
      <c r="K4152" s="11"/>
      <c r="L4152" s="11"/>
      <c r="M4152" s="11"/>
      <c r="N4152" s="11"/>
      <c r="O4152" s="11"/>
      <c r="P4152" s="11"/>
      <c r="Q4152" s="11"/>
      <c r="R4152" s="11"/>
      <c r="S4152" s="11"/>
      <c r="T4152" s="11"/>
      <c r="U4152" s="11"/>
      <c r="V4152" s="11"/>
      <c r="W4152" s="11"/>
      <c r="X4152" s="11"/>
      <c r="Y4152" s="11"/>
      <c r="Z4152" s="11"/>
      <c r="AA4152" s="11"/>
      <c r="AB4152" s="11"/>
      <c r="AC4152" s="11"/>
      <c r="AD4152" s="11"/>
      <c r="AE4152" s="11"/>
      <c r="AF4152" s="11"/>
      <c r="AG4152" s="11"/>
      <c r="AH4152" s="11"/>
      <c r="AI4152" s="11"/>
      <c r="AJ4152" s="11"/>
      <c r="AK4152" s="11"/>
      <c r="AL4152" s="11"/>
      <c r="AM4152" s="11"/>
      <c r="AN4152" s="11"/>
      <c r="AO4152" s="11"/>
    </row>
    <row r="4153" spans="1:41" ht="14.25" x14ac:dyDescent="0.2">
      <c r="A4153" s="2">
        <v>84040105</v>
      </c>
      <c r="B4153" s="3" t="s">
        <v>1103</v>
      </c>
      <c r="C4153" s="9"/>
      <c r="D4153" s="9"/>
      <c r="E4153" s="9"/>
      <c r="F4153" s="9"/>
      <c r="G4153" s="9"/>
      <c r="H4153" s="9"/>
      <c r="I4153" s="9"/>
      <c r="J4153" s="9"/>
      <c r="K4153" s="9"/>
      <c r="L4153" s="9"/>
      <c r="M4153" s="9"/>
      <c r="N4153" s="9"/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9"/>
      <c r="AF4153" s="9"/>
      <c r="AG4153" s="9"/>
      <c r="AH4153" s="9"/>
      <c r="AI4153" s="9"/>
      <c r="AJ4153" s="9"/>
      <c r="AK4153" s="9"/>
      <c r="AL4153" s="9"/>
      <c r="AM4153" s="9"/>
      <c r="AN4153" s="9"/>
      <c r="AO4153" s="9"/>
    </row>
    <row r="4154" spans="1:41" ht="28.5" x14ac:dyDescent="0.2">
      <c r="A4154" s="2">
        <v>84040106</v>
      </c>
      <c r="B4154" s="4" t="s">
        <v>1104</v>
      </c>
      <c r="C4154" s="11"/>
      <c r="D4154" s="11"/>
      <c r="E4154" s="11"/>
      <c r="F4154" s="11"/>
      <c r="G4154" s="11"/>
      <c r="H4154" s="11"/>
      <c r="I4154" s="11"/>
      <c r="J4154" s="11"/>
      <c r="K4154" s="11"/>
      <c r="L4154" s="11"/>
      <c r="M4154" s="11"/>
      <c r="N4154" s="11"/>
      <c r="O4154" s="11"/>
      <c r="P4154" s="11"/>
      <c r="Q4154" s="11"/>
      <c r="R4154" s="11"/>
      <c r="S4154" s="11"/>
      <c r="T4154" s="11"/>
      <c r="U4154" s="11"/>
      <c r="V4154" s="11"/>
      <c r="W4154" s="11"/>
      <c r="X4154" s="11"/>
      <c r="Y4154" s="11"/>
      <c r="Z4154" s="11"/>
      <c r="AA4154" s="11"/>
      <c r="AB4154" s="11"/>
      <c r="AC4154" s="11"/>
      <c r="AD4154" s="11"/>
      <c r="AE4154" s="11"/>
      <c r="AF4154" s="11"/>
      <c r="AG4154" s="11"/>
      <c r="AH4154" s="11"/>
      <c r="AI4154" s="11"/>
      <c r="AJ4154" s="11"/>
      <c r="AK4154" s="11"/>
      <c r="AL4154" s="11"/>
      <c r="AM4154" s="11"/>
      <c r="AN4154" s="11"/>
      <c r="AO4154" s="11"/>
    </row>
    <row r="4155" spans="1:41" ht="28.5" x14ac:dyDescent="0.2">
      <c r="A4155" s="2">
        <v>84040107</v>
      </c>
      <c r="B4155" s="4" t="s">
        <v>1105</v>
      </c>
      <c r="C4155" s="11"/>
      <c r="D4155" s="11"/>
      <c r="E4155" s="11"/>
      <c r="F4155" s="11"/>
      <c r="G4155" s="11"/>
      <c r="H4155" s="11"/>
      <c r="I4155" s="11"/>
      <c r="J4155" s="11"/>
      <c r="K4155" s="11"/>
      <c r="L4155" s="11"/>
      <c r="M4155" s="11"/>
      <c r="N4155" s="11"/>
      <c r="O4155" s="11"/>
      <c r="P4155" s="11"/>
      <c r="Q4155" s="11"/>
      <c r="R4155" s="11"/>
      <c r="S4155" s="11"/>
      <c r="T4155" s="11"/>
      <c r="U4155" s="11"/>
      <c r="V4155" s="11"/>
      <c r="W4155" s="11"/>
      <c r="X4155" s="11"/>
      <c r="Y4155" s="11"/>
      <c r="Z4155" s="11"/>
      <c r="AA4155" s="11"/>
      <c r="AB4155" s="11"/>
      <c r="AC4155" s="11"/>
      <c r="AD4155" s="11"/>
      <c r="AE4155" s="11"/>
      <c r="AF4155" s="11"/>
      <c r="AG4155" s="11"/>
      <c r="AH4155" s="11"/>
      <c r="AI4155" s="11"/>
      <c r="AJ4155" s="11"/>
      <c r="AK4155" s="11"/>
      <c r="AL4155" s="11"/>
      <c r="AM4155" s="11"/>
      <c r="AN4155" s="11"/>
      <c r="AO4155" s="11"/>
    </row>
    <row r="4156" spans="1:41" ht="14.25" x14ac:dyDescent="0.2">
      <c r="A4156" s="2">
        <v>840402</v>
      </c>
      <c r="B4156" s="3" t="s">
        <v>1106</v>
      </c>
      <c r="C4156" s="9"/>
      <c r="D4156" s="9"/>
      <c r="E4156" s="9"/>
      <c r="F4156" s="9"/>
      <c r="G4156" s="9"/>
      <c r="H4156" s="9"/>
      <c r="I4156" s="9"/>
      <c r="J4156" s="9"/>
      <c r="K4156" s="9"/>
      <c r="L4156" s="9"/>
      <c r="M4156" s="9"/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9"/>
      <c r="AI4156" s="9"/>
      <c r="AJ4156" s="9"/>
      <c r="AK4156" s="9"/>
      <c r="AL4156" s="9"/>
      <c r="AM4156" s="9"/>
      <c r="AN4156" s="9"/>
      <c r="AO4156" s="9"/>
    </row>
    <row r="4157" spans="1:41" s="15" customFormat="1" ht="14.25" x14ac:dyDescent="0.2">
      <c r="A4157" s="18" t="s">
        <v>2148</v>
      </c>
      <c r="B4157" s="19" t="s">
        <v>2149</v>
      </c>
      <c r="C4157" s="20">
        <v>-172623.52</v>
      </c>
      <c r="D4157" s="20">
        <v>-167623.06</v>
      </c>
      <c r="E4157" s="20">
        <v>-152549.63</v>
      </c>
      <c r="F4157" s="20">
        <v>-143156.10999999999</v>
      </c>
      <c r="G4157" s="20">
        <v>-136041.73000000001</v>
      </c>
      <c r="H4157" s="20">
        <v>-149107.76999999999</v>
      </c>
      <c r="I4157" s="20">
        <v>-77370.25</v>
      </c>
      <c r="J4157" s="20">
        <v>-80404.44</v>
      </c>
      <c r="K4157" s="20">
        <v>-79242.27</v>
      </c>
      <c r="L4157" s="20">
        <v>-80811.679999999993</v>
      </c>
      <c r="M4157" s="20">
        <v>-294570.23</v>
      </c>
      <c r="N4157" s="20">
        <v>-297757.76</v>
      </c>
      <c r="O4157" s="20">
        <v>-432680.78</v>
      </c>
      <c r="P4157" s="20">
        <v>-329276.59000000003</v>
      </c>
      <c r="Q4157" s="20">
        <v>-329674.42</v>
      </c>
      <c r="R4157" s="20">
        <v>-281734.05</v>
      </c>
      <c r="S4157" s="20">
        <v>-292626.84999999998</v>
      </c>
      <c r="T4157" s="20">
        <v>-295022.14</v>
      </c>
      <c r="U4157" s="20">
        <v>-343029.33</v>
      </c>
      <c r="V4157" s="20">
        <v>-342406.48</v>
      </c>
      <c r="W4157" s="20">
        <v>-336746.89</v>
      </c>
      <c r="X4157" s="20">
        <v>-380428.62</v>
      </c>
      <c r="Y4157" s="20">
        <v>-339818.72</v>
      </c>
      <c r="Z4157" s="20">
        <v>-328843.90000000002</v>
      </c>
      <c r="AA4157" s="20">
        <v>-319829.39</v>
      </c>
      <c r="AB4157" s="20">
        <v>-295393.34000000003</v>
      </c>
      <c r="AC4157" s="20">
        <v>-267682.77</v>
      </c>
      <c r="AD4157" s="20">
        <v>-230620.66</v>
      </c>
      <c r="AE4157" s="20">
        <v>-228751.06</v>
      </c>
      <c r="AF4157" s="20">
        <v>-346718.95</v>
      </c>
      <c r="AG4157" s="20">
        <v>-369106.99</v>
      </c>
      <c r="AH4157" s="20">
        <v>-341556.56</v>
      </c>
      <c r="AI4157" s="20">
        <v>-340640.84</v>
      </c>
      <c r="AJ4157" s="20">
        <v>-337016.13</v>
      </c>
      <c r="AK4157" s="20">
        <v>-315520.11</v>
      </c>
      <c r="AL4157" s="20">
        <v>-323038.13</v>
      </c>
      <c r="AM4157" s="20">
        <v>-319785.64</v>
      </c>
      <c r="AN4157" s="20">
        <v>-325680.11</v>
      </c>
      <c r="AO4157" s="20">
        <v>-330869.18</v>
      </c>
    </row>
    <row r="4158" spans="1:41" ht="28.5" x14ac:dyDescent="0.2">
      <c r="A4158" s="2">
        <v>84040202</v>
      </c>
      <c r="B4158" s="4" t="s">
        <v>1107</v>
      </c>
      <c r="C4158" s="11"/>
      <c r="D4158" s="11"/>
      <c r="E4158" s="11"/>
      <c r="F4158" s="11"/>
      <c r="G4158" s="11"/>
      <c r="H4158" s="11"/>
      <c r="I4158" s="11"/>
      <c r="J4158" s="11"/>
      <c r="K4158" s="11"/>
      <c r="L4158" s="11"/>
      <c r="M4158" s="11"/>
      <c r="N4158" s="11"/>
      <c r="O4158" s="11"/>
      <c r="P4158" s="11"/>
      <c r="Q4158" s="11"/>
      <c r="R4158" s="11"/>
      <c r="S4158" s="11"/>
      <c r="T4158" s="11"/>
      <c r="U4158" s="11"/>
      <c r="V4158" s="11"/>
      <c r="W4158" s="11"/>
      <c r="X4158" s="11"/>
      <c r="Y4158" s="11"/>
      <c r="Z4158" s="11"/>
      <c r="AA4158" s="11"/>
      <c r="AB4158" s="11"/>
      <c r="AC4158" s="11"/>
      <c r="AD4158" s="11"/>
      <c r="AE4158" s="11"/>
      <c r="AF4158" s="11"/>
      <c r="AG4158" s="11"/>
      <c r="AH4158" s="11"/>
      <c r="AI4158" s="11"/>
      <c r="AJ4158" s="11"/>
      <c r="AK4158" s="11"/>
      <c r="AL4158" s="11"/>
      <c r="AM4158" s="11"/>
      <c r="AN4158" s="11"/>
      <c r="AO4158" s="11"/>
    </row>
    <row r="4159" spans="1:41" ht="14.25" x14ac:dyDescent="0.2">
      <c r="A4159" s="2">
        <v>8404020201</v>
      </c>
      <c r="B4159" s="3" t="s">
        <v>1108</v>
      </c>
      <c r="C4159" s="9"/>
      <c r="D4159" s="9"/>
      <c r="E4159" s="9"/>
      <c r="F4159" s="9"/>
      <c r="G4159" s="9"/>
      <c r="H4159" s="9"/>
      <c r="I4159" s="9"/>
      <c r="J4159" s="9"/>
      <c r="K4159" s="9"/>
      <c r="L4159" s="9"/>
      <c r="M4159" s="9"/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9"/>
      <c r="AI4159" s="9"/>
      <c r="AJ4159" s="9"/>
      <c r="AK4159" s="9"/>
      <c r="AL4159" s="9"/>
      <c r="AM4159" s="9"/>
      <c r="AN4159" s="9"/>
      <c r="AO4159" s="9"/>
    </row>
    <row r="4160" spans="1:41" ht="28.5" x14ac:dyDescent="0.2">
      <c r="A4160" s="2">
        <v>8404020202</v>
      </c>
      <c r="B4160" s="4" t="s">
        <v>1109</v>
      </c>
      <c r="C4160" s="11"/>
      <c r="D4160" s="11"/>
      <c r="E4160" s="11"/>
      <c r="F4160" s="11"/>
      <c r="G4160" s="11"/>
      <c r="H4160" s="11"/>
      <c r="I4160" s="11"/>
      <c r="J4160" s="11"/>
      <c r="K4160" s="11"/>
      <c r="L4160" s="11"/>
      <c r="M4160" s="11"/>
      <c r="N4160" s="11"/>
      <c r="O4160" s="11"/>
      <c r="P4160" s="11"/>
      <c r="Q4160" s="11"/>
      <c r="R4160" s="11"/>
      <c r="S4160" s="11"/>
      <c r="T4160" s="11"/>
      <c r="U4160" s="11"/>
      <c r="V4160" s="11"/>
      <c r="W4160" s="11"/>
      <c r="X4160" s="11"/>
      <c r="Y4160" s="11"/>
      <c r="Z4160" s="11"/>
      <c r="AA4160" s="11"/>
      <c r="AB4160" s="11"/>
      <c r="AC4160" s="11"/>
      <c r="AD4160" s="11"/>
      <c r="AE4160" s="11"/>
      <c r="AF4160" s="11"/>
      <c r="AG4160" s="11"/>
      <c r="AH4160" s="11"/>
      <c r="AI4160" s="11"/>
      <c r="AJ4160" s="11"/>
      <c r="AK4160" s="11"/>
      <c r="AL4160" s="11"/>
      <c r="AM4160" s="11"/>
      <c r="AN4160" s="11"/>
      <c r="AO4160" s="11"/>
    </row>
    <row r="4161" spans="1:41" ht="14.25" x14ac:dyDescent="0.2">
      <c r="A4161" s="2">
        <v>8404020203</v>
      </c>
      <c r="B4161" s="3" t="s">
        <v>1110</v>
      </c>
      <c r="C4161" s="9"/>
      <c r="D4161" s="9"/>
      <c r="E4161" s="9"/>
      <c r="F4161" s="9"/>
      <c r="G4161" s="9"/>
      <c r="H4161" s="9"/>
      <c r="I4161" s="9"/>
      <c r="J4161" s="9"/>
      <c r="K4161" s="9"/>
      <c r="L4161" s="9"/>
      <c r="M4161" s="9"/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9"/>
      <c r="AI4161" s="9"/>
      <c r="AJ4161" s="9"/>
      <c r="AK4161" s="9"/>
      <c r="AL4161" s="9"/>
      <c r="AM4161" s="9"/>
      <c r="AN4161" s="9"/>
      <c r="AO4161" s="9"/>
    </row>
    <row r="4162" spans="1:41" ht="14.25" x14ac:dyDescent="0.2">
      <c r="A4162" s="2">
        <v>8404020204</v>
      </c>
      <c r="B4162" s="3" t="s">
        <v>35</v>
      </c>
      <c r="C4162" s="9"/>
      <c r="D4162" s="9"/>
      <c r="E4162" s="9"/>
      <c r="F4162" s="9"/>
      <c r="G4162" s="9"/>
      <c r="H4162" s="9"/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  <c r="AE4162" s="9"/>
      <c r="AF4162" s="9"/>
      <c r="AG4162" s="9"/>
      <c r="AH4162" s="9"/>
      <c r="AI4162" s="9"/>
      <c r="AJ4162" s="9"/>
      <c r="AK4162" s="9"/>
      <c r="AL4162" s="9"/>
      <c r="AM4162" s="9"/>
      <c r="AN4162" s="9"/>
      <c r="AO4162" s="9"/>
    </row>
    <row r="4163" spans="1:41" ht="28.5" x14ac:dyDescent="0.2">
      <c r="A4163" s="2">
        <v>84040203</v>
      </c>
      <c r="B4163" s="4" t="s">
        <v>1111</v>
      </c>
      <c r="C4163" s="11"/>
      <c r="D4163" s="11"/>
      <c r="E4163" s="11"/>
      <c r="F4163" s="11"/>
      <c r="G4163" s="11"/>
      <c r="H4163" s="11"/>
      <c r="I4163" s="11"/>
      <c r="J4163" s="11"/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11"/>
      <c r="AG4163" s="11"/>
      <c r="AH4163" s="11"/>
      <c r="AI4163" s="11"/>
      <c r="AJ4163" s="11"/>
      <c r="AK4163" s="11"/>
      <c r="AL4163" s="11"/>
      <c r="AM4163" s="11"/>
      <c r="AN4163" s="11"/>
      <c r="AO4163" s="11"/>
    </row>
    <row r="4164" spans="1:41" ht="14.25" x14ac:dyDescent="0.2">
      <c r="A4164" s="2">
        <v>8404020301</v>
      </c>
      <c r="B4164" s="3" t="s">
        <v>1112</v>
      </c>
      <c r="C4164" s="9"/>
      <c r="D4164" s="9"/>
      <c r="E4164" s="9"/>
      <c r="F4164" s="9"/>
      <c r="G4164" s="9"/>
      <c r="H4164" s="9"/>
      <c r="I4164" s="9"/>
      <c r="J4164" s="9"/>
      <c r="K4164" s="9"/>
      <c r="L4164" s="9"/>
      <c r="M4164" s="9"/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9"/>
      <c r="AG4164" s="9"/>
      <c r="AH4164" s="9"/>
      <c r="AI4164" s="9"/>
      <c r="AJ4164" s="9"/>
      <c r="AK4164" s="9"/>
      <c r="AL4164" s="9"/>
      <c r="AM4164" s="9"/>
      <c r="AN4164" s="9"/>
      <c r="AO4164" s="9"/>
    </row>
    <row r="4165" spans="1:41" ht="14.25" x14ac:dyDescent="0.2">
      <c r="A4165" s="2">
        <v>8404020302</v>
      </c>
      <c r="B4165" s="3" t="s">
        <v>1113</v>
      </c>
      <c r="C4165" s="9"/>
      <c r="D4165" s="9"/>
      <c r="E4165" s="9"/>
      <c r="F4165" s="9"/>
      <c r="G4165" s="9"/>
      <c r="H4165" s="9"/>
      <c r="I4165" s="9"/>
      <c r="J4165" s="9"/>
      <c r="K4165" s="9"/>
      <c r="L4165" s="9"/>
      <c r="M4165" s="9"/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9"/>
      <c r="AF4165" s="9"/>
      <c r="AG4165" s="9"/>
      <c r="AH4165" s="9"/>
      <c r="AI4165" s="9"/>
      <c r="AJ4165" s="9"/>
      <c r="AK4165" s="9"/>
      <c r="AL4165" s="9"/>
      <c r="AM4165" s="9"/>
      <c r="AN4165" s="9"/>
      <c r="AO4165" s="9"/>
    </row>
    <row r="4166" spans="1:41" ht="28.5" x14ac:dyDescent="0.2">
      <c r="A4166" s="2">
        <v>84040204</v>
      </c>
      <c r="B4166" s="4" t="s">
        <v>1114</v>
      </c>
      <c r="C4166" s="11"/>
      <c r="D4166" s="11"/>
      <c r="E4166" s="11"/>
      <c r="F4166" s="11"/>
      <c r="G4166" s="11"/>
      <c r="H4166" s="11"/>
      <c r="I4166" s="11"/>
      <c r="J4166" s="11"/>
      <c r="K4166" s="11"/>
      <c r="L4166" s="11"/>
      <c r="M4166" s="11"/>
      <c r="N4166" s="11"/>
      <c r="O4166" s="11"/>
      <c r="P4166" s="11"/>
      <c r="Q4166" s="11"/>
      <c r="R4166" s="11"/>
      <c r="S4166" s="11"/>
      <c r="T4166" s="11"/>
      <c r="U4166" s="11"/>
      <c r="V4166" s="11"/>
      <c r="W4166" s="11"/>
      <c r="X4166" s="11"/>
      <c r="Y4166" s="11"/>
      <c r="Z4166" s="11"/>
      <c r="AA4166" s="11"/>
      <c r="AB4166" s="11"/>
      <c r="AC4166" s="11"/>
      <c r="AD4166" s="11"/>
      <c r="AE4166" s="11"/>
      <c r="AF4166" s="11"/>
      <c r="AG4166" s="11"/>
      <c r="AH4166" s="11"/>
      <c r="AI4166" s="11"/>
      <c r="AJ4166" s="11"/>
      <c r="AK4166" s="11"/>
      <c r="AL4166" s="11"/>
      <c r="AM4166" s="11"/>
      <c r="AN4166" s="11"/>
      <c r="AO4166" s="11"/>
    </row>
    <row r="4167" spans="1:41" ht="14.25" x14ac:dyDescent="0.2">
      <c r="A4167" s="2">
        <v>8404020401</v>
      </c>
      <c r="B4167" s="3" t="s">
        <v>1115</v>
      </c>
      <c r="C4167" s="9"/>
      <c r="D4167" s="9"/>
      <c r="E4167" s="9"/>
      <c r="F4167" s="9"/>
      <c r="G4167" s="9"/>
      <c r="H4167" s="9"/>
      <c r="I4167" s="9"/>
      <c r="J4167" s="9"/>
      <c r="K4167" s="9"/>
      <c r="L4167" s="9"/>
      <c r="M4167" s="9"/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9"/>
      <c r="AG4167" s="9"/>
      <c r="AH4167" s="9"/>
      <c r="AI4167" s="9"/>
      <c r="AJ4167" s="9"/>
      <c r="AK4167" s="9"/>
      <c r="AL4167" s="9"/>
      <c r="AM4167" s="9"/>
      <c r="AN4167" s="9"/>
      <c r="AO4167" s="9"/>
    </row>
    <row r="4168" spans="1:41" ht="28.5" x14ac:dyDescent="0.2">
      <c r="A4168" s="2">
        <v>8404020402</v>
      </c>
      <c r="B4168" s="4" t="s">
        <v>1116</v>
      </c>
      <c r="C4168" s="11"/>
      <c r="D4168" s="11"/>
      <c r="E4168" s="11"/>
      <c r="F4168" s="11"/>
      <c r="G4168" s="11"/>
      <c r="H4168" s="11"/>
      <c r="I4168" s="11"/>
      <c r="J4168" s="11"/>
      <c r="K4168" s="11"/>
      <c r="L4168" s="11"/>
      <c r="M4168" s="11"/>
      <c r="N4168" s="11"/>
      <c r="O4168" s="11"/>
      <c r="P4168" s="11"/>
      <c r="Q4168" s="11"/>
      <c r="R4168" s="11"/>
      <c r="S4168" s="11"/>
      <c r="T4168" s="11"/>
      <c r="U4168" s="11"/>
      <c r="V4168" s="11"/>
      <c r="W4168" s="11"/>
      <c r="X4168" s="11"/>
      <c r="Y4168" s="11"/>
      <c r="Z4168" s="11"/>
      <c r="AA4168" s="11"/>
      <c r="AB4168" s="11"/>
      <c r="AC4168" s="11"/>
      <c r="AD4168" s="11"/>
      <c r="AE4168" s="11"/>
      <c r="AF4168" s="11"/>
      <c r="AG4168" s="11"/>
      <c r="AH4168" s="11"/>
      <c r="AI4168" s="11"/>
      <c r="AJ4168" s="11"/>
      <c r="AK4168" s="11"/>
      <c r="AL4168" s="11"/>
      <c r="AM4168" s="11"/>
      <c r="AN4168" s="11"/>
      <c r="AO4168" s="11"/>
    </row>
    <row r="4169" spans="1:41" ht="14.25" x14ac:dyDescent="0.2">
      <c r="A4169" s="2">
        <v>84040205</v>
      </c>
      <c r="B4169" s="3" t="s">
        <v>1117</v>
      </c>
      <c r="C4169" s="9"/>
      <c r="D4169" s="9"/>
      <c r="E4169" s="9"/>
      <c r="F4169" s="9"/>
      <c r="G4169" s="9"/>
      <c r="H4169" s="9"/>
      <c r="I4169" s="9"/>
      <c r="J4169" s="9"/>
      <c r="K4169" s="9"/>
      <c r="L4169" s="9"/>
      <c r="M4169" s="9"/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9"/>
      <c r="AG4169" s="9"/>
      <c r="AH4169" s="9"/>
      <c r="AI4169" s="9"/>
      <c r="AJ4169" s="9"/>
      <c r="AK4169" s="9"/>
      <c r="AL4169" s="9"/>
      <c r="AM4169" s="9"/>
      <c r="AN4169" s="9"/>
      <c r="AO4169" s="9"/>
    </row>
    <row r="4170" spans="1:41" ht="14.25" x14ac:dyDescent="0.2">
      <c r="A4170" s="2">
        <v>8404020501</v>
      </c>
      <c r="B4170" s="3" t="s">
        <v>1118</v>
      </c>
      <c r="C4170" s="9"/>
      <c r="D4170" s="9"/>
      <c r="E4170" s="9"/>
      <c r="F4170" s="9"/>
      <c r="G4170" s="9"/>
      <c r="H4170" s="9"/>
      <c r="I4170" s="9"/>
      <c r="J4170" s="9"/>
      <c r="K4170" s="9"/>
      <c r="L4170" s="9"/>
      <c r="M4170" s="9"/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9"/>
      <c r="AI4170" s="9"/>
      <c r="AJ4170" s="9"/>
      <c r="AK4170" s="9"/>
      <c r="AL4170" s="9"/>
      <c r="AM4170" s="9"/>
      <c r="AN4170" s="9"/>
      <c r="AO4170" s="9"/>
    </row>
    <row r="4171" spans="1:41" ht="14.25" x14ac:dyDescent="0.2">
      <c r="A4171" s="2">
        <v>8404020502</v>
      </c>
      <c r="B4171" s="3" t="s">
        <v>1119</v>
      </c>
      <c r="C4171" s="9"/>
      <c r="D4171" s="9"/>
      <c r="E4171" s="9"/>
      <c r="F4171" s="9"/>
      <c r="G4171" s="9"/>
      <c r="H4171" s="9"/>
      <c r="I4171" s="9"/>
      <c r="J4171" s="9"/>
      <c r="K4171" s="9"/>
      <c r="L4171" s="9"/>
      <c r="M4171" s="9"/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9"/>
      <c r="AI4171" s="9"/>
      <c r="AJ4171" s="9"/>
      <c r="AK4171" s="9"/>
      <c r="AL4171" s="9"/>
      <c r="AM4171" s="9"/>
      <c r="AN4171" s="9"/>
      <c r="AO4171" s="9"/>
    </row>
    <row r="4172" spans="1:41" ht="14.25" x14ac:dyDescent="0.2">
      <c r="A4172" s="2">
        <v>84040206</v>
      </c>
      <c r="B4172" s="3" t="s">
        <v>1120</v>
      </c>
      <c r="C4172" s="9"/>
      <c r="D4172" s="9"/>
      <c r="E4172" s="9"/>
      <c r="F4172" s="9"/>
      <c r="G4172" s="9"/>
      <c r="H4172" s="9"/>
      <c r="I4172" s="9"/>
      <c r="J4172" s="9"/>
      <c r="K4172" s="9"/>
      <c r="L4172" s="9"/>
      <c r="M4172" s="9"/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9"/>
      <c r="AI4172" s="9"/>
      <c r="AJ4172" s="9"/>
      <c r="AK4172" s="9"/>
      <c r="AL4172" s="9"/>
      <c r="AM4172" s="9"/>
      <c r="AN4172" s="9"/>
      <c r="AO4172" s="9"/>
    </row>
    <row r="4173" spans="1:41" ht="28.5" x14ac:dyDescent="0.2">
      <c r="A4173" s="2">
        <v>84040207</v>
      </c>
      <c r="B4173" s="4" t="s">
        <v>1121</v>
      </c>
      <c r="C4173" s="11"/>
      <c r="D4173" s="11"/>
      <c r="E4173" s="11"/>
      <c r="F4173" s="11"/>
      <c r="G4173" s="11"/>
      <c r="H4173" s="11"/>
      <c r="I4173" s="11"/>
      <c r="J4173" s="11"/>
      <c r="K4173" s="11"/>
      <c r="L4173" s="11"/>
      <c r="M4173" s="11"/>
      <c r="N4173" s="11"/>
      <c r="O4173" s="11"/>
      <c r="P4173" s="11"/>
      <c r="Q4173" s="11"/>
      <c r="R4173" s="11"/>
      <c r="S4173" s="11"/>
      <c r="T4173" s="11"/>
      <c r="U4173" s="11"/>
      <c r="V4173" s="11"/>
      <c r="W4173" s="11"/>
      <c r="X4173" s="11"/>
      <c r="Y4173" s="11"/>
      <c r="Z4173" s="11"/>
      <c r="AA4173" s="11"/>
      <c r="AB4173" s="11"/>
      <c r="AC4173" s="11"/>
      <c r="AD4173" s="11"/>
      <c r="AE4173" s="11"/>
      <c r="AF4173" s="11"/>
      <c r="AG4173" s="11"/>
      <c r="AH4173" s="11"/>
      <c r="AI4173" s="11"/>
      <c r="AJ4173" s="11"/>
      <c r="AK4173" s="11"/>
      <c r="AL4173" s="11"/>
      <c r="AM4173" s="11"/>
      <c r="AN4173" s="11"/>
      <c r="AO4173" s="11"/>
    </row>
    <row r="4174" spans="1:41" ht="28.5" x14ac:dyDescent="0.2">
      <c r="A4174" s="2">
        <v>84040208</v>
      </c>
      <c r="B4174" s="4" t="s">
        <v>1122</v>
      </c>
      <c r="C4174" s="11"/>
      <c r="D4174" s="11"/>
      <c r="E4174" s="11"/>
      <c r="F4174" s="11"/>
      <c r="G4174" s="11"/>
      <c r="H4174" s="11"/>
      <c r="I4174" s="11"/>
      <c r="J4174" s="11"/>
      <c r="K4174" s="11"/>
      <c r="L4174" s="11"/>
      <c r="M4174" s="11"/>
      <c r="N4174" s="11"/>
      <c r="O4174" s="11"/>
      <c r="P4174" s="11"/>
      <c r="Q4174" s="11"/>
      <c r="R4174" s="11"/>
      <c r="S4174" s="11"/>
      <c r="T4174" s="11"/>
      <c r="U4174" s="11"/>
      <c r="V4174" s="11"/>
      <c r="W4174" s="11"/>
      <c r="X4174" s="11"/>
      <c r="Y4174" s="11"/>
      <c r="Z4174" s="11"/>
      <c r="AA4174" s="11"/>
      <c r="AB4174" s="11"/>
      <c r="AC4174" s="11"/>
      <c r="AD4174" s="11"/>
      <c r="AE4174" s="11"/>
      <c r="AF4174" s="11"/>
      <c r="AG4174" s="11"/>
      <c r="AH4174" s="11"/>
      <c r="AI4174" s="11"/>
      <c r="AJ4174" s="11"/>
      <c r="AK4174" s="11"/>
      <c r="AL4174" s="11"/>
      <c r="AM4174" s="11"/>
      <c r="AN4174" s="11"/>
      <c r="AO4174" s="11"/>
    </row>
    <row r="4175" spans="1:41" ht="42.75" x14ac:dyDescent="0.2">
      <c r="A4175" s="2">
        <v>84040209</v>
      </c>
      <c r="B4175" s="4" t="s">
        <v>1123</v>
      </c>
      <c r="C4175" s="11"/>
      <c r="D4175" s="11"/>
      <c r="E4175" s="11"/>
      <c r="F4175" s="11"/>
      <c r="G4175" s="11"/>
      <c r="H4175" s="11"/>
      <c r="I4175" s="11"/>
      <c r="J4175" s="11"/>
      <c r="K4175" s="11"/>
      <c r="L4175" s="11"/>
      <c r="M4175" s="11"/>
      <c r="N4175" s="11"/>
      <c r="O4175" s="11"/>
      <c r="P4175" s="11"/>
      <c r="Q4175" s="11"/>
      <c r="R4175" s="11"/>
      <c r="S4175" s="11"/>
      <c r="T4175" s="11"/>
      <c r="U4175" s="11"/>
      <c r="V4175" s="11"/>
      <c r="W4175" s="11"/>
      <c r="X4175" s="11"/>
      <c r="Y4175" s="11"/>
      <c r="Z4175" s="11"/>
      <c r="AA4175" s="11"/>
      <c r="AB4175" s="11"/>
      <c r="AC4175" s="11"/>
      <c r="AD4175" s="11"/>
      <c r="AE4175" s="11"/>
      <c r="AF4175" s="11"/>
      <c r="AG4175" s="11"/>
      <c r="AH4175" s="11"/>
      <c r="AI4175" s="11"/>
      <c r="AJ4175" s="11"/>
      <c r="AK4175" s="11"/>
      <c r="AL4175" s="11"/>
      <c r="AM4175" s="11"/>
      <c r="AN4175" s="11"/>
      <c r="AO4175" s="11"/>
    </row>
    <row r="4176" spans="1:41" ht="28.5" x14ac:dyDescent="0.2">
      <c r="A4176" s="2">
        <v>84040210</v>
      </c>
      <c r="B4176" s="4" t="s">
        <v>1124</v>
      </c>
      <c r="C4176" s="11"/>
      <c r="D4176" s="11"/>
      <c r="E4176" s="11"/>
      <c r="F4176" s="11"/>
      <c r="G4176" s="11"/>
      <c r="H4176" s="11"/>
      <c r="I4176" s="11"/>
      <c r="J4176" s="11"/>
      <c r="K4176" s="11"/>
      <c r="L4176" s="11"/>
      <c r="M4176" s="11"/>
      <c r="N4176" s="11"/>
      <c r="O4176" s="11"/>
      <c r="P4176" s="11"/>
      <c r="Q4176" s="11"/>
      <c r="R4176" s="11"/>
      <c r="S4176" s="11"/>
      <c r="T4176" s="11"/>
      <c r="U4176" s="11"/>
      <c r="V4176" s="11"/>
      <c r="W4176" s="11"/>
      <c r="X4176" s="11"/>
      <c r="Y4176" s="11"/>
      <c r="Z4176" s="11"/>
      <c r="AA4176" s="11"/>
      <c r="AB4176" s="11"/>
      <c r="AC4176" s="11"/>
      <c r="AD4176" s="11"/>
      <c r="AE4176" s="11"/>
      <c r="AF4176" s="11"/>
      <c r="AG4176" s="11"/>
      <c r="AH4176" s="11"/>
      <c r="AI4176" s="11"/>
      <c r="AJ4176" s="11"/>
      <c r="AK4176" s="11"/>
      <c r="AL4176" s="11"/>
      <c r="AM4176" s="11"/>
      <c r="AN4176" s="11"/>
      <c r="AO4176" s="11"/>
    </row>
    <row r="4177" spans="1:41" ht="14.25" x14ac:dyDescent="0.2">
      <c r="A4177" s="2">
        <v>84040214</v>
      </c>
      <c r="B4177" s="3" t="s">
        <v>1125</v>
      </c>
      <c r="C4177" s="9"/>
      <c r="D4177" s="9"/>
      <c r="E4177" s="9"/>
      <c r="F4177" s="9"/>
      <c r="G4177" s="9"/>
      <c r="H4177" s="9"/>
      <c r="I4177" s="9"/>
      <c r="J4177" s="9"/>
      <c r="K4177" s="9"/>
      <c r="L4177" s="9"/>
      <c r="M4177" s="9"/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9"/>
      <c r="AG4177" s="9"/>
      <c r="AH4177" s="9"/>
      <c r="AI4177" s="9"/>
      <c r="AJ4177" s="9"/>
      <c r="AK4177" s="9"/>
      <c r="AL4177" s="9"/>
      <c r="AM4177" s="9"/>
      <c r="AN4177" s="9"/>
      <c r="AO4177" s="9"/>
    </row>
    <row r="4178" spans="1:41" ht="14.25" x14ac:dyDescent="0.2">
      <c r="A4178" s="2">
        <v>84040222</v>
      </c>
      <c r="B4178" s="3" t="s">
        <v>1126</v>
      </c>
      <c r="C4178" s="9"/>
      <c r="D4178" s="9"/>
      <c r="E4178" s="9"/>
      <c r="F4178" s="9"/>
      <c r="G4178" s="9"/>
      <c r="H4178" s="9"/>
      <c r="I4178" s="9"/>
      <c r="J4178" s="9"/>
      <c r="K4178" s="9"/>
      <c r="L4178" s="9"/>
      <c r="M4178" s="9"/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9"/>
      <c r="AI4178" s="9"/>
      <c r="AJ4178" s="9"/>
      <c r="AK4178" s="9"/>
      <c r="AL4178" s="9"/>
      <c r="AM4178" s="9"/>
      <c r="AN4178" s="9"/>
      <c r="AO4178" s="9"/>
    </row>
    <row r="4179" spans="1:41" ht="14.25" x14ac:dyDescent="0.2">
      <c r="A4179" s="2">
        <v>84040229</v>
      </c>
      <c r="B4179" s="3" t="s">
        <v>1127</v>
      </c>
      <c r="C4179" s="9"/>
      <c r="D4179" s="9"/>
      <c r="E4179" s="9"/>
      <c r="F4179" s="9"/>
      <c r="G4179" s="9"/>
      <c r="H4179" s="9"/>
      <c r="I4179" s="9"/>
      <c r="J4179" s="9"/>
      <c r="K4179" s="9"/>
      <c r="L4179" s="9"/>
      <c r="M4179" s="9"/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9"/>
      <c r="AI4179" s="9"/>
      <c r="AJ4179" s="9"/>
      <c r="AK4179" s="9"/>
      <c r="AL4179" s="9"/>
      <c r="AM4179" s="9"/>
      <c r="AN4179" s="9"/>
      <c r="AO4179" s="9"/>
    </row>
    <row r="4180" spans="1:41" x14ac:dyDescent="0.2">
      <c r="A4180" s="5">
        <v>840403</v>
      </c>
      <c r="B4180" s="6" t="s">
        <v>1128</v>
      </c>
      <c r="C4180" s="12"/>
      <c r="D4180" s="12"/>
      <c r="E4180" s="12"/>
      <c r="F4180" s="12"/>
      <c r="G4180" s="12"/>
      <c r="H4180" s="12"/>
      <c r="I4180" s="12"/>
      <c r="J4180" s="12"/>
      <c r="K4180" s="12"/>
      <c r="L4180" s="12"/>
      <c r="M4180" s="12"/>
      <c r="N4180" s="12"/>
      <c r="O4180" s="12"/>
      <c r="P4180" s="12"/>
      <c r="Q4180" s="12"/>
      <c r="R4180" s="12"/>
      <c r="S4180" s="12"/>
      <c r="T4180" s="12"/>
      <c r="U4180" s="12"/>
      <c r="V4180" s="12"/>
      <c r="W4180" s="12"/>
      <c r="X4180" s="12"/>
      <c r="Y4180" s="12"/>
      <c r="Z4180" s="12"/>
      <c r="AA4180" s="12"/>
      <c r="AB4180" s="12"/>
      <c r="AC4180" s="12"/>
      <c r="AD4180" s="12"/>
      <c r="AE4180" s="12"/>
      <c r="AF4180" s="12"/>
      <c r="AG4180" s="12"/>
      <c r="AH4180" s="12"/>
      <c r="AI4180" s="12"/>
      <c r="AJ4180" s="12"/>
      <c r="AK4180" s="12"/>
      <c r="AL4180" s="12"/>
      <c r="AM4180" s="12"/>
      <c r="AN4180" s="12"/>
      <c r="AO4180" s="12"/>
    </row>
    <row r="4181" spans="1:41" ht="14.25" x14ac:dyDescent="0.2">
      <c r="A4181" s="2">
        <v>840404</v>
      </c>
      <c r="B4181" s="3" t="s">
        <v>1129</v>
      </c>
      <c r="C4181" s="9"/>
      <c r="D4181" s="9"/>
      <c r="E4181" s="9"/>
      <c r="F4181" s="9"/>
      <c r="G4181" s="9"/>
      <c r="H4181" s="9"/>
      <c r="I4181" s="9"/>
      <c r="J4181" s="9"/>
      <c r="K4181" s="9"/>
      <c r="L4181" s="9"/>
      <c r="M4181" s="9"/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  <c r="AE4181" s="9"/>
      <c r="AF4181" s="9"/>
      <c r="AG4181" s="9"/>
      <c r="AH4181" s="9"/>
      <c r="AI4181" s="9"/>
      <c r="AJ4181" s="9"/>
      <c r="AK4181" s="9"/>
      <c r="AL4181" s="9"/>
      <c r="AM4181" s="9"/>
      <c r="AN4181" s="9"/>
      <c r="AO4181" s="9"/>
    </row>
    <row r="4182" spans="1:41" ht="28.5" x14ac:dyDescent="0.2">
      <c r="A4182" s="2">
        <v>84040401</v>
      </c>
      <c r="B4182" s="4" t="s">
        <v>1130</v>
      </c>
      <c r="C4182" s="11"/>
      <c r="D4182" s="11"/>
      <c r="E4182" s="11"/>
      <c r="F4182" s="11"/>
      <c r="G4182" s="11"/>
      <c r="H4182" s="11"/>
      <c r="I4182" s="11"/>
      <c r="J4182" s="11"/>
      <c r="K4182" s="11"/>
      <c r="L4182" s="11"/>
      <c r="M4182" s="11"/>
      <c r="N4182" s="11"/>
      <c r="O4182" s="11"/>
      <c r="P4182" s="11"/>
      <c r="Q4182" s="11"/>
      <c r="R4182" s="11"/>
      <c r="S4182" s="11"/>
      <c r="T4182" s="11"/>
      <c r="U4182" s="11"/>
      <c r="V4182" s="11"/>
      <c r="W4182" s="11"/>
      <c r="X4182" s="11"/>
      <c r="Y4182" s="11"/>
      <c r="Z4182" s="11"/>
      <c r="AA4182" s="11"/>
      <c r="AB4182" s="11"/>
      <c r="AC4182" s="11"/>
      <c r="AD4182" s="11"/>
      <c r="AE4182" s="11"/>
      <c r="AF4182" s="11"/>
      <c r="AG4182" s="11"/>
      <c r="AH4182" s="11"/>
      <c r="AI4182" s="11"/>
      <c r="AJ4182" s="11"/>
      <c r="AK4182" s="11"/>
      <c r="AL4182" s="11"/>
      <c r="AM4182" s="11"/>
      <c r="AN4182" s="11"/>
      <c r="AO4182" s="11"/>
    </row>
    <row r="4183" spans="1:41" ht="57" x14ac:dyDescent="0.2">
      <c r="A4183" s="2">
        <v>84040402</v>
      </c>
      <c r="B4183" s="4" t="s">
        <v>1131</v>
      </c>
      <c r="C4183" s="11"/>
      <c r="D4183" s="11"/>
      <c r="E4183" s="11"/>
      <c r="F4183" s="11"/>
      <c r="G4183" s="11"/>
      <c r="H4183" s="11"/>
      <c r="I4183" s="11"/>
      <c r="J4183" s="11"/>
      <c r="K4183" s="11"/>
      <c r="L4183" s="11"/>
      <c r="M4183" s="11"/>
      <c r="N4183" s="11"/>
      <c r="O4183" s="11"/>
      <c r="P4183" s="11"/>
      <c r="Q4183" s="11"/>
      <c r="R4183" s="11"/>
      <c r="S4183" s="11"/>
      <c r="T4183" s="11"/>
      <c r="U4183" s="11"/>
      <c r="V4183" s="11"/>
      <c r="W4183" s="11"/>
      <c r="X4183" s="11"/>
      <c r="Y4183" s="11"/>
      <c r="Z4183" s="11"/>
      <c r="AA4183" s="11"/>
      <c r="AB4183" s="11"/>
      <c r="AC4183" s="11"/>
      <c r="AD4183" s="11"/>
      <c r="AE4183" s="11"/>
      <c r="AF4183" s="11"/>
      <c r="AG4183" s="11"/>
      <c r="AH4183" s="11"/>
      <c r="AI4183" s="11"/>
      <c r="AJ4183" s="11"/>
      <c r="AK4183" s="11"/>
      <c r="AL4183" s="11"/>
      <c r="AM4183" s="11"/>
      <c r="AN4183" s="11"/>
      <c r="AO4183" s="11"/>
    </row>
    <row r="4184" spans="1:41" x14ac:dyDescent="0.2">
      <c r="A4184" s="5">
        <v>84040403</v>
      </c>
      <c r="B4184" s="6" t="s">
        <v>1132</v>
      </c>
      <c r="C4184" s="12"/>
      <c r="D4184" s="12"/>
      <c r="E4184" s="12"/>
      <c r="F4184" s="12"/>
      <c r="G4184" s="12"/>
      <c r="H4184" s="12"/>
      <c r="I4184" s="12"/>
      <c r="J4184" s="12"/>
      <c r="K4184" s="12"/>
      <c r="L4184" s="12"/>
      <c r="M4184" s="12"/>
      <c r="N4184" s="12"/>
      <c r="O4184" s="12"/>
      <c r="P4184" s="12"/>
      <c r="Q4184" s="12"/>
      <c r="R4184" s="12"/>
      <c r="S4184" s="12"/>
      <c r="T4184" s="12"/>
      <c r="U4184" s="12"/>
      <c r="V4184" s="12"/>
      <c r="W4184" s="12"/>
      <c r="X4184" s="12"/>
      <c r="Y4184" s="12"/>
      <c r="Z4184" s="12"/>
      <c r="AA4184" s="12"/>
      <c r="AB4184" s="12"/>
      <c r="AC4184" s="12"/>
      <c r="AD4184" s="12"/>
      <c r="AE4184" s="12"/>
      <c r="AF4184" s="12"/>
      <c r="AG4184" s="12"/>
      <c r="AH4184" s="12"/>
      <c r="AI4184" s="12"/>
      <c r="AJ4184" s="12"/>
      <c r="AK4184" s="12"/>
      <c r="AL4184" s="12"/>
      <c r="AM4184" s="12"/>
      <c r="AN4184" s="12"/>
      <c r="AO4184" s="12"/>
    </row>
    <row r="4185" spans="1:41" ht="14.25" x14ac:dyDescent="0.2">
      <c r="A4185" s="2">
        <v>84040404</v>
      </c>
      <c r="B4185" s="3" t="s">
        <v>1133</v>
      </c>
      <c r="C4185" s="9"/>
      <c r="D4185" s="9"/>
      <c r="E4185" s="9"/>
      <c r="F4185" s="9"/>
      <c r="G4185" s="9"/>
      <c r="H4185" s="9"/>
      <c r="I4185" s="9"/>
      <c r="J4185" s="9"/>
      <c r="K4185" s="9"/>
      <c r="L4185" s="9"/>
      <c r="M4185" s="9"/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9"/>
      <c r="AF4185" s="9"/>
      <c r="AG4185" s="9"/>
      <c r="AH4185" s="9"/>
      <c r="AI4185" s="9"/>
      <c r="AJ4185" s="9"/>
      <c r="AK4185" s="9"/>
      <c r="AL4185" s="9"/>
      <c r="AM4185" s="9"/>
      <c r="AN4185" s="9"/>
      <c r="AO4185" s="9"/>
    </row>
    <row r="4186" spans="1:41" ht="14.25" x14ac:dyDescent="0.2">
      <c r="A4186" s="2">
        <v>840405</v>
      </c>
      <c r="B4186" s="3" t="s">
        <v>1134</v>
      </c>
      <c r="C4186" s="9"/>
      <c r="D4186" s="9"/>
      <c r="E4186" s="9"/>
      <c r="F4186" s="9"/>
      <c r="G4186" s="9"/>
      <c r="H4186" s="9"/>
      <c r="I4186" s="9"/>
      <c r="J4186" s="9"/>
      <c r="K4186" s="9"/>
      <c r="L4186" s="9"/>
      <c r="M4186" s="9"/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  <c r="AE4186" s="9"/>
      <c r="AF4186" s="9"/>
      <c r="AG4186" s="9"/>
      <c r="AH4186" s="9"/>
      <c r="AI4186" s="9"/>
      <c r="AJ4186" s="9"/>
      <c r="AK4186" s="9"/>
      <c r="AL4186" s="9"/>
      <c r="AM4186" s="9"/>
      <c r="AN4186" s="9"/>
      <c r="AO4186" s="9"/>
    </row>
    <row r="4187" spans="1:41" ht="14.25" x14ac:dyDescent="0.2">
      <c r="A4187" s="2">
        <v>84040501</v>
      </c>
      <c r="B4187" s="3" t="s">
        <v>1135</v>
      </c>
      <c r="C4187" s="9"/>
      <c r="D4187" s="9"/>
      <c r="E4187" s="9"/>
      <c r="F4187" s="9"/>
      <c r="G4187" s="9"/>
      <c r="H4187" s="9"/>
      <c r="I4187" s="9"/>
      <c r="J4187" s="9"/>
      <c r="K4187" s="9"/>
      <c r="L4187" s="9"/>
      <c r="M4187" s="9"/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9"/>
      <c r="AF4187" s="9"/>
      <c r="AG4187" s="9"/>
      <c r="AH4187" s="9"/>
      <c r="AI4187" s="9"/>
      <c r="AJ4187" s="9"/>
      <c r="AK4187" s="9"/>
      <c r="AL4187" s="9"/>
      <c r="AM4187" s="9"/>
      <c r="AN4187" s="9"/>
      <c r="AO4187" s="9"/>
    </row>
    <row r="4188" spans="1:41" x14ac:dyDescent="0.2">
      <c r="A4188" s="5">
        <v>84040502</v>
      </c>
      <c r="B4188" s="6" t="s">
        <v>1136</v>
      </c>
      <c r="C4188" s="12"/>
      <c r="D4188" s="12"/>
      <c r="E4188" s="12"/>
      <c r="F4188" s="12"/>
      <c r="G4188" s="12"/>
      <c r="H4188" s="12"/>
      <c r="I4188" s="12"/>
      <c r="J4188" s="12"/>
      <c r="K4188" s="12"/>
      <c r="L4188" s="12"/>
      <c r="M4188" s="12"/>
      <c r="N4188" s="12"/>
      <c r="O4188" s="12"/>
      <c r="P4188" s="12"/>
      <c r="Q4188" s="12"/>
      <c r="R4188" s="12"/>
      <c r="S4188" s="12"/>
      <c r="T4188" s="12"/>
      <c r="U4188" s="12"/>
      <c r="V4188" s="12"/>
      <c r="W4188" s="12"/>
      <c r="X4188" s="12"/>
      <c r="Y4188" s="12"/>
      <c r="Z4188" s="12"/>
      <c r="AA4188" s="12"/>
      <c r="AB4188" s="12"/>
      <c r="AC4188" s="12"/>
      <c r="AD4188" s="12"/>
      <c r="AE4188" s="12"/>
      <c r="AF4188" s="12"/>
      <c r="AG4188" s="12"/>
      <c r="AH4188" s="12"/>
      <c r="AI4188" s="12"/>
      <c r="AJ4188" s="12"/>
      <c r="AK4188" s="12"/>
      <c r="AL4188" s="12"/>
      <c r="AM4188" s="12"/>
      <c r="AN4188" s="12"/>
      <c r="AO4188" s="12"/>
    </row>
    <row r="4189" spans="1:41" ht="14.25" x14ac:dyDescent="0.2">
      <c r="A4189" s="2">
        <v>84040504</v>
      </c>
      <c r="B4189" s="3" t="s">
        <v>1137</v>
      </c>
      <c r="C4189" s="9"/>
      <c r="D4189" s="9"/>
      <c r="E4189" s="9"/>
      <c r="F4189" s="9"/>
      <c r="G4189" s="9"/>
      <c r="H4189" s="9"/>
      <c r="I4189" s="9"/>
      <c r="J4189" s="9"/>
      <c r="K4189" s="9"/>
      <c r="L4189" s="9"/>
      <c r="M4189" s="9"/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  <c r="AB4189" s="9"/>
      <c r="AC4189" s="9"/>
      <c r="AD4189" s="9"/>
      <c r="AE4189" s="9"/>
      <c r="AF4189" s="9"/>
      <c r="AG4189" s="9"/>
      <c r="AH4189" s="9"/>
      <c r="AI4189" s="9"/>
      <c r="AJ4189" s="9"/>
      <c r="AK4189" s="9"/>
      <c r="AL4189" s="9"/>
      <c r="AM4189" s="9"/>
      <c r="AN4189" s="9"/>
      <c r="AO4189" s="9"/>
    </row>
    <row r="4190" spans="1:41" x14ac:dyDescent="0.2">
      <c r="A4190" s="5">
        <v>84040505</v>
      </c>
      <c r="B4190" s="6" t="s">
        <v>1138</v>
      </c>
      <c r="C4190" s="12"/>
      <c r="D4190" s="12"/>
      <c r="E4190" s="12"/>
      <c r="F4190" s="12"/>
      <c r="G4190" s="12"/>
      <c r="H4190" s="12"/>
      <c r="I4190" s="12"/>
      <c r="J4190" s="12"/>
      <c r="K4190" s="12"/>
      <c r="L4190" s="12"/>
      <c r="M4190" s="12"/>
      <c r="N4190" s="12"/>
      <c r="O4190" s="12"/>
      <c r="P4190" s="12"/>
      <c r="Q4190" s="12"/>
      <c r="R4190" s="12"/>
      <c r="S4190" s="12"/>
      <c r="T4190" s="12"/>
      <c r="U4190" s="12"/>
      <c r="V4190" s="12"/>
      <c r="W4190" s="12"/>
      <c r="X4190" s="12"/>
      <c r="Y4190" s="12"/>
      <c r="Z4190" s="12"/>
      <c r="AA4190" s="12"/>
      <c r="AB4190" s="12"/>
      <c r="AC4190" s="12"/>
      <c r="AD4190" s="12"/>
      <c r="AE4190" s="12"/>
      <c r="AF4190" s="12"/>
      <c r="AG4190" s="12"/>
      <c r="AH4190" s="12"/>
      <c r="AI4190" s="12"/>
      <c r="AJ4190" s="12"/>
      <c r="AK4190" s="12"/>
      <c r="AL4190" s="12"/>
      <c r="AM4190" s="12"/>
      <c r="AN4190" s="12"/>
      <c r="AO4190" s="12"/>
    </row>
    <row r="4191" spans="1:41" x14ac:dyDescent="0.2">
      <c r="A4191" s="5">
        <v>84040506</v>
      </c>
      <c r="B4191" s="6" t="s">
        <v>1139</v>
      </c>
      <c r="C4191" s="12"/>
      <c r="D4191" s="12"/>
      <c r="E4191" s="12"/>
      <c r="F4191" s="12"/>
      <c r="G4191" s="12"/>
      <c r="H4191" s="12"/>
      <c r="I4191" s="12"/>
      <c r="J4191" s="12"/>
      <c r="K4191" s="12"/>
      <c r="L4191" s="12"/>
      <c r="M4191" s="12"/>
      <c r="N4191" s="12"/>
      <c r="O4191" s="12"/>
      <c r="P4191" s="12"/>
      <c r="Q4191" s="12"/>
      <c r="R4191" s="12"/>
      <c r="S4191" s="12"/>
      <c r="T4191" s="12"/>
      <c r="U4191" s="12"/>
      <c r="V4191" s="12"/>
      <c r="W4191" s="12"/>
      <c r="X4191" s="12"/>
      <c r="Y4191" s="12"/>
      <c r="Z4191" s="12"/>
      <c r="AA4191" s="12"/>
      <c r="AB4191" s="12"/>
      <c r="AC4191" s="12"/>
      <c r="AD4191" s="12"/>
      <c r="AE4191" s="12"/>
      <c r="AF4191" s="12"/>
      <c r="AG4191" s="12"/>
      <c r="AH4191" s="12"/>
      <c r="AI4191" s="12"/>
      <c r="AJ4191" s="12"/>
      <c r="AK4191" s="12"/>
      <c r="AL4191" s="12"/>
      <c r="AM4191" s="12"/>
      <c r="AN4191" s="12"/>
      <c r="AO4191" s="12"/>
    </row>
    <row r="4192" spans="1:41" x14ac:dyDescent="0.2">
      <c r="A4192" s="5">
        <v>84040507</v>
      </c>
      <c r="B4192" s="6" t="s">
        <v>1140</v>
      </c>
      <c r="C4192" s="12"/>
      <c r="D4192" s="12"/>
      <c r="E4192" s="12"/>
      <c r="F4192" s="12"/>
      <c r="G4192" s="12"/>
      <c r="H4192" s="12"/>
      <c r="I4192" s="12"/>
      <c r="J4192" s="12"/>
      <c r="K4192" s="12"/>
      <c r="L4192" s="12"/>
      <c r="M4192" s="12"/>
      <c r="N4192" s="12"/>
      <c r="O4192" s="12"/>
      <c r="P4192" s="12"/>
      <c r="Q4192" s="12"/>
      <c r="R4192" s="12"/>
      <c r="S4192" s="12"/>
      <c r="T4192" s="12"/>
      <c r="U4192" s="12"/>
      <c r="V4192" s="12"/>
      <c r="W4192" s="12"/>
      <c r="X4192" s="12"/>
      <c r="Y4192" s="12"/>
      <c r="Z4192" s="12"/>
      <c r="AA4192" s="12"/>
      <c r="AB4192" s="12"/>
      <c r="AC4192" s="12"/>
      <c r="AD4192" s="12"/>
      <c r="AE4192" s="12"/>
      <c r="AF4192" s="12"/>
      <c r="AG4192" s="12"/>
      <c r="AH4192" s="12"/>
      <c r="AI4192" s="12"/>
      <c r="AJ4192" s="12"/>
      <c r="AK4192" s="12"/>
      <c r="AL4192" s="12"/>
      <c r="AM4192" s="12"/>
      <c r="AN4192" s="12"/>
      <c r="AO4192" s="12"/>
    </row>
    <row r="4193" spans="1:41" x14ac:dyDescent="0.2">
      <c r="A4193" s="5">
        <v>84040508</v>
      </c>
      <c r="B4193" s="6" t="s">
        <v>1141</v>
      </c>
      <c r="C4193" s="12"/>
      <c r="D4193" s="12"/>
      <c r="E4193" s="12"/>
      <c r="F4193" s="12"/>
      <c r="G4193" s="12"/>
      <c r="H4193" s="12"/>
      <c r="I4193" s="12"/>
      <c r="J4193" s="12"/>
      <c r="K4193" s="12"/>
      <c r="L4193" s="12"/>
      <c r="M4193" s="12"/>
      <c r="N4193" s="12"/>
      <c r="O4193" s="12"/>
      <c r="P4193" s="12"/>
      <c r="Q4193" s="12"/>
      <c r="R4193" s="12"/>
      <c r="S4193" s="12"/>
      <c r="T4193" s="12"/>
      <c r="U4193" s="12"/>
      <c r="V4193" s="12"/>
      <c r="W4193" s="12"/>
      <c r="X4193" s="12"/>
      <c r="Y4193" s="12"/>
      <c r="Z4193" s="12"/>
      <c r="AA4193" s="12"/>
      <c r="AB4193" s="12"/>
      <c r="AC4193" s="12"/>
      <c r="AD4193" s="12"/>
      <c r="AE4193" s="12"/>
      <c r="AF4193" s="12"/>
      <c r="AG4193" s="12"/>
      <c r="AH4193" s="12"/>
      <c r="AI4193" s="12"/>
      <c r="AJ4193" s="12"/>
      <c r="AK4193" s="12"/>
      <c r="AL4193" s="12"/>
      <c r="AM4193" s="12"/>
      <c r="AN4193" s="12"/>
      <c r="AO4193" s="12"/>
    </row>
    <row r="4194" spans="1:41" ht="14.25" x14ac:dyDescent="0.2">
      <c r="A4194" s="2">
        <v>84040509</v>
      </c>
      <c r="B4194" s="3" t="s">
        <v>1142</v>
      </c>
      <c r="C4194" s="9"/>
      <c r="D4194" s="9"/>
      <c r="E4194" s="9"/>
      <c r="F4194" s="9"/>
      <c r="G4194" s="9"/>
      <c r="H4194" s="9"/>
      <c r="I4194" s="9"/>
      <c r="J4194" s="9"/>
      <c r="K4194" s="9"/>
      <c r="L4194" s="9"/>
      <c r="M4194" s="9"/>
      <c r="N4194" s="9"/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  <c r="AA4194" s="9"/>
      <c r="AB4194" s="9"/>
      <c r="AC4194" s="9"/>
      <c r="AD4194" s="9"/>
      <c r="AE4194" s="9"/>
      <c r="AF4194" s="9"/>
      <c r="AG4194" s="9"/>
      <c r="AH4194" s="9"/>
      <c r="AI4194" s="9"/>
      <c r="AJ4194" s="9"/>
      <c r="AK4194" s="9"/>
      <c r="AL4194" s="9"/>
      <c r="AM4194" s="9"/>
      <c r="AN4194" s="9"/>
      <c r="AO4194" s="9"/>
    </row>
    <row r="4195" spans="1:41" ht="14.25" x14ac:dyDescent="0.2">
      <c r="A4195" s="2">
        <v>84040510</v>
      </c>
      <c r="B4195" s="3" t="s">
        <v>1143</v>
      </c>
      <c r="C4195" s="9"/>
      <c r="D4195" s="9"/>
      <c r="E4195" s="9"/>
      <c r="F4195" s="9"/>
      <c r="G4195" s="9"/>
      <c r="H4195" s="9"/>
      <c r="I4195" s="9"/>
      <c r="J4195" s="9"/>
      <c r="K4195" s="9"/>
      <c r="L4195" s="9"/>
      <c r="M4195" s="9"/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9"/>
      <c r="AD4195" s="9"/>
      <c r="AE4195" s="9"/>
      <c r="AF4195" s="9"/>
      <c r="AG4195" s="9"/>
      <c r="AH4195" s="9"/>
      <c r="AI4195" s="9"/>
      <c r="AJ4195" s="9"/>
      <c r="AK4195" s="9"/>
      <c r="AL4195" s="9"/>
      <c r="AM4195" s="9"/>
      <c r="AN4195" s="9"/>
      <c r="AO4195" s="9"/>
    </row>
    <row r="4196" spans="1:41" ht="14.25" x14ac:dyDescent="0.2">
      <c r="A4196" s="2">
        <v>84040511</v>
      </c>
      <c r="B4196" s="3" t="s">
        <v>1144</v>
      </c>
      <c r="C4196" s="9"/>
      <c r="D4196" s="9"/>
      <c r="E4196" s="9"/>
      <c r="F4196" s="9"/>
      <c r="G4196" s="9"/>
      <c r="H4196" s="9"/>
      <c r="I4196" s="9"/>
      <c r="J4196" s="9"/>
      <c r="K4196" s="9"/>
      <c r="L4196" s="9"/>
      <c r="M4196" s="9"/>
      <c r="N4196" s="9"/>
      <c r="O4196" s="9"/>
      <c r="P4196" s="9"/>
      <c r="Q4196" s="9"/>
      <c r="R4196" s="9"/>
      <c r="S4196" s="9"/>
      <c r="T4196" s="9"/>
      <c r="U4196" s="9"/>
      <c r="V4196" s="9"/>
      <c r="W4196" s="9"/>
      <c r="X4196" s="9"/>
      <c r="Y4196" s="9"/>
      <c r="Z4196" s="9"/>
      <c r="AA4196" s="9"/>
      <c r="AB4196" s="9"/>
      <c r="AC4196" s="9"/>
      <c r="AD4196" s="9"/>
      <c r="AE4196" s="9"/>
      <c r="AF4196" s="9"/>
      <c r="AG4196" s="9"/>
      <c r="AH4196" s="9"/>
      <c r="AI4196" s="9"/>
      <c r="AJ4196" s="9"/>
      <c r="AK4196" s="9"/>
      <c r="AL4196" s="9"/>
      <c r="AM4196" s="9"/>
      <c r="AN4196" s="9"/>
      <c r="AO4196" s="9"/>
    </row>
    <row r="4197" spans="1:41" ht="14.25" x14ac:dyDescent="0.2">
      <c r="A4197" s="2">
        <v>84040512</v>
      </c>
      <c r="B4197" s="3" t="s">
        <v>1145</v>
      </c>
      <c r="C4197" s="9"/>
      <c r="D4197" s="9"/>
      <c r="E4197" s="9"/>
      <c r="F4197" s="9"/>
      <c r="G4197" s="9"/>
      <c r="H4197" s="9"/>
      <c r="I4197" s="9"/>
      <c r="J4197" s="9"/>
      <c r="K4197" s="9"/>
      <c r="L4197" s="9"/>
      <c r="M4197" s="9"/>
      <c r="N4197" s="9"/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9"/>
      <c r="AE4197" s="9"/>
      <c r="AF4197" s="9"/>
      <c r="AG4197" s="9"/>
      <c r="AH4197" s="9"/>
      <c r="AI4197" s="9"/>
      <c r="AJ4197" s="9"/>
      <c r="AK4197" s="9"/>
      <c r="AL4197" s="9"/>
      <c r="AM4197" s="9"/>
      <c r="AN4197" s="9"/>
      <c r="AO4197" s="9"/>
    </row>
    <row r="4198" spans="1:41" ht="14.25" x14ac:dyDescent="0.2">
      <c r="A4198" s="2">
        <v>840409</v>
      </c>
      <c r="B4198" s="3" t="s">
        <v>1146</v>
      </c>
      <c r="C4198" s="9"/>
      <c r="D4198" s="9"/>
      <c r="E4198" s="9"/>
      <c r="F4198" s="9"/>
      <c r="G4198" s="9"/>
      <c r="H4198" s="9"/>
      <c r="I4198" s="9"/>
      <c r="J4198" s="9"/>
      <c r="K4198" s="9"/>
      <c r="L4198" s="9"/>
      <c r="M4198" s="9"/>
      <c r="N4198" s="9"/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9"/>
      <c r="AE4198" s="9"/>
      <c r="AF4198" s="9"/>
      <c r="AG4198" s="9"/>
      <c r="AH4198" s="9"/>
      <c r="AI4198" s="9"/>
      <c r="AJ4198" s="9"/>
      <c r="AK4198" s="9"/>
      <c r="AL4198" s="9"/>
      <c r="AM4198" s="9"/>
      <c r="AN4198" s="9"/>
      <c r="AO4198" s="9"/>
    </row>
    <row r="4199" spans="1:41" ht="14.25" x14ac:dyDescent="0.2">
      <c r="A4199" s="2">
        <v>8405</v>
      </c>
      <c r="B4199" s="3" t="s">
        <v>1147</v>
      </c>
      <c r="C4199" s="9"/>
      <c r="D4199" s="9"/>
      <c r="E4199" s="9"/>
      <c r="F4199" s="9"/>
      <c r="G4199" s="9"/>
      <c r="H4199" s="9"/>
      <c r="I4199" s="9"/>
      <c r="J4199" s="9"/>
      <c r="K4199" s="9"/>
      <c r="L4199" s="9"/>
      <c r="M4199" s="9"/>
      <c r="N4199" s="9"/>
      <c r="O4199" s="9"/>
      <c r="P4199" s="9"/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  <c r="AB4199" s="9"/>
      <c r="AC4199" s="9"/>
      <c r="AD4199" s="9"/>
      <c r="AE4199" s="9"/>
      <c r="AF4199" s="9"/>
      <c r="AG4199" s="9"/>
      <c r="AH4199" s="9"/>
      <c r="AI4199" s="9"/>
      <c r="AJ4199" s="9"/>
      <c r="AK4199" s="9"/>
      <c r="AL4199" s="9"/>
      <c r="AM4199" s="9"/>
      <c r="AN4199" s="9"/>
      <c r="AO4199" s="9"/>
    </row>
    <row r="4200" spans="1:41" ht="14.25" x14ac:dyDescent="0.2">
      <c r="A4200" s="2">
        <v>840501</v>
      </c>
      <c r="B4200" s="3" t="s">
        <v>1148</v>
      </c>
      <c r="C4200" s="9"/>
      <c r="D4200" s="9"/>
      <c r="E4200" s="9"/>
      <c r="F4200" s="9"/>
      <c r="G4200" s="9"/>
      <c r="H4200" s="9"/>
      <c r="I4200" s="9"/>
      <c r="J4200" s="9"/>
      <c r="K4200" s="9"/>
      <c r="L4200" s="9"/>
      <c r="M4200" s="9"/>
      <c r="N4200" s="9"/>
      <c r="O4200" s="9"/>
      <c r="P4200" s="9"/>
      <c r="Q4200" s="9"/>
      <c r="R4200" s="9"/>
      <c r="S4200" s="9"/>
      <c r="T4200" s="9"/>
      <c r="U4200" s="9"/>
      <c r="V4200" s="9"/>
      <c r="W4200" s="9"/>
      <c r="X4200" s="9"/>
      <c r="Y4200" s="9"/>
      <c r="Z4200" s="9"/>
      <c r="AA4200" s="9"/>
      <c r="AB4200" s="9"/>
      <c r="AC4200" s="9"/>
      <c r="AD4200" s="9"/>
      <c r="AE4200" s="9"/>
      <c r="AF4200" s="9"/>
      <c r="AG4200" s="9"/>
      <c r="AH4200" s="9"/>
      <c r="AI4200" s="9"/>
      <c r="AJ4200" s="9"/>
      <c r="AK4200" s="9"/>
      <c r="AL4200" s="9"/>
      <c r="AM4200" s="9"/>
      <c r="AN4200" s="9"/>
      <c r="AO4200" s="9"/>
    </row>
    <row r="4201" spans="1:41" ht="14.25" x14ac:dyDescent="0.2">
      <c r="A4201" s="2">
        <v>840502</v>
      </c>
      <c r="B4201" s="3" t="s">
        <v>1149</v>
      </c>
      <c r="C4201" s="9"/>
      <c r="D4201" s="9"/>
      <c r="E4201" s="9"/>
      <c r="F4201" s="9"/>
      <c r="G4201" s="9"/>
      <c r="H4201" s="9"/>
      <c r="I4201" s="9"/>
      <c r="J4201" s="9"/>
      <c r="K4201" s="9"/>
      <c r="L4201" s="9"/>
      <c r="M4201" s="9"/>
      <c r="N4201" s="9"/>
      <c r="O4201" s="9"/>
      <c r="P4201" s="9"/>
      <c r="Q4201" s="9"/>
      <c r="R4201" s="9"/>
      <c r="S4201" s="9"/>
      <c r="T4201" s="9"/>
      <c r="U4201" s="9"/>
      <c r="V4201" s="9"/>
      <c r="W4201" s="9"/>
      <c r="X4201" s="9"/>
      <c r="Y4201" s="9"/>
      <c r="Z4201" s="9"/>
      <c r="AA4201" s="9"/>
      <c r="AB4201" s="9"/>
      <c r="AC4201" s="9"/>
      <c r="AD4201" s="9"/>
      <c r="AE4201" s="9"/>
      <c r="AF4201" s="9"/>
      <c r="AG4201" s="9"/>
      <c r="AH4201" s="9"/>
      <c r="AI4201" s="9"/>
      <c r="AJ4201" s="9"/>
      <c r="AK4201" s="9"/>
      <c r="AL4201" s="9"/>
      <c r="AM4201" s="9"/>
      <c r="AN4201" s="9"/>
      <c r="AO4201" s="9"/>
    </row>
    <row r="4202" spans="1:41" ht="28.5" x14ac:dyDescent="0.2">
      <c r="A4202" s="2">
        <v>840503</v>
      </c>
      <c r="B4202" s="4" t="s">
        <v>1124</v>
      </c>
      <c r="C4202" s="11"/>
      <c r="D4202" s="11"/>
      <c r="E4202" s="11"/>
      <c r="F4202" s="11"/>
      <c r="G4202" s="11"/>
      <c r="H4202" s="11"/>
      <c r="I4202" s="11"/>
      <c r="J4202" s="11"/>
      <c r="K4202" s="11"/>
      <c r="L4202" s="11"/>
      <c r="M4202" s="11"/>
      <c r="N4202" s="11"/>
      <c r="O4202" s="11"/>
      <c r="P4202" s="11"/>
      <c r="Q4202" s="11"/>
      <c r="R4202" s="11"/>
      <c r="S4202" s="11"/>
      <c r="T4202" s="11"/>
      <c r="U4202" s="11"/>
      <c r="V4202" s="11"/>
      <c r="W4202" s="11"/>
      <c r="X4202" s="11"/>
      <c r="Y4202" s="11"/>
      <c r="Z4202" s="11"/>
      <c r="AA4202" s="11"/>
      <c r="AB4202" s="11"/>
      <c r="AC4202" s="11"/>
      <c r="AD4202" s="11"/>
      <c r="AE4202" s="11"/>
      <c r="AF4202" s="11"/>
      <c r="AG4202" s="11"/>
      <c r="AH4202" s="11"/>
      <c r="AI4202" s="11"/>
      <c r="AJ4202" s="11"/>
      <c r="AK4202" s="11"/>
      <c r="AL4202" s="11"/>
      <c r="AM4202" s="11"/>
      <c r="AN4202" s="11"/>
      <c r="AO4202" s="11"/>
    </row>
    <row r="4203" spans="1:41" ht="28.5" x14ac:dyDescent="0.2">
      <c r="A4203" s="2">
        <v>840504</v>
      </c>
      <c r="B4203" s="4" t="s">
        <v>1150</v>
      </c>
      <c r="C4203" s="11"/>
      <c r="D4203" s="11"/>
      <c r="E4203" s="11"/>
      <c r="F4203" s="11"/>
      <c r="G4203" s="11"/>
      <c r="H4203" s="11"/>
      <c r="I4203" s="11"/>
      <c r="J4203" s="11"/>
      <c r="K4203" s="11"/>
      <c r="L4203" s="11"/>
      <c r="M4203" s="11"/>
      <c r="N4203" s="11"/>
      <c r="O4203" s="11"/>
      <c r="P4203" s="11"/>
      <c r="Q4203" s="11"/>
      <c r="R4203" s="11"/>
      <c r="S4203" s="11"/>
      <c r="T4203" s="11"/>
      <c r="U4203" s="11"/>
      <c r="V4203" s="11"/>
      <c r="W4203" s="11"/>
      <c r="X4203" s="11"/>
      <c r="Y4203" s="11"/>
      <c r="Z4203" s="11"/>
      <c r="AA4203" s="11"/>
      <c r="AB4203" s="11"/>
      <c r="AC4203" s="11"/>
      <c r="AD4203" s="11"/>
      <c r="AE4203" s="11"/>
      <c r="AF4203" s="11"/>
      <c r="AG4203" s="11"/>
      <c r="AH4203" s="11"/>
      <c r="AI4203" s="11"/>
      <c r="AJ4203" s="11"/>
      <c r="AK4203" s="11"/>
      <c r="AL4203" s="11"/>
      <c r="AM4203" s="11"/>
      <c r="AN4203" s="11"/>
      <c r="AO4203" s="11"/>
    </row>
    <row r="4204" spans="1:41" ht="28.5" x14ac:dyDescent="0.2">
      <c r="A4204" s="2">
        <v>840505</v>
      </c>
      <c r="B4204" s="4" t="s">
        <v>1151</v>
      </c>
      <c r="C4204" s="11"/>
      <c r="D4204" s="11"/>
      <c r="E4204" s="11"/>
      <c r="F4204" s="11"/>
      <c r="G4204" s="11"/>
      <c r="H4204" s="11"/>
      <c r="I4204" s="11"/>
      <c r="J4204" s="11"/>
      <c r="K4204" s="11"/>
      <c r="L4204" s="11"/>
      <c r="M4204" s="11"/>
      <c r="N4204" s="11"/>
      <c r="O4204" s="11"/>
      <c r="P4204" s="11"/>
      <c r="Q4204" s="11"/>
      <c r="R4204" s="11"/>
      <c r="S4204" s="11"/>
      <c r="T4204" s="11"/>
      <c r="U4204" s="11"/>
      <c r="V4204" s="11"/>
      <c r="W4204" s="11"/>
      <c r="X4204" s="11"/>
      <c r="Y4204" s="11"/>
      <c r="Z4204" s="11"/>
      <c r="AA4204" s="11"/>
      <c r="AB4204" s="11"/>
      <c r="AC4204" s="11"/>
      <c r="AD4204" s="11"/>
      <c r="AE4204" s="11"/>
      <c r="AF4204" s="11"/>
      <c r="AG4204" s="11"/>
      <c r="AH4204" s="11"/>
      <c r="AI4204" s="11"/>
      <c r="AJ4204" s="11"/>
      <c r="AK4204" s="11"/>
      <c r="AL4204" s="11"/>
      <c r="AM4204" s="11"/>
      <c r="AN4204" s="11"/>
      <c r="AO4204" s="11"/>
    </row>
    <row r="4205" spans="1:41" ht="28.5" x14ac:dyDescent="0.2">
      <c r="A4205" s="2">
        <v>840506</v>
      </c>
      <c r="B4205" s="4" t="s">
        <v>1152</v>
      </c>
      <c r="C4205" s="11"/>
      <c r="D4205" s="11"/>
      <c r="E4205" s="11"/>
      <c r="F4205" s="11"/>
      <c r="G4205" s="11"/>
      <c r="H4205" s="11"/>
      <c r="I4205" s="11"/>
      <c r="J4205" s="11"/>
      <c r="K4205" s="11"/>
      <c r="L4205" s="11"/>
      <c r="M4205" s="11"/>
      <c r="N4205" s="11"/>
      <c r="O4205" s="11"/>
      <c r="P4205" s="11"/>
      <c r="Q4205" s="11"/>
      <c r="R4205" s="11"/>
      <c r="S4205" s="11"/>
      <c r="T4205" s="11"/>
      <c r="U4205" s="11"/>
      <c r="V4205" s="11"/>
      <c r="W4205" s="11"/>
      <c r="X4205" s="11"/>
      <c r="Y4205" s="11"/>
      <c r="Z4205" s="11"/>
      <c r="AA4205" s="11"/>
      <c r="AB4205" s="11"/>
      <c r="AC4205" s="11"/>
      <c r="AD4205" s="11"/>
      <c r="AE4205" s="11"/>
      <c r="AF4205" s="11"/>
      <c r="AG4205" s="11"/>
      <c r="AH4205" s="11"/>
      <c r="AI4205" s="11"/>
      <c r="AJ4205" s="11"/>
      <c r="AK4205" s="11"/>
      <c r="AL4205" s="11"/>
      <c r="AM4205" s="11"/>
      <c r="AN4205" s="11"/>
      <c r="AO4205" s="11"/>
    </row>
    <row r="4206" spans="1:41" ht="14.25" x14ac:dyDescent="0.2">
      <c r="A4206" s="2">
        <v>840507</v>
      </c>
      <c r="B4206" s="3" t="s">
        <v>1153</v>
      </c>
      <c r="C4206" s="9"/>
      <c r="D4206" s="9"/>
      <c r="E4206" s="9"/>
      <c r="F4206" s="9"/>
      <c r="G4206" s="9"/>
      <c r="H4206" s="9"/>
      <c r="I4206" s="9"/>
      <c r="J4206" s="9"/>
      <c r="K4206" s="9"/>
      <c r="L4206" s="9"/>
      <c r="M4206" s="9"/>
      <c r="N4206" s="9"/>
      <c r="O4206" s="9"/>
      <c r="P4206" s="9"/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  <c r="AB4206" s="9"/>
      <c r="AC4206" s="9"/>
      <c r="AD4206" s="9"/>
      <c r="AE4206" s="9"/>
      <c r="AF4206" s="9"/>
      <c r="AG4206" s="9"/>
      <c r="AH4206" s="9"/>
      <c r="AI4206" s="9"/>
      <c r="AJ4206" s="9"/>
      <c r="AK4206" s="9"/>
      <c r="AL4206" s="9"/>
      <c r="AM4206" s="9"/>
      <c r="AN4206" s="9"/>
      <c r="AO4206" s="9"/>
    </row>
    <row r="4207" spans="1:41" ht="14.25" x14ac:dyDescent="0.2">
      <c r="A4207" s="2">
        <v>840509</v>
      </c>
      <c r="B4207" s="3" t="s">
        <v>1154</v>
      </c>
      <c r="C4207" s="9"/>
      <c r="D4207" s="9"/>
      <c r="E4207" s="9"/>
      <c r="F4207" s="9"/>
      <c r="G4207" s="9"/>
      <c r="H4207" s="9"/>
      <c r="I4207" s="9"/>
      <c r="J4207" s="9"/>
      <c r="K4207" s="9"/>
      <c r="L4207" s="9"/>
      <c r="M4207" s="9"/>
      <c r="N4207" s="9"/>
      <c r="O4207" s="9"/>
      <c r="P4207" s="9"/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  <c r="AB4207" s="9"/>
      <c r="AC4207" s="9"/>
      <c r="AD4207" s="9"/>
      <c r="AE4207" s="9"/>
      <c r="AF4207" s="9"/>
      <c r="AG4207" s="9"/>
      <c r="AH4207" s="9"/>
      <c r="AI4207" s="9"/>
      <c r="AJ4207" s="9"/>
      <c r="AK4207" s="9"/>
      <c r="AL4207" s="9"/>
      <c r="AM4207" s="9"/>
      <c r="AN4207" s="9"/>
      <c r="AO4207" s="9"/>
    </row>
    <row r="4208" spans="1:41" ht="14.25" x14ac:dyDescent="0.2">
      <c r="A4208" s="2">
        <v>8407</v>
      </c>
      <c r="B4208" s="3" t="s">
        <v>1155</v>
      </c>
      <c r="C4208" s="9"/>
      <c r="D4208" s="9"/>
      <c r="E4208" s="9"/>
      <c r="F4208" s="9"/>
      <c r="G4208" s="9"/>
      <c r="H4208" s="9"/>
      <c r="I4208" s="9"/>
      <c r="J4208" s="9"/>
      <c r="K4208" s="9"/>
      <c r="L4208" s="9"/>
      <c r="M4208" s="9"/>
      <c r="N4208" s="9"/>
      <c r="O4208" s="9"/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  <c r="AB4208" s="9"/>
      <c r="AC4208" s="9"/>
      <c r="AD4208" s="9"/>
      <c r="AE4208" s="9"/>
      <c r="AF4208" s="9"/>
      <c r="AG4208" s="9"/>
      <c r="AH4208" s="9"/>
      <c r="AI4208" s="9"/>
      <c r="AJ4208" s="9"/>
      <c r="AK4208" s="9"/>
      <c r="AL4208" s="9"/>
      <c r="AM4208" s="9"/>
      <c r="AN4208" s="9"/>
      <c r="AO4208" s="9"/>
    </row>
    <row r="4209" spans="1:41" ht="14.25" x14ac:dyDescent="0.2">
      <c r="A4209" s="2">
        <v>840701</v>
      </c>
      <c r="B4209" s="3" t="s">
        <v>1156</v>
      </c>
      <c r="C4209" s="9"/>
      <c r="D4209" s="9"/>
      <c r="E4209" s="9"/>
      <c r="F4209" s="9"/>
      <c r="G4209" s="9"/>
      <c r="H4209" s="9"/>
      <c r="I4209" s="9"/>
      <c r="J4209" s="9"/>
      <c r="K4209" s="9"/>
      <c r="L4209" s="9"/>
      <c r="M4209" s="9"/>
      <c r="N4209" s="9"/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9"/>
      <c r="AD4209" s="9"/>
      <c r="AE4209" s="9"/>
      <c r="AF4209" s="9"/>
      <c r="AG4209" s="9"/>
      <c r="AH4209" s="9"/>
      <c r="AI4209" s="9"/>
      <c r="AJ4209" s="9"/>
      <c r="AK4209" s="9"/>
      <c r="AL4209" s="9"/>
      <c r="AM4209" s="9"/>
      <c r="AN4209" s="9"/>
      <c r="AO4209" s="9"/>
    </row>
    <row r="4210" spans="1:41" ht="14.25" x14ac:dyDescent="0.2">
      <c r="A4210" s="2">
        <v>840702</v>
      </c>
      <c r="B4210" s="3" t="s">
        <v>1157</v>
      </c>
      <c r="C4210" s="9"/>
      <c r="D4210" s="9"/>
      <c r="E4210" s="9"/>
      <c r="F4210" s="9"/>
      <c r="G4210" s="9"/>
      <c r="H4210" s="9"/>
      <c r="I4210" s="9"/>
      <c r="J4210" s="9"/>
      <c r="K4210" s="9"/>
      <c r="L4210" s="9"/>
      <c r="M4210" s="9"/>
      <c r="N4210" s="9"/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  <c r="AB4210" s="9"/>
      <c r="AC4210" s="9"/>
      <c r="AD4210" s="9"/>
      <c r="AE4210" s="9"/>
      <c r="AF4210" s="9"/>
      <c r="AG4210" s="9"/>
      <c r="AH4210" s="9"/>
      <c r="AI4210" s="9"/>
      <c r="AJ4210" s="9"/>
      <c r="AK4210" s="9"/>
      <c r="AL4210" s="9"/>
      <c r="AM4210" s="9"/>
      <c r="AN4210" s="9"/>
      <c r="AO4210" s="9"/>
    </row>
    <row r="4211" spans="1:41" ht="14.25" x14ac:dyDescent="0.2">
      <c r="A4211" s="2">
        <v>840703</v>
      </c>
      <c r="B4211" s="3" t="s">
        <v>1158</v>
      </c>
      <c r="C4211" s="9"/>
      <c r="D4211" s="9"/>
      <c r="E4211" s="9"/>
      <c r="F4211" s="9"/>
      <c r="G4211" s="9"/>
      <c r="H4211" s="9"/>
      <c r="I4211" s="9"/>
      <c r="J4211" s="9"/>
      <c r="K4211" s="9"/>
      <c r="L4211" s="9"/>
      <c r="M4211" s="9"/>
      <c r="N4211" s="9"/>
      <c r="O4211" s="9"/>
      <c r="P4211" s="9"/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  <c r="AB4211" s="9"/>
      <c r="AC4211" s="9"/>
      <c r="AD4211" s="9"/>
      <c r="AE4211" s="9"/>
      <c r="AF4211" s="9"/>
      <c r="AG4211" s="9"/>
      <c r="AH4211" s="9"/>
      <c r="AI4211" s="9"/>
      <c r="AJ4211" s="9"/>
      <c r="AK4211" s="9"/>
      <c r="AL4211" s="9"/>
      <c r="AM4211" s="9"/>
      <c r="AN4211" s="9"/>
      <c r="AO4211" s="9"/>
    </row>
    <row r="4212" spans="1:41" ht="14.25" x14ac:dyDescent="0.2">
      <c r="A4212" s="2">
        <v>8409</v>
      </c>
      <c r="B4212" s="3" t="s">
        <v>1159</v>
      </c>
      <c r="C4212" s="9"/>
      <c r="D4212" s="9"/>
      <c r="E4212" s="9"/>
      <c r="F4212" s="9"/>
      <c r="G4212" s="9"/>
      <c r="H4212" s="9"/>
      <c r="I4212" s="9"/>
      <c r="J4212" s="9"/>
      <c r="K4212" s="9"/>
      <c r="L4212" s="9"/>
      <c r="M4212" s="9"/>
      <c r="N4212" s="9"/>
      <c r="O4212" s="9"/>
      <c r="P4212" s="9"/>
      <c r="Q4212" s="9"/>
      <c r="R4212" s="9"/>
      <c r="S4212" s="9"/>
      <c r="T4212" s="9"/>
      <c r="U4212" s="9"/>
      <c r="V4212" s="9"/>
      <c r="W4212" s="9"/>
      <c r="X4212" s="9"/>
      <c r="Y4212" s="9"/>
      <c r="Z4212" s="9"/>
      <c r="AA4212" s="9"/>
      <c r="AB4212" s="9"/>
      <c r="AC4212" s="9"/>
      <c r="AD4212" s="9"/>
      <c r="AE4212" s="9"/>
      <c r="AF4212" s="9"/>
      <c r="AG4212" s="9"/>
      <c r="AH4212" s="9"/>
      <c r="AI4212" s="9"/>
      <c r="AJ4212" s="9"/>
      <c r="AK4212" s="9"/>
      <c r="AL4212" s="9"/>
      <c r="AM4212" s="9"/>
      <c r="AN4212" s="9"/>
      <c r="AO4212" s="9"/>
    </row>
    <row r="4213" spans="1:41" ht="14.25" x14ac:dyDescent="0.2">
      <c r="A4213" s="2">
        <v>840901</v>
      </c>
      <c r="B4213" s="3" t="s">
        <v>1160</v>
      </c>
      <c r="C4213" s="9"/>
      <c r="D4213" s="9"/>
      <c r="E4213" s="9"/>
      <c r="F4213" s="9"/>
      <c r="G4213" s="9"/>
      <c r="H4213" s="9"/>
      <c r="I4213" s="9"/>
      <c r="J4213" s="9"/>
      <c r="K4213" s="9"/>
      <c r="L4213" s="9"/>
      <c r="M4213" s="9"/>
      <c r="N4213" s="9"/>
      <c r="O4213" s="9"/>
      <c r="P4213" s="9"/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  <c r="AB4213" s="9"/>
      <c r="AC4213" s="9"/>
      <c r="AD4213" s="9"/>
      <c r="AE4213" s="9"/>
      <c r="AF4213" s="9"/>
      <c r="AG4213" s="9"/>
      <c r="AH4213" s="9"/>
      <c r="AI4213" s="9"/>
      <c r="AJ4213" s="9"/>
      <c r="AK4213" s="9"/>
      <c r="AL4213" s="9"/>
      <c r="AM4213" s="9"/>
      <c r="AN4213" s="9"/>
      <c r="AO4213" s="9"/>
    </row>
    <row r="4214" spans="1:41" ht="14.25" x14ac:dyDescent="0.2">
      <c r="A4214" s="2">
        <v>840902</v>
      </c>
      <c r="B4214" s="3" t="s">
        <v>1161</v>
      </c>
      <c r="C4214" s="9"/>
      <c r="D4214" s="9"/>
      <c r="E4214" s="9"/>
      <c r="F4214" s="9"/>
      <c r="G4214" s="9"/>
      <c r="H4214" s="9"/>
      <c r="I4214" s="9"/>
      <c r="J4214" s="9"/>
      <c r="K4214" s="9"/>
      <c r="L4214" s="9"/>
      <c r="M4214" s="9"/>
      <c r="N4214" s="9"/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9"/>
      <c r="Z4214" s="9"/>
      <c r="AA4214" s="9"/>
      <c r="AB4214" s="9"/>
      <c r="AC4214" s="9"/>
      <c r="AD4214" s="9"/>
      <c r="AE4214" s="9"/>
      <c r="AF4214" s="9"/>
      <c r="AG4214" s="9"/>
      <c r="AH4214" s="9"/>
      <c r="AI4214" s="9"/>
      <c r="AJ4214" s="9"/>
      <c r="AK4214" s="9"/>
      <c r="AL4214" s="9"/>
      <c r="AM4214" s="9"/>
      <c r="AN4214" s="9"/>
      <c r="AO4214" s="9"/>
    </row>
    <row r="4215" spans="1:41" ht="14.25" x14ac:dyDescent="0.2">
      <c r="A4215" s="2">
        <v>840903</v>
      </c>
      <c r="B4215" s="3" t="s">
        <v>1162</v>
      </c>
      <c r="C4215" s="9"/>
      <c r="D4215" s="9"/>
      <c r="E4215" s="9"/>
      <c r="F4215" s="9"/>
      <c r="G4215" s="9"/>
      <c r="H4215" s="9"/>
      <c r="I4215" s="9"/>
      <c r="J4215" s="9"/>
      <c r="K4215" s="9"/>
      <c r="L4215" s="9"/>
      <c r="M4215" s="9"/>
      <c r="N4215" s="9"/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9"/>
      <c r="AE4215" s="9"/>
      <c r="AF4215" s="9"/>
      <c r="AG4215" s="9"/>
      <c r="AH4215" s="9"/>
      <c r="AI4215" s="9"/>
      <c r="AJ4215" s="9"/>
      <c r="AK4215" s="9"/>
      <c r="AL4215" s="9"/>
      <c r="AM4215" s="9"/>
      <c r="AN4215" s="9"/>
      <c r="AO4215" s="9"/>
    </row>
    <row r="4216" spans="1:41" ht="14.25" x14ac:dyDescent="0.2">
      <c r="A4216" s="2">
        <v>840919</v>
      </c>
      <c r="B4216" s="3" t="s">
        <v>266</v>
      </c>
      <c r="C4216" s="9"/>
      <c r="D4216" s="9"/>
      <c r="E4216" s="9"/>
      <c r="F4216" s="9"/>
      <c r="G4216" s="9"/>
      <c r="H4216" s="9"/>
      <c r="I4216" s="9"/>
      <c r="J4216" s="9"/>
      <c r="K4216" s="9"/>
      <c r="L4216" s="9"/>
      <c r="M4216" s="9"/>
      <c r="N4216" s="9"/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  <c r="AB4216" s="9"/>
      <c r="AC4216" s="9"/>
      <c r="AD4216" s="9"/>
      <c r="AE4216" s="9"/>
      <c r="AF4216" s="9"/>
      <c r="AG4216" s="9"/>
      <c r="AH4216" s="9"/>
      <c r="AI4216" s="9"/>
      <c r="AJ4216" s="9"/>
      <c r="AK4216" s="9"/>
      <c r="AL4216" s="9"/>
      <c r="AM4216" s="9"/>
      <c r="AN4216" s="9"/>
      <c r="AO4216" s="9"/>
    </row>
    <row r="4217" spans="1:41" s="15" customFormat="1" ht="14.25" x14ac:dyDescent="0.2">
      <c r="A4217" s="18" t="s">
        <v>2150</v>
      </c>
      <c r="B4217" s="19" t="s">
        <v>2151</v>
      </c>
      <c r="C4217" s="20">
        <v>-159020</v>
      </c>
      <c r="D4217" s="20">
        <v>-159020</v>
      </c>
      <c r="E4217" s="20">
        <v>-159020</v>
      </c>
      <c r="F4217" s="20">
        <v>-159020</v>
      </c>
      <c r="G4217" s="20">
        <v>-159020</v>
      </c>
      <c r="H4217" s="20">
        <v>-159020</v>
      </c>
      <c r="I4217" s="20">
        <v>-249020</v>
      </c>
      <c r="J4217" s="20">
        <v>-249020</v>
      </c>
      <c r="K4217" s="20">
        <v>-249020</v>
      </c>
      <c r="L4217" s="20">
        <v>-249020</v>
      </c>
      <c r="M4217" s="20">
        <v>-249140.12</v>
      </c>
      <c r="N4217" s="20">
        <v>-249170.82</v>
      </c>
      <c r="O4217" s="20">
        <v>-339170.82</v>
      </c>
      <c r="P4217" s="20">
        <v>-339170.82</v>
      </c>
      <c r="Q4217" s="20">
        <v>-339170.82</v>
      </c>
      <c r="R4217" s="20">
        <v>-339170.82</v>
      </c>
      <c r="S4217" s="20">
        <v>-339170.82</v>
      </c>
      <c r="T4217" s="20">
        <v>-339170.82</v>
      </c>
      <c r="U4217" s="20">
        <v>-429170.82</v>
      </c>
      <c r="V4217" s="20">
        <v>-429170.82</v>
      </c>
      <c r="W4217" s="20">
        <v>-429170.82</v>
      </c>
      <c r="X4217" s="20">
        <v>-429170.82</v>
      </c>
      <c r="Y4217" s="20">
        <v>-429170.82</v>
      </c>
      <c r="Z4217" s="20">
        <v>-519170.82</v>
      </c>
      <c r="AA4217" s="20">
        <v>-519170.82</v>
      </c>
      <c r="AB4217" s="20">
        <v>-519170.82</v>
      </c>
      <c r="AC4217" s="20">
        <v>-519170.82</v>
      </c>
      <c r="AD4217" s="20">
        <v>-519170.82</v>
      </c>
      <c r="AE4217" s="20">
        <v>-519170.82</v>
      </c>
      <c r="AF4217" s="20">
        <v>-519170.82</v>
      </c>
      <c r="AG4217" s="20">
        <v>-609170.81999999995</v>
      </c>
      <c r="AH4217" s="20">
        <v>-609170.81999999995</v>
      </c>
      <c r="AI4217" s="20">
        <v>-609170.81999999995</v>
      </c>
      <c r="AJ4217" s="20">
        <v>-609170.81999999995</v>
      </c>
      <c r="AK4217" s="20">
        <v>-609170.81999999995</v>
      </c>
      <c r="AL4217" s="20">
        <v>-699470.82</v>
      </c>
      <c r="AM4217" s="20">
        <v>-699470.82</v>
      </c>
      <c r="AN4217" s="20">
        <v>-699470.82</v>
      </c>
      <c r="AO4217" s="20">
        <v>-699470.82</v>
      </c>
    </row>
    <row r="4218" spans="1:41" s="15" customFormat="1" ht="14.25" x14ac:dyDescent="0.2">
      <c r="A4218" s="18" t="s">
        <v>2152</v>
      </c>
      <c r="B4218" s="19" t="s">
        <v>2153</v>
      </c>
      <c r="C4218" s="20">
        <v>-618</v>
      </c>
      <c r="D4218" s="20">
        <v>-618</v>
      </c>
      <c r="E4218" s="20">
        <v>-618</v>
      </c>
      <c r="F4218" s="20">
        <v>-618</v>
      </c>
      <c r="G4218" s="20">
        <v>-618</v>
      </c>
      <c r="H4218" s="20">
        <v>-618</v>
      </c>
      <c r="I4218" s="20">
        <v>-618</v>
      </c>
      <c r="J4218" s="20">
        <v>-618</v>
      </c>
      <c r="K4218" s="20">
        <v>-618</v>
      </c>
      <c r="L4218" s="20">
        <v>-618</v>
      </c>
      <c r="M4218" s="20">
        <v>-618</v>
      </c>
      <c r="N4218" s="20">
        <v>-618</v>
      </c>
      <c r="O4218" s="20">
        <v>-618</v>
      </c>
      <c r="P4218" s="20">
        <v>-618</v>
      </c>
      <c r="Q4218" s="20">
        <v>-618</v>
      </c>
      <c r="R4218" s="20">
        <v>-618</v>
      </c>
      <c r="S4218" s="20">
        <v>-618</v>
      </c>
      <c r="T4218" s="20">
        <v>-618</v>
      </c>
      <c r="U4218" s="20">
        <v>-618</v>
      </c>
      <c r="V4218" s="20">
        <v>-618</v>
      </c>
      <c r="W4218" s="20">
        <v>-618</v>
      </c>
      <c r="X4218" s="20">
        <v>-618</v>
      </c>
      <c r="Y4218" s="20">
        <v>-618</v>
      </c>
      <c r="Z4218" s="20">
        <v>-618</v>
      </c>
      <c r="AA4218" s="20">
        <v>-618</v>
      </c>
      <c r="AB4218" s="20">
        <v>-618</v>
      </c>
      <c r="AC4218" s="20">
        <v>-618</v>
      </c>
      <c r="AD4218" s="20">
        <v>-618</v>
      </c>
      <c r="AE4218" s="20">
        <v>-618</v>
      </c>
      <c r="AF4218" s="20">
        <v>-618</v>
      </c>
      <c r="AG4218" s="20">
        <v>-618</v>
      </c>
      <c r="AH4218" s="20">
        <v>-618</v>
      </c>
      <c r="AI4218" s="20">
        <v>-618</v>
      </c>
      <c r="AJ4218" s="20">
        <v>-618</v>
      </c>
      <c r="AK4218" s="20">
        <v>-618</v>
      </c>
      <c r="AL4218" s="20">
        <v>-618</v>
      </c>
      <c r="AM4218" s="20">
        <v>-618</v>
      </c>
      <c r="AN4218" s="20">
        <v>-618</v>
      </c>
      <c r="AO4218" s="20">
        <v>-618</v>
      </c>
    </row>
    <row r="4219" spans="1:41" x14ac:dyDescent="0.2">
      <c r="A4219" s="5">
        <v>85</v>
      </c>
      <c r="B4219" s="6" t="s">
        <v>1163</v>
      </c>
      <c r="C4219" s="12"/>
      <c r="D4219" s="12"/>
      <c r="E4219" s="12"/>
      <c r="F4219" s="12"/>
      <c r="G4219" s="12"/>
      <c r="H4219" s="12"/>
      <c r="I4219" s="12"/>
      <c r="J4219" s="12"/>
      <c r="K4219" s="12"/>
      <c r="L4219" s="12"/>
      <c r="M4219" s="12"/>
      <c r="N4219" s="12"/>
      <c r="O4219" s="12"/>
      <c r="P4219" s="12"/>
      <c r="Q4219" s="12"/>
      <c r="R4219" s="12"/>
      <c r="S4219" s="12"/>
      <c r="T4219" s="12"/>
      <c r="U4219" s="12"/>
      <c r="V4219" s="12"/>
      <c r="W4219" s="12"/>
      <c r="X4219" s="12"/>
      <c r="Y4219" s="12"/>
      <c r="Z4219" s="12"/>
      <c r="AA4219" s="12"/>
      <c r="AB4219" s="12"/>
      <c r="AC4219" s="12"/>
      <c r="AD4219" s="12"/>
      <c r="AE4219" s="12"/>
      <c r="AF4219" s="12"/>
      <c r="AG4219" s="12"/>
      <c r="AH4219" s="12"/>
      <c r="AI4219" s="12"/>
      <c r="AJ4219" s="12"/>
      <c r="AK4219" s="12"/>
      <c r="AL4219" s="12"/>
      <c r="AM4219" s="12"/>
      <c r="AN4219" s="12"/>
      <c r="AO4219" s="12"/>
    </row>
    <row r="4220" spans="1:41" x14ac:dyDescent="0.2">
      <c r="A4220" s="5">
        <v>8501</v>
      </c>
      <c r="B4220" s="6" t="s">
        <v>1164</v>
      </c>
      <c r="C4220" s="12"/>
      <c r="D4220" s="12"/>
      <c r="E4220" s="12"/>
      <c r="F4220" s="12"/>
      <c r="G4220" s="12"/>
      <c r="H4220" s="12"/>
      <c r="I4220" s="12"/>
      <c r="J4220" s="12"/>
      <c r="K4220" s="12"/>
      <c r="L4220" s="12"/>
      <c r="M4220" s="12"/>
      <c r="N4220" s="12"/>
      <c r="O4220" s="12"/>
      <c r="P4220" s="12"/>
      <c r="Q4220" s="12"/>
      <c r="R4220" s="12"/>
      <c r="S4220" s="12"/>
      <c r="T4220" s="12"/>
      <c r="U4220" s="12"/>
      <c r="V4220" s="12"/>
      <c r="W4220" s="12"/>
      <c r="X4220" s="12"/>
      <c r="Y4220" s="12"/>
      <c r="Z4220" s="12"/>
      <c r="AA4220" s="12"/>
      <c r="AB4220" s="12"/>
      <c r="AC4220" s="12"/>
      <c r="AD4220" s="12"/>
      <c r="AE4220" s="12"/>
      <c r="AF4220" s="12"/>
      <c r="AG4220" s="12"/>
      <c r="AH4220" s="12"/>
      <c r="AI4220" s="12"/>
      <c r="AJ4220" s="12"/>
      <c r="AK4220" s="12"/>
      <c r="AL4220" s="12"/>
      <c r="AM4220" s="12"/>
      <c r="AN4220" s="12"/>
      <c r="AO4220" s="12"/>
    </row>
    <row r="4221" spans="1:41" x14ac:dyDescent="0.2">
      <c r="A4221" s="5">
        <v>8503</v>
      </c>
      <c r="B4221" s="6" t="s">
        <v>1165</v>
      </c>
      <c r="C4221" s="12"/>
      <c r="D4221" s="12"/>
      <c r="E4221" s="12"/>
      <c r="F4221" s="12"/>
      <c r="G4221" s="12"/>
      <c r="H4221" s="12"/>
      <c r="I4221" s="12"/>
      <c r="J4221" s="12"/>
      <c r="K4221" s="12"/>
      <c r="L4221" s="12"/>
      <c r="M4221" s="12"/>
      <c r="N4221" s="12"/>
      <c r="O4221" s="12"/>
      <c r="P4221" s="12"/>
      <c r="Q4221" s="12"/>
      <c r="R4221" s="12"/>
      <c r="S4221" s="12"/>
      <c r="T4221" s="12"/>
      <c r="U4221" s="12"/>
      <c r="V4221" s="12"/>
      <c r="W4221" s="12"/>
      <c r="X4221" s="12"/>
      <c r="Y4221" s="12"/>
      <c r="Z4221" s="12"/>
      <c r="AA4221" s="12"/>
      <c r="AB4221" s="12"/>
      <c r="AC4221" s="12"/>
      <c r="AD4221" s="12"/>
      <c r="AE4221" s="12"/>
      <c r="AF4221" s="12"/>
      <c r="AG4221" s="12"/>
      <c r="AH4221" s="12"/>
      <c r="AI4221" s="12"/>
      <c r="AJ4221" s="12"/>
      <c r="AK4221" s="12"/>
      <c r="AL4221" s="12"/>
      <c r="AM4221" s="12"/>
      <c r="AN4221" s="12"/>
      <c r="AO4221" s="12"/>
    </row>
    <row r="4222" spans="1:41" x14ac:dyDescent="0.2">
      <c r="A4222" s="5">
        <v>8508</v>
      </c>
      <c r="B4222" s="6" t="s">
        <v>1166</v>
      </c>
      <c r="C4222" s="12"/>
      <c r="D4222" s="12"/>
      <c r="E4222" s="12"/>
      <c r="F4222" s="12"/>
      <c r="G4222" s="12"/>
      <c r="H4222" s="12"/>
      <c r="I4222" s="12"/>
      <c r="J4222" s="12"/>
      <c r="K4222" s="12"/>
      <c r="L4222" s="12"/>
      <c r="M4222" s="12"/>
      <c r="N4222" s="12"/>
      <c r="O4222" s="12"/>
      <c r="P4222" s="12"/>
      <c r="Q4222" s="12"/>
      <c r="R4222" s="12"/>
      <c r="S4222" s="12"/>
      <c r="T4222" s="12"/>
      <c r="U4222" s="12"/>
      <c r="V4222" s="12"/>
      <c r="W4222" s="12"/>
      <c r="X4222" s="12"/>
      <c r="Y4222" s="12"/>
      <c r="Z4222" s="12"/>
      <c r="AA4222" s="12"/>
      <c r="AB4222" s="12"/>
      <c r="AC4222" s="12"/>
      <c r="AD4222" s="12"/>
      <c r="AE4222" s="12"/>
      <c r="AF4222" s="12"/>
      <c r="AG4222" s="12"/>
      <c r="AH4222" s="12"/>
      <c r="AI4222" s="12"/>
      <c r="AJ4222" s="12"/>
      <c r="AK4222" s="12"/>
      <c r="AL4222" s="12"/>
      <c r="AM4222" s="12"/>
      <c r="AN4222" s="12"/>
      <c r="AO4222" s="12"/>
    </row>
    <row r="4223" spans="1:41" x14ac:dyDescent="0.2">
      <c r="A4223" s="5">
        <v>8509</v>
      </c>
      <c r="B4223" s="6" t="s">
        <v>1167</v>
      </c>
      <c r="C4223" s="12"/>
      <c r="D4223" s="12"/>
      <c r="E4223" s="12"/>
      <c r="F4223" s="12"/>
      <c r="G4223" s="12"/>
      <c r="H4223" s="12"/>
      <c r="I4223" s="12"/>
      <c r="J4223" s="12"/>
      <c r="K4223" s="12"/>
      <c r="L4223" s="12"/>
      <c r="M4223" s="12"/>
      <c r="N4223" s="12"/>
      <c r="O4223" s="12"/>
      <c r="P4223" s="12"/>
      <c r="Q4223" s="12"/>
      <c r="R4223" s="12"/>
      <c r="S4223" s="12"/>
      <c r="T4223" s="12"/>
      <c r="U4223" s="12"/>
      <c r="V4223" s="12"/>
      <c r="W4223" s="12"/>
      <c r="X4223" s="12"/>
      <c r="Y4223" s="12"/>
      <c r="Z4223" s="12"/>
      <c r="AA4223" s="12"/>
      <c r="AB4223" s="12"/>
      <c r="AC4223" s="12"/>
      <c r="AD4223" s="12"/>
      <c r="AE4223" s="12"/>
      <c r="AF4223" s="12"/>
      <c r="AG4223" s="12"/>
      <c r="AH4223" s="12"/>
      <c r="AI4223" s="12"/>
      <c r="AJ4223" s="12"/>
      <c r="AK4223" s="12"/>
      <c r="AL4223" s="12"/>
      <c r="AM4223" s="12"/>
      <c r="AN4223" s="12"/>
      <c r="AO4223" s="12"/>
    </row>
    <row r="4224" spans="1:41" x14ac:dyDescent="0.2">
      <c r="A4224" s="5">
        <v>850901</v>
      </c>
      <c r="B4224" s="6" t="s">
        <v>1168</v>
      </c>
      <c r="C4224" s="12"/>
      <c r="D4224" s="12"/>
      <c r="E4224" s="12"/>
      <c r="F4224" s="12"/>
      <c r="G4224" s="12"/>
      <c r="H4224" s="12"/>
      <c r="I4224" s="12"/>
      <c r="J4224" s="12"/>
      <c r="K4224" s="12"/>
      <c r="L4224" s="12"/>
      <c r="M4224" s="12"/>
      <c r="N4224" s="12"/>
      <c r="O4224" s="12"/>
      <c r="P4224" s="12"/>
      <c r="Q4224" s="12"/>
      <c r="R4224" s="12"/>
      <c r="S4224" s="12"/>
      <c r="T4224" s="12"/>
      <c r="U4224" s="12"/>
      <c r="V4224" s="12"/>
      <c r="W4224" s="12"/>
      <c r="X4224" s="12"/>
      <c r="Y4224" s="12"/>
      <c r="Z4224" s="12"/>
      <c r="AA4224" s="12"/>
      <c r="AB4224" s="12"/>
      <c r="AC4224" s="12"/>
      <c r="AD4224" s="12"/>
      <c r="AE4224" s="12"/>
      <c r="AF4224" s="12"/>
      <c r="AG4224" s="12"/>
      <c r="AH4224" s="12"/>
      <c r="AI4224" s="12"/>
      <c r="AJ4224" s="12"/>
      <c r="AK4224" s="12"/>
      <c r="AL4224" s="12"/>
      <c r="AM4224" s="12"/>
      <c r="AN4224" s="12"/>
      <c r="AO4224" s="12"/>
    </row>
    <row r="4225" spans="1:41" x14ac:dyDescent="0.2">
      <c r="A4225" s="5">
        <v>850902</v>
      </c>
      <c r="B4225" s="6" t="s">
        <v>1169</v>
      </c>
      <c r="C4225" s="12"/>
      <c r="D4225" s="12"/>
      <c r="E4225" s="12"/>
      <c r="F4225" s="12"/>
      <c r="G4225" s="12"/>
      <c r="H4225" s="12"/>
      <c r="I4225" s="12"/>
      <c r="J4225" s="12"/>
      <c r="K4225" s="12"/>
      <c r="L4225" s="12"/>
      <c r="M4225" s="12"/>
      <c r="N4225" s="12"/>
      <c r="O4225" s="12"/>
      <c r="P4225" s="12"/>
      <c r="Q4225" s="12"/>
      <c r="R4225" s="12"/>
      <c r="S4225" s="12"/>
      <c r="T4225" s="12"/>
      <c r="U4225" s="12"/>
      <c r="V4225" s="12"/>
      <c r="W4225" s="12"/>
      <c r="X4225" s="12"/>
      <c r="Y4225" s="12"/>
      <c r="Z4225" s="12"/>
      <c r="AA4225" s="12"/>
      <c r="AB4225" s="12"/>
      <c r="AC4225" s="12"/>
      <c r="AD4225" s="12"/>
      <c r="AE4225" s="12"/>
      <c r="AF4225" s="12"/>
      <c r="AG4225" s="12"/>
      <c r="AH4225" s="12"/>
      <c r="AI4225" s="12"/>
      <c r="AJ4225" s="12"/>
      <c r="AK4225" s="12"/>
      <c r="AL4225" s="12"/>
      <c r="AM4225" s="12"/>
      <c r="AN4225" s="12"/>
      <c r="AO4225" s="12"/>
    </row>
    <row r="4226" spans="1:41" x14ac:dyDescent="0.2">
      <c r="A4226" s="5">
        <v>850903</v>
      </c>
      <c r="B4226" s="6" t="s">
        <v>1170</v>
      </c>
      <c r="C4226" s="12"/>
      <c r="D4226" s="12"/>
      <c r="E4226" s="12"/>
      <c r="F4226" s="12"/>
      <c r="G4226" s="12"/>
      <c r="H4226" s="12"/>
      <c r="I4226" s="12"/>
      <c r="J4226" s="12"/>
      <c r="K4226" s="12"/>
      <c r="L4226" s="12"/>
      <c r="M4226" s="12"/>
      <c r="N4226" s="12"/>
      <c r="O4226" s="12"/>
      <c r="P4226" s="12"/>
      <c r="Q4226" s="12"/>
      <c r="R4226" s="12"/>
      <c r="S4226" s="12"/>
      <c r="T4226" s="12"/>
      <c r="U4226" s="12"/>
      <c r="V4226" s="12"/>
      <c r="W4226" s="12"/>
      <c r="X4226" s="12"/>
      <c r="Y4226" s="12"/>
      <c r="Z4226" s="12"/>
      <c r="AA4226" s="12"/>
      <c r="AB4226" s="12"/>
      <c r="AC4226" s="12"/>
      <c r="AD4226" s="12"/>
      <c r="AE4226" s="12"/>
      <c r="AF4226" s="12"/>
      <c r="AG4226" s="12"/>
      <c r="AH4226" s="12"/>
      <c r="AI4226" s="12"/>
      <c r="AJ4226" s="12"/>
      <c r="AK4226" s="12"/>
      <c r="AL4226" s="12"/>
      <c r="AM4226" s="12"/>
      <c r="AN4226" s="12"/>
      <c r="AO4226" s="12"/>
    </row>
    <row r="4227" spans="1:41" x14ac:dyDescent="0.2">
      <c r="A4227" s="5">
        <v>86</v>
      </c>
      <c r="B4227" s="6" t="s">
        <v>1171</v>
      </c>
      <c r="C4227" s="12"/>
      <c r="D4227" s="12"/>
      <c r="E4227" s="12"/>
      <c r="F4227" s="12"/>
      <c r="G4227" s="12"/>
      <c r="H4227" s="12"/>
      <c r="I4227" s="12"/>
      <c r="J4227" s="12"/>
      <c r="K4227" s="12"/>
      <c r="L4227" s="12"/>
      <c r="M4227" s="12"/>
      <c r="N4227" s="12"/>
      <c r="O4227" s="12"/>
      <c r="P4227" s="12"/>
      <c r="Q4227" s="12"/>
      <c r="R4227" s="12"/>
      <c r="S4227" s="12"/>
      <c r="T4227" s="12"/>
      <c r="U4227" s="12"/>
      <c r="V4227" s="12"/>
      <c r="W4227" s="12"/>
      <c r="X4227" s="12"/>
      <c r="Y4227" s="12"/>
      <c r="Z4227" s="12"/>
      <c r="AA4227" s="12"/>
      <c r="AB4227" s="12"/>
      <c r="AC4227" s="12"/>
      <c r="AD4227" s="12"/>
      <c r="AE4227" s="12"/>
      <c r="AF4227" s="12"/>
      <c r="AG4227" s="12"/>
      <c r="AH4227" s="12"/>
      <c r="AI4227" s="12"/>
      <c r="AJ4227" s="12"/>
      <c r="AK4227" s="12"/>
      <c r="AL4227" s="12"/>
      <c r="AM4227" s="12"/>
      <c r="AN4227" s="12"/>
      <c r="AO4227" s="12"/>
    </row>
    <row r="4228" spans="1:41" x14ac:dyDescent="0.2">
      <c r="A4228" s="5">
        <v>8601</v>
      </c>
      <c r="B4228" s="6" t="s">
        <v>1172</v>
      </c>
      <c r="C4228" s="12"/>
      <c r="D4228" s="12"/>
      <c r="E4228" s="12"/>
      <c r="F4228" s="12"/>
      <c r="G4228" s="12"/>
      <c r="H4228" s="12"/>
      <c r="I4228" s="12"/>
      <c r="J4228" s="12"/>
      <c r="K4228" s="12"/>
      <c r="L4228" s="12"/>
      <c r="M4228" s="12"/>
      <c r="N4228" s="12"/>
      <c r="O4228" s="12"/>
      <c r="P4228" s="12"/>
      <c r="Q4228" s="12"/>
      <c r="R4228" s="12"/>
      <c r="S4228" s="12"/>
      <c r="T4228" s="12"/>
      <c r="U4228" s="12"/>
      <c r="V4228" s="12"/>
      <c r="W4228" s="12"/>
      <c r="X4228" s="12"/>
      <c r="Y4228" s="12"/>
      <c r="Z4228" s="12"/>
      <c r="AA4228" s="12"/>
      <c r="AB4228" s="12"/>
      <c r="AC4228" s="12"/>
      <c r="AD4228" s="12"/>
      <c r="AE4228" s="12"/>
      <c r="AF4228" s="12"/>
      <c r="AG4228" s="12"/>
      <c r="AH4228" s="12"/>
      <c r="AI4228" s="12"/>
      <c r="AJ4228" s="12"/>
      <c r="AK4228" s="12"/>
      <c r="AL4228" s="12"/>
      <c r="AM4228" s="12"/>
      <c r="AN4228" s="12"/>
      <c r="AO4228" s="12"/>
    </row>
    <row r="4229" spans="1:41" x14ac:dyDescent="0.2">
      <c r="A4229" s="5">
        <v>8602</v>
      </c>
      <c r="B4229" s="6" t="s">
        <v>1173</v>
      </c>
      <c r="C4229" s="12"/>
      <c r="D4229" s="12"/>
      <c r="E4229" s="12"/>
      <c r="F4229" s="12"/>
      <c r="G4229" s="12"/>
      <c r="H4229" s="12"/>
      <c r="I4229" s="12"/>
      <c r="J4229" s="12"/>
      <c r="K4229" s="12"/>
      <c r="L4229" s="12"/>
      <c r="M4229" s="12"/>
      <c r="N4229" s="12"/>
      <c r="O4229" s="12"/>
      <c r="P4229" s="12"/>
      <c r="Q4229" s="12"/>
      <c r="R4229" s="12"/>
      <c r="S4229" s="12"/>
      <c r="T4229" s="12"/>
      <c r="U4229" s="12"/>
      <c r="V4229" s="12"/>
      <c r="W4229" s="12"/>
      <c r="X4229" s="12"/>
      <c r="Y4229" s="12"/>
      <c r="Z4229" s="12"/>
      <c r="AA4229" s="12"/>
      <c r="AB4229" s="12"/>
      <c r="AC4229" s="12"/>
      <c r="AD4229" s="12"/>
      <c r="AE4229" s="12"/>
      <c r="AF4229" s="12"/>
      <c r="AG4229" s="12"/>
      <c r="AH4229" s="12"/>
      <c r="AI4229" s="12"/>
      <c r="AJ4229" s="12"/>
      <c r="AK4229" s="12"/>
      <c r="AL4229" s="12"/>
      <c r="AM4229" s="12"/>
      <c r="AN4229" s="12"/>
      <c r="AO4229" s="12"/>
    </row>
    <row r="4230" spans="1:41" x14ac:dyDescent="0.2">
      <c r="A4230" s="5">
        <v>8603</v>
      </c>
      <c r="B4230" s="6" t="s">
        <v>1174</v>
      </c>
      <c r="C4230" s="12"/>
      <c r="D4230" s="12"/>
      <c r="E4230" s="12"/>
      <c r="F4230" s="12"/>
      <c r="G4230" s="12"/>
      <c r="H4230" s="12"/>
      <c r="I4230" s="12"/>
      <c r="J4230" s="12"/>
      <c r="K4230" s="12"/>
      <c r="L4230" s="12"/>
      <c r="M4230" s="12"/>
      <c r="N4230" s="12"/>
      <c r="O4230" s="12"/>
      <c r="P4230" s="12"/>
      <c r="Q4230" s="12"/>
      <c r="R4230" s="12"/>
      <c r="S4230" s="12"/>
      <c r="T4230" s="12"/>
      <c r="U4230" s="12"/>
      <c r="V4230" s="12"/>
      <c r="W4230" s="12"/>
      <c r="X4230" s="12"/>
      <c r="Y4230" s="12"/>
      <c r="Z4230" s="12"/>
      <c r="AA4230" s="12"/>
      <c r="AB4230" s="12"/>
      <c r="AC4230" s="12"/>
      <c r="AD4230" s="12"/>
      <c r="AE4230" s="12"/>
      <c r="AF4230" s="12"/>
      <c r="AG4230" s="12"/>
      <c r="AH4230" s="12"/>
      <c r="AI4230" s="12"/>
      <c r="AJ4230" s="12"/>
      <c r="AK4230" s="12"/>
      <c r="AL4230" s="12"/>
      <c r="AM4230" s="12"/>
      <c r="AN4230" s="12"/>
      <c r="AO4230" s="12"/>
    </row>
    <row r="4231" spans="1:41" x14ac:dyDescent="0.2">
      <c r="A4231" s="5">
        <v>8608</v>
      </c>
      <c r="B4231" s="6" t="s">
        <v>1166</v>
      </c>
      <c r="C4231" s="12"/>
      <c r="D4231" s="12"/>
      <c r="E4231" s="12"/>
      <c r="F4231" s="12"/>
      <c r="G4231" s="12"/>
      <c r="H4231" s="12"/>
      <c r="I4231" s="12"/>
      <c r="J4231" s="12"/>
      <c r="K4231" s="12"/>
      <c r="L4231" s="12"/>
      <c r="M4231" s="12"/>
      <c r="N4231" s="12"/>
      <c r="O4231" s="12"/>
      <c r="P4231" s="12"/>
      <c r="Q4231" s="12"/>
      <c r="R4231" s="12"/>
      <c r="S4231" s="12"/>
      <c r="T4231" s="12"/>
      <c r="U4231" s="12"/>
      <c r="V4231" s="12"/>
      <c r="W4231" s="12"/>
      <c r="X4231" s="12"/>
      <c r="Y4231" s="12"/>
      <c r="Z4231" s="12"/>
      <c r="AA4231" s="12"/>
      <c r="AB4231" s="12"/>
      <c r="AC4231" s="12"/>
      <c r="AD4231" s="12"/>
      <c r="AE4231" s="12"/>
      <c r="AF4231" s="12"/>
      <c r="AG4231" s="12"/>
      <c r="AH4231" s="12"/>
      <c r="AI4231" s="12"/>
      <c r="AJ4231" s="12"/>
      <c r="AK4231" s="12"/>
      <c r="AL4231" s="12"/>
      <c r="AM4231" s="12"/>
      <c r="AN4231" s="12"/>
      <c r="AO4231" s="12"/>
    </row>
    <row r="4232" spans="1:41" x14ac:dyDescent="0.2">
      <c r="A4232" s="5">
        <v>8609</v>
      </c>
      <c r="B4232" s="6" t="s">
        <v>1175</v>
      </c>
      <c r="C4232" s="12"/>
      <c r="D4232" s="12"/>
      <c r="E4232" s="12"/>
      <c r="F4232" s="12"/>
      <c r="G4232" s="12"/>
      <c r="H4232" s="12"/>
      <c r="I4232" s="12"/>
      <c r="J4232" s="12"/>
      <c r="K4232" s="12"/>
      <c r="L4232" s="12"/>
      <c r="M4232" s="12"/>
      <c r="N4232" s="12"/>
      <c r="O4232" s="12"/>
      <c r="P4232" s="12"/>
      <c r="Q4232" s="12"/>
      <c r="R4232" s="12"/>
      <c r="S4232" s="12"/>
      <c r="T4232" s="12"/>
      <c r="U4232" s="12"/>
      <c r="V4232" s="12"/>
      <c r="W4232" s="12"/>
      <c r="X4232" s="12"/>
      <c r="Y4232" s="12"/>
      <c r="Z4232" s="12"/>
      <c r="AA4232" s="12"/>
      <c r="AB4232" s="12"/>
      <c r="AC4232" s="12"/>
      <c r="AD4232" s="12"/>
      <c r="AE4232" s="12"/>
      <c r="AF4232" s="12"/>
      <c r="AG4232" s="12"/>
      <c r="AH4232" s="12"/>
      <c r="AI4232" s="12"/>
      <c r="AJ4232" s="12"/>
      <c r="AK4232" s="12"/>
      <c r="AL4232" s="12"/>
      <c r="AM4232" s="12"/>
      <c r="AN4232" s="12"/>
      <c r="AO4232" s="12"/>
    </row>
    <row r="4233" spans="1:41" x14ac:dyDescent="0.2">
      <c r="A4233" s="5">
        <v>860901</v>
      </c>
      <c r="B4233" s="6" t="s">
        <v>1176</v>
      </c>
      <c r="C4233" s="12"/>
      <c r="D4233" s="12"/>
      <c r="E4233" s="12"/>
      <c r="F4233" s="12"/>
      <c r="G4233" s="12"/>
      <c r="H4233" s="12"/>
      <c r="I4233" s="12"/>
      <c r="J4233" s="12"/>
      <c r="K4233" s="12"/>
      <c r="L4233" s="12"/>
      <c r="M4233" s="12"/>
      <c r="N4233" s="12"/>
      <c r="O4233" s="12"/>
      <c r="P4233" s="12"/>
      <c r="Q4233" s="12"/>
      <c r="R4233" s="12"/>
      <c r="S4233" s="12"/>
      <c r="T4233" s="12"/>
      <c r="U4233" s="12"/>
      <c r="V4233" s="12"/>
      <c r="W4233" s="12"/>
      <c r="X4233" s="12"/>
      <c r="Y4233" s="12"/>
      <c r="Z4233" s="12"/>
      <c r="AA4233" s="12"/>
      <c r="AB4233" s="12"/>
      <c r="AC4233" s="12"/>
      <c r="AD4233" s="12"/>
      <c r="AE4233" s="12"/>
      <c r="AF4233" s="12"/>
      <c r="AG4233" s="12"/>
      <c r="AH4233" s="12"/>
      <c r="AI4233" s="12"/>
      <c r="AJ4233" s="12"/>
      <c r="AK4233" s="12"/>
      <c r="AL4233" s="12"/>
      <c r="AM4233" s="12"/>
      <c r="AN4233" s="12"/>
      <c r="AO4233" s="12"/>
    </row>
    <row r="4234" spans="1:41" x14ac:dyDescent="0.2">
      <c r="A4234" s="5">
        <v>860903</v>
      </c>
      <c r="B4234" s="6" t="s">
        <v>1177</v>
      </c>
      <c r="C4234" s="12"/>
      <c r="D4234" s="12"/>
      <c r="E4234" s="12"/>
      <c r="F4234" s="12"/>
      <c r="G4234" s="12"/>
      <c r="H4234" s="12"/>
      <c r="I4234" s="12"/>
      <c r="J4234" s="12"/>
      <c r="K4234" s="12"/>
      <c r="L4234" s="12"/>
      <c r="M4234" s="12"/>
      <c r="N4234" s="12"/>
      <c r="O4234" s="12"/>
      <c r="P4234" s="12"/>
      <c r="Q4234" s="12"/>
      <c r="R4234" s="12"/>
      <c r="S4234" s="12"/>
      <c r="T4234" s="12"/>
      <c r="U4234" s="12"/>
      <c r="V4234" s="12"/>
      <c r="W4234" s="12"/>
      <c r="X4234" s="12"/>
      <c r="Y4234" s="12"/>
      <c r="Z4234" s="12"/>
      <c r="AA4234" s="12"/>
      <c r="AB4234" s="12"/>
      <c r="AC4234" s="12"/>
      <c r="AD4234" s="12"/>
      <c r="AE4234" s="12"/>
      <c r="AF4234" s="12"/>
      <c r="AG4234" s="12"/>
      <c r="AH4234" s="12"/>
      <c r="AI4234" s="12"/>
      <c r="AJ4234" s="12"/>
      <c r="AK4234" s="12"/>
      <c r="AL4234" s="12"/>
      <c r="AM4234" s="12"/>
      <c r="AN4234" s="12"/>
      <c r="AO4234" s="12"/>
    </row>
    <row r="4235" spans="1:41" ht="14.25" x14ac:dyDescent="0.2">
      <c r="A4235" s="2">
        <v>87</v>
      </c>
      <c r="B4235" s="3" t="s">
        <v>1178</v>
      </c>
      <c r="C4235" s="9"/>
      <c r="D4235" s="9"/>
      <c r="E4235" s="9"/>
      <c r="F4235" s="9"/>
      <c r="G4235" s="9"/>
      <c r="H4235" s="9"/>
      <c r="I4235" s="9"/>
      <c r="J4235" s="9"/>
      <c r="K4235" s="9"/>
      <c r="L4235" s="9"/>
      <c r="M4235" s="9"/>
      <c r="N4235" s="9"/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9"/>
      <c r="AD4235" s="9"/>
      <c r="AE4235" s="9"/>
      <c r="AF4235" s="9"/>
      <c r="AG4235" s="9"/>
      <c r="AH4235" s="9"/>
      <c r="AI4235" s="9"/>
      <c r="AJ4235" s="9"/>
      <c r="AK4235" s="9"/>
      <c r="AL4235" s="9"/>
      <c r="AM4235" s="9"/>
      <c r="AN4235" s="9"/>
      <c r="AO4235" s="9"/>
    </row>
    <row r="4236" spans="1:41" ht="14.25" x14ac:dyDescent="0.2">
      <c r="A4236" s="2">
        <v>8701</v>
      </c>
      <c r="B4236" s="3" t="s">
        <v>1179</v>
      </c>
      <c r="C4236" s="9"/>
      <c r="D4236" s="9"/>
      <c r="E4236" s="9"/>
      <c r="F4236" s="9"/>
      <c r="G4236" s="9"/>
      <c r="H4236" s="9"/>
      <c r="I4236" s="9"/>
      <c r="J4236" s="9"/>
      <c r="K4236" s="9"/>
      <c r="L4236" s="9"/>
      <c r="M4236" s="9"/>
      <c r="N4236" s="9"/>
      <c r="O4236" s="9"/>
      <c r="P4236" s="9"/>
      <c r="Q4236" s="9"/>
      <c r="R4236" s="9"/>
      <c r="S4236" s="9"/>
      <c r="T4236" s="9"/>
      <c r="U4236" s="9"/>
      <c r="V4236" s="9"/>
      <c r="W4236" s="9"/>
      <c r="X4236" s="9"/>
      <c r="Y4236" s="9"/>
      <c r="Z4236" s="9"/>
      <c r="AA4236" s="9"/>
      <c r="AB4236" s="9"/>
      <c r="AC4236" s="9"/>
      <c r="AD4236" s="9"/>
      <c r="AE4236" s="9"/>
      <c r="AF4236" s="9"/>
      <c r="AG4236" s="9"/>
      <c r="AH4236" s="9"/>
      <c r="AI4236" s="9"/>
      <c r="AJ4236" s="9"/>
      <c r="AK4236" s="9"/>
      <c r="AL4236" s="9"/>
      <c r="AM4236" s="9"/>
      <c r="AN4236" s="9"/>
      <c r="AO4236" s="9"/>
    </row>
    <row r="4237" spans="1:41" ht="14.25" x14ac:dyDescent="0.2">
      <c r="A4237" s="2">
        <v>8703</v>
      </c>
      <c r="B4237" s="3" t="s">
        <v>1180</v>
      </c>
      <c r="C4237" s="9"/>
      <c r="D4237" s="9"/>
      <c r="E4237" s="9"/>
      <c r="F4237" s="9"/>
      <c r="G4237" s="9"/>
      <c r="H4237" s="9"/>
      <c r="I4237" s="9"/>
      <c r="J4237" s="9"/>
      <c r="K4237" s="9"/>
      <c r="L4237" s="9"/>
      <c r="M4237" s="9"/>
      <c r="N4237" s="9"/>
      <c r="O4237" s="9"/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  <c r="AB4237" s="9"/>
      <c r="AC4237" s="9"/>
      <c r="AD4237" s="9"/>
      <c r="AE4237" s="9"/>
      <c r="AF4237" s="9"/>
      <c r="AG4237" s="9"/>
      <c r="AH4237" s="9"/>
      <c r="AI4237" s="9"/>
      <c r="AJ4237" s="9"/>
      <c r="AK4237" s="9"/>
      <c r="AL4237" s="9"/>
      <c r="AM4237" s="9"/>
      <c r="AN4237" s="9"/>
      <c r="AO4237" s="9"/>
    </row>
    <row r="4238" spans="1:41" ht="14.25" x14ac:dyDescent="0.2">
      <c r="A4238" s="2">
        <v>8709</v>
      </c>
      <c r="B4238" s="3" t="s">
        <v>1181</v>
      </c>
      <c r="C4238" s="9"/>
      <c r="D4238" s="9"/>
      <c r="E4238" s="9"/>
      <c r="F4238" s="9"/>
      <c r="G4238" s="9"/>
      <c r="H4238" s="9"/>
      <c r="I4238" s="9"/>
      <c r="J4238" s="9"/>
      <c r="K4238" s="9"/>
      <c r="L4238" s="9"/>
      <c r="M4238" s="9"/>
      <c r="N4238" s="9"/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9"/>
      <c r="AE4238" s="9"/>
      <c r="AF4238" s="9"/>
      <c r="AG4238" s="9"/>
      <c r="AH4238" s="9"/>
      <c r="AI4238" s="9"/>
      <c r="AJ4238" s="9"/>
      <c r="AK4238" s="9"/>
      <c r="AL4238" s="9"/>
      <c r="AM4238" s="9"/>
      <c r="AN4238" s="9"/>
      <c r="AO4238" s="9"/>
    </row>
    <row r="4239" spans="1:41" ht="14.25" x14ac:dyDescent="0.2">
      <c r="A4239" s="2">
        <v>870901</v>
      </c>
      <c r="B4239" s="3" t="s">
        <v>1182</v>
      </c>
      <c r="C4239" s="9"/>
      <c r="D4239" s="9"/>
      <c r="E4239" s="9"/>
      <c r="F4239" s="9"/>
      <c r="G4239" s="9"/>
      <c r="H4239" s="9"/>
      <c r="I4239" s="9"/>
      <c r="J4239" s="9"/>
      <c r="K4239" s="9"/>
      <c r="L4239" s="9"/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9"/>
      <c r="AE4239" s="9"/>
      <c r="AF4239" s="9"/>
      <c r="AG4239" s="9"/>
      <c r="AH4239" s="9"/>
      <c r="AI4239" s="9"/>
      <c r="AJ4239" s="9"/>
      <c r="AK4239" s="9"/>
      <c r="AL4239" s="9"/>
      <c r="AM4239" s="9"/>
      <c r="AN4239" s="9"/>
      <c r="AO4239" s="9"/>
    </row>
    <row r="4240" spans="1:41" ht="14.25" x14ac:dyDescent="0.2">
      <c r="A4240" s="2">
        <v>870902</v>
      </c>
      <c r="B4240" s="3" t="s">
        <v>1183</v>
      </c>
      <c r="C4240" s="9"/>
      <c r="D4240" s="9"/>
      <c r="E4240" s="9"/>
      <c r="F4240" s="9"/>
      <c r="G4240" s="9"/>
      <c r="H4240" s="9"/>
      <c r="I4240" s="9"/>
      <c r="J4240" s="9"/>
      <c r="K4240" s="9"/>
      <c r="L4240" s="9"/>
      <c r="M4240" s="9"/>
      <c r="N4240" s="9"/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9"/>
      <c r="AE4240" s="9"/>
      <c r="AF4240" s="9"/>
      <c r="AG4240" s="9"/>
      <c r="AH4240" s="9"/>
      <c r="AI4240" s="9"/>
      <c r="AJ4240" s="9"/>
      <c r="AK4240" s="9"/>
      <c r="AL4240" s="9"/>
      <c r="AM4240" s="9"/>
      <c r="AN4240" s="9"/>
      <c r="AO4240" s="9"/>
    </row>
    <row r="4241" spans="1:41" ht="14.25" x14ac:dyDescent="0.2">
      <c r="A4241" s="2">
        <v>870903</v>
      </c>
      <c r="B4241" s="3" t="s">
        <v>1184</v>
      </c>
      <c r="C4241" s="9"/>
      <c r="D4241" s="9"/>
      <c r="E4241" s="9"/>
      <c r="F4241" s="9"/>
      <c r="G4241" s="9"/>
      <c r="H4241" s="9"/>
      <c r="I4241" s="9"/>
      <c r="J4241" s="9"/>
      <c r="K4241" s="9"/>
      <c r="L4241" s="9"/>
      <c r="M4241" s="9"/>
      <c r="N4241" s="9"/>
      <c r="O4241" s="9"/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  <c r="AB4241" s="9"/>
      <c r="AC4241" s="9"/>
      <c r="AD4241" s="9"/>
      <c r="AE4241" s="9"/>
      <c r="AF4241" s="9"/>
      <c r="AG4241" s="9"/>
      <c r="AH4241" s="9"/>
      <c r="AI4241" s="9"/>
      <c r="AJ4241" s="9"/>
      <c r="AK4241" s="9"/>
      <c r="AL4241" s="9"/>
      <c r="AM4241" s="9"/>
      <c r="AN4241" s="9"/>
      <c r="AO4241" s="9"/>
    </row>
    <row r="4242" spans="1:41" ht="14.25" x14ac:dyDescent="0.2">
      <c r="A4242" s="2">
        <v>88</v>
      </c>
      <c r="B4242" s="3" t="s">
        <v>1185</v>
      </c>
      <c r="C4242" s="9"/>
      <c r="D4242" s="9"/>
      <c r="E4242" s="9"/>
      <c r="F4242" s="9"/>
      <c r="G4242" s="9"/>
      <c r="H4242" s="9"/>
      <c r="I4242" s="9"/>
      <c r="J4242" s="9"/>
      <c r="K4242" s="9"/>
      <c r="L4242" s="9"/>
      <c r="M4242" s="9"/>
      <c r="N4242" s="9"/>
      <c r="O4242" s="9"/>
      <c r="P4242" s="9"/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  <c r="AB4242" s="9"/>
      <c r="AC4242" s="9"/>
      <c r="AD4242" s="9"/>
      <c r="AE4242" s="9"/>
      <c r="AF4242" s="9"/>
      <c r="AG4242" s="9"/>
      <c r="AH4242" s="9"/>
      <c r="AI4242" s="9"/>
      <c r="AJ4242" s="9"/>
      <c r="AK4242" s="9"/>
      <c r="AL4242" s="9"/>
      <c r="AM4242" s="9"/>
      <c r="AN4242" s="9"/>
      <c r="AO4242" s="9"/>
    </row>
    <row r="4243" spans="1:41" ht="14.25" x14ac:dyDescent="0.2">
      <c r="A4243" s="2">
        <v>8801</v>
      </c>
      <c r="B4243" s="3" t="s">
        <v>1186</v>
      </c>
      <c r="C4243" s="9"/>
      <c r="D4243" s="9"/>
      <c r="E4243" s="9"/>
      <c r="F4243" s="9"/>
      <c r="G4243" s="9"/>
      <c r="H4243" s="9"/>
      <c r="I4243" s="9"/>
      <c r="J4243" s="9"/>
      <c r="K4243" s="9"/>
      <c r="L4243" s="9"/>
      <c r="M4243" s="9"/>
      <c r="N4243" s="9"/>
      <c r="O4243" s="9"/>
      <c r="P4243" s="9"/>
      <c r="Q4243" s="9"/>
      <c r="R4243" s="9"/>
      <c r="S4243" s="9"/>
      <c r="T4243" s="9"/>
      <c r="U4243" s="9"/>
      <c r="V4243" s="9"/>
      <c r="W4243" s="9"/>
      <c r="X4243" s="9"/>
      <c r="Y4243" s="9"/>
      <c r="Z4243" s="9"/>
      <c r="AA4243" s="9"/>
      <c r="AB4243" s="9"/>
      <c r="AC4243" s="9"/>
      <c r="AD4243" s="9"/>
      <c r="AE4243" s="9"/>
      <c r="AF4243" s="9"/>
      <c r="AG4243" s="9"/>
      <c r="AH4243" s="9"/>
      <c r="AI4243" s="9"/>
      <c r="AJ4243" s="9"/>
      <c r="AK4243" s="9"/>
      <c r="AL4243" s="9"/>
      <c r="AM4243" s="9"/>
      <c r="AN4243" s="9"/>
      <c r="AO4243" s="9"/>
    </row>
    <row r="4244" spans="1:41" ht="14.25" x14ac:dyDescent="0.2">
      <c r="A4244" s="2">
        <v>8802</v>
      </c>
      <c r="B4244" s="3" t="s">
        <v>1187</v>
      </c>
      <c r="C4244" s="9"/>
      <c r="D4244" s="9"/>
      <c r="E4244" s="9"/>
      <c r="F4244" s="9"/>
      <c r="G4244" s="9"/>
      <c r="H4244" s="9"/>
      <c r="I4244" s="9"/>
      <c r="J4244" s="9"/>
      <c r="K4244" s="9"/>
      <c r="L4244" s="9"/>
      <c r="M4244" s="9"/>
      <c r="N4244" s="9"/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9"/>
      <c r="AD4244" s="9"/>
      <c r="AE4244" s="9"/>
      <c r="AF4244" s="9"/>
      <c r="AG4244" s="9"/>
      <c r="AH4244" s="9"/>
      <c r="AI4244" s="9"/>
      <c r="AJ4244" s="9"/>
      <c r="AK4244" s="9"/>
      <c r="AL4244" s="9"/>
      <c r="AM4244" s="9"/>
      <c r="AN4244" s="9"/>
      <c r="AO4244" s="9"/>
    </row>
    <row r="4245" spans="1:41" ht="14.25" x14ac:dyDescent="0.2">
      <c r="A4245" s="2">
        <v>8803</v>
      </c>
      <c r="B4245" s="3" t="s">
        <v>1188</v>
      </c>
      <c r="C4245" s="9"/>
      <c r="D4245" s="9"/>
      <c r="E4245" s="9"/>
      <c r="F4245" s="9"/>
      <c r="G4245" s="9"/>
      <c r="H4245" s="9"/>
      <c r="I4245" s="9"/>
      <c r="J4245" s="9"/>
      <c r="K4245" s="9"/>
      <c r="L4245" s="9"/>
      <c r="M4245" s="9"/>
      <c r="N4245" s="9"/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  <c r="AE4245" s="9"/>
      <c r="AF4245" s="9"/>
      <c r="AG4245" s="9"/>
      <c r="AH4245" s="9"/>
      <c r="AI4245" s="9"/>
      <c r="AJ4245" s="9"/>
      <c r="AK4245" s="9"/>
      <c r="AL4245" s="9"/>
      <c r="AM4245" s="9"/>
      <c r="AN4245" s="9"/>
      <c r="AO4245" s="9"/>
    </row>
    <row r="4246" spans="1:41" ht="14.25" x14ac:dyDescent="0.2">
      <c r="A4246" s="2">
        <v>8809</v>
      </c>
      <c r="B4246" s="3" t="s">
        <v>1189</v>
      </c>
      <c r="C4246" s="9"/>
      <c r="D4246" s="9"/>
      <c r="E4246" s="9"/>
      <c r="F4246" s="9"/>
      <c r="G4246" s="9"/>
      <c r="H4246" s="9"/>
      <c r="I4246" s="9"/>
      <c r="J4246" s="9"/>
      <c r="K4246" s="9"/>
      <c r="L4246" s="9"/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9"/>
      <c r="AE4246" s="9"/>
      <c r="AF4246" s="9"/>
      <c r="AG4246" s="9"/>
      <c r="AH4246" s="9"/>
      <c r="AI4246" s="9"/>
      <c r="AJ4246" s="9"/>
      <c r="AK4246" s="9"/>
      <c r="AL4246" s="9"/>
      <c r="AM4246" s="9"/>
      <c r="AN4246" s="9"/>
      <c r="AO4246" s="9"/>
    </row>
    <row r="4247" spans="1:41" ht="14.25" x14ac:dyDescent="0.2">
      <c r="A4247" s="2">
        <v>880901</v>
      </c>
      <c r="B4247" s="3" t="s">
        <v>1190</v>
      </c>
      <c r="C4247" s="9"/>
      <c r="D4247" s="9"/>
      <c r="E4247" s="9"/>
      <c r="F4247" s="9"/>
      <c r="G4247" s="9"/>
      <c r="H4247" s="9"/>
      <c r="I4247" s="9"/>
      <c r="J4247" s="9"/>
      <c r="K4247" s="9"/>
      <c r="L4247" s="9"/>
      <c r="M4247" s="9"/>
      <c r="N4247" s="9"/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  <c r="AB4247" s="9"/>
      <c r="AC4247" s="9"/>
      <c r="AD4247" s="9"/>
      <c r="AE4247" s="9"/>
      <c r="AF4247" s="9"/>
      <c r="AG4247" s="9"/>
      <c r="AH4247" s="9"/>
      <c r="AI4247" s="9"/>
      <c r="AJ4247" s="9"/>
      <c r="AK4247" s="9"/>
      <c r="AL4247" s="9"/>
      <c r="AM4247" s="9"/>
      <c r="AN4247" s="9"/>
      <c r="AO4247" s="9"/>
    </row>
    <row r="4248" spans="1:41" ht="14.25" x14ac:dyDescent="0.2">
      <c r="A4248" s="2">
        <v>880903</v>
      </c>
      <c r="B4248" s="3" t="s">
        <v>1191</v>
      </c>
      <c r="C4248" s="9"/>
      <c r="D4248" s="9"/>
      <c r="E4248" s="9"/>
      <c r="F4248" s="9"/>
      <c r="G4248" s="9"/>
      <c r="H4248" s="9"/>
      <c r="I4248" s="9"/>
      <c r="J4248" s="9"/>
      <c r="K4248" s="9"/>
      <c r="L4248" s="9"/>
      <c r="M4248" s="9"/>
      <c r="N4248" s="9"/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  <c r="AB4248" s="9"/>
      <c r="AC4248" s="9"/>
      <c r="AD4248" s="9"/>
      <c r="AE4248" s="9"/>
      <c r="AF4248" s="9"/>
      <c r="AG4248" s="9"/>
      <c r="AH4248" s="9"/>
      <c r="AI4248" s="9"/>
      <c r="AJ4248" s="9"/>
      <c r="AK4248" s="9"/>
      <c r="AL4248" s="9"/>
      <c r="AM4248" s="9"/>
      <c r="AN4248" s="9"/>
      <c r="AO4248" s="9"/>
    </row>
    <row r="4250" spans="1:41" x14ac:dyDescent="0.2">
      <c r="C4250" s="22"/>
      <c r="D4250" s="22"/>
      <c r="E4250" s="22"/>
      <c r="F4250" s="22"/>
      <c r="G4250" s="22"/>
      <c r="H4250" s="22"/>
      <c r="I4250" s="22"/>
      <c r="J4250" s="22"/>
      <c r="K4250" s="22"/>
      <c r="L4250" s="22"/>
      <c r="M4250" s="22"/>
      <c r="N4250" s="22"/>
      <c r="O4250" s="22"/>
      <c r="P4250" s="22"/>
      <c r="Q4250" s="22"/>
      <c r="R4250" s="22"/>
      <c r="S4250" s="22"/>
      <c r="T4250" s="22"/>
      <c r="U4250" s="22"/>
      <c r="V4250" s="22"/>
      <c r="W4250" s="22"/>
      <c r="X4250" s="22"/>
      <c r="Y4250" s="22"/>
      <c r="Z4250" s="22"/>
      <c r="AA4250" s="22"/>
      <c r="AB4250" s="22"/>
      <c r="AC4250" s="22"/>
      <c r="AD4250" s="22"/>
      <c r="AE4250" s="22"/>
      <c r="AF4250" s="22"/>
      <c r="AG4250" s="22"/>
      <c r="AH4250" s="22"/>
      <c r="AI4250" s="22"/>
      <c r="AJ4250" s="22"/>
      <c r="AK4250" s="22"/>
      <c r="AL4250" s="22"/>
      <c r="AM4250" s="22"/>
      <c r="AN4250" s="22"/>
      <c r="AO425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Regina Villar Gutierrez</dc:creator>
  <cp:lastModifiedBy>Anthony G</cp:lastModifiedBy>
  <dcterms:created xsi:type="dcterms:W3CDTF">2026-04-23T15:31:17Z</dcterms:created>
  <dcterms:modified xsi:type="dcterms:W3CDTF">2026-05-12T22:18:51Z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2020-07-14T00:00:00Z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2026-04-23T00:00:00Z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MSIP_Label_defa4170-0d19-0005-0004-bc88714345d2_Enabled">
    <vt:lpwstr>true</vt:lpwstr>
  </property>
  <property fmtid="{D5CDD505-2E9C-101B-9397-08002B2CF9AE}" pid="7" name="MSIP_Label_defa4170-0d19-0005-0004-bc88714345d2_SetDate">
    <vt:lpwstr>2026-04-23T15:38:18Z</vt:lpwstr>
  </property>
  <property fmtid="{D5CDD505-2E9C-101B-9397-08002B2CF9AE}" pid="8" name="MSIP_Label_defa4170-0d19-0005-0004-bc88714345d2_Method">
    <vt:lpwstr>Standard</vt:lpwstr>
  </property>
  <property fmtid="{D5CDD505-2E9C-101B-9397-08002B2CF9AE}" pid="9" name="MSIP_Label_defa4170-0d19-0005-0004-bc88714345d2_Name">
    <vt:lpwstr>defa4170-0d19-0005-0004-bc88714345d2</vt:lpwstr>
  </property>
  <property fmtid="{D5CDD505-2E9C-101B-9397-08002B2CF9AE}" pid="10" name="MSIP_Label_defa4170-0d19-0005-0004-bc88714345d2_SiteId">
    <vt:lpwstr>ec481844-b697-4fde-b93b-f687829b610c</vt:lpwstr>
  </property>
  <property fmtid="{D5CDD505-2E9C-101B-9397-08002B2CF9AE}" pid="11" name="MSIP_Label_defa4170-0d19-0005-0004-bc88714345d2_ActionId">
    <vt:lpwstr>7a109843-70c2-4f1b-abe8-4afd61310af2</vt:lpwstr>
  </property>
  <property fmtid="{D5CDD505-2E9C-101B-9397-08002B2CF9AE}" pid="12" name="MSIP_Label_defa4170-0d19-0005-0004-bc88714345d2_ContentBits">
    <vt:lpwstr>0</vt:lpwstr>
  </property>
</Properties>
</file>